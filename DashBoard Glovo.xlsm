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ba18577eb4bf494/Documents/Financas/"/>
    </mc:Choice>
  </mc:AlternateContent>
  <xr:revisionPtr revIDLastSave="0" documentId="8_{FBC97908-37D8-4703-A9E8-E498BF320F7F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DashBoard" sheetId="2" r:id="rId1"/>
    <sheet name="Core" sheetId="1" state="hidden" r:id="rId2"/>
    <sheet name="Fuelio" sheetId="6" state="hidden" r:id="rId3"/>
    <sheet name="Referencias" sheetId="3" state="hidden" r:id="rId4"/>
  </sheets>
  <definedNames>
    <definedName name="_xlnm._FilterDatabase" localSheetId="3" hidden="1">Referencias!$G$1:$I$240</definedName>
    <definedName name="_xlchart.v1.0" hidden="1">Core!$AK$7:$AK$14</definedName>
    <definedName name="_xlchart.v1.1" hidden="1">Core!$AL$7:$AL$14</definedName>
    <definedName name="_xlchart.v1.2" hidden="1">Core!$AK$7:$AK$14</definedName>
    <definedName name="_xlchart.v1.3" hidden="1">Core!$AN$7:$AN$14</definedName>
    <definedName name="solver_adj" localSheetId="1" hidden="1">Core!$BS$7,Core!$BT$7,Core!$BU$7,Core!$BV$7,Core!$BQ$10,Core!$BQ$11,Core!$BQ$12,Core!$BQ$13,Core!$BQ$14,Core!$BQ$15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1" localSheetId="1" hidden="1">Core!$BQ$10</definedName>
    <definedName name="solver_lhs10" localSheetId="1" hidden="1">Core!$BQ$13</definedName>
    <definedName name="solver_lhs100" localSheetId="1" hidden="1">Core!$BQ$11</definedName>
    <definedName name="solver_lhs101" localSheetId="1" hidden="1">Core!$BQ$10</definedName>
    <definedName name="solver_lhs102" localSheetId="1" hidden="1">Core!$BQ$14</definedName>
    <definedName name="solver_lhs103" localSheetId="1" hidden="1">Core!$BQ$14</definedName>
    <definedName name="solver_lhs104" localSheetId="1" hidden="1">Core!$BS$7</definedName>
    <definedName name="solver_lhs105" localSheetId="1" hidden="1">Core!$BQ$13</definedName>
    <definedName name="solver_lhs106" localSheetId="1" hidden="1">Core!$BQ$10</definedName>
    <definedName name="solver_lhs107" localSheetId="1" hidden="1">Core!$BQ$10</definedName>
    <definedName name="solver_lhs108" localSheetId="1" hidden="1">Core!$BQ$11</definedName>
    <definedName name="solver_lhs109" localSheetId="1" hidden="1">Core!$BQ$11</definedName>
    <definedName name="solver_lhs11" localSheetId="1" hidden="1">Core!$BQ$14</definedName>
    <definedName name="solver_lhs110" localSheetId="1" hidden="1">Core!$BQ$11</definedName>
    <definedName name="solver_lhs111" localSheetId="1" hidden="1">Core!$BQ$11</definedName>
    <definedName name="solver_lhs112" localSheetId="1" hidden="1">Core!$BQ$11</definedName>
    <definedName name="solver_lhs113" localSheetId="1" hidden="1">Core!$BQ$11</definedName>
    <definedName name="solver_lhs114" localSheetId="1" hidden="1">Core!$BQ$11</definedName>
    <definedName name="solver_lhs115" localSheetId="1" hidden="1">Core!$BQ$11</definedName>
    <definedName name="solver_lhs116" localSheetId="1" hidden="1">Core!$BQ$11</definedName>
    <definedName name="solver_lhs12" localSheetId="1" hidden="1">Core!$BQ$14</definedName>
    <definedName name="solver_lhs13" localSheetId="1" hidden="1">Core!$BQ$11</definedName>
    <definedName name="solver_lhs14" localSheetId="1" hidden="1">Core!$BQ$15</definedName>
    <definedName name="solver_lhs15" localSheetId="1" hidden="1">Core!$BQ$14</definedName>
    <definedName name="solver_lhs16" localSheetId="1" hidden="1">Core!$BQ$15</definedName>
    <definedName name="solver_lhs17" localSheetId="1" hidden="1">Core!$BQ$13</definedName>
    <definedName name="solver_lhs18" localSheetId="1" hidden="1">Core!$BQ$10</definedName>
    <definedName name="solver_lhs19" localSheetId="1" hidden="1">Core!$BS$7</definedName>
    <definedName name="solver_lhs2" localSheetId="1" hidden="1">Core!$BQ$10</definedName>
    <definedName name="solver_lhs20" localSheetId="1" hidden="1">Core!$BT$7</definedName>
    <definedName name="solver_lhs21" localSheetId="1" hidden="1">Core!$BQ$12</definedName>
    <definedName name="solver_lhs22" localSheetId="1" hidden="1">Core!$BT$7</definedName>
    <definedName name="solver_lhs23" localSheetId="1" hidden="1">Core!$BS$7</definedName>
    <definedName name="solver_lhs24" localSheetId="1" hidden="1">Core!$BT$7</definedName>
    <definedName name="solver_lhs25" localSheetId="1" hidden="1">Core!$BT$7</definedName>
    <definedName name="solver_lhs26" localSheetId="1" hidden="1">Core!$BT$7</definedName>
    <definedName name="solver_lhs27" localSheetId="1" hidden="1">Core!$BU$7</definedName>
    <definedName name="solver_lhs28" localSheetId="1" hidden="1">Core!$BS$7</definedName>
    <definedName name="solver_lhs29" localSheetId="1" hidden="1">Core!$BU$7</definedName>
    <definedName name="solver_lhs3" localSheetId="1" hidden="1">Core!$BQ$11</definedName>
    <definedName name="solver_lhs30" localSheetId="1" hidden="1">Core!$BQ$15</definedName>
    <definedName name="solver_lhs31" localSheetId="1" hidden="1">Core!$BQ$15</definedName>
    <definedName name="solver_lhs32" localSheetId="1" hidden="1">Core!$BQ$15</definedName>
    <definedName name="solver_lhs33" localSheetId="1" hidden="1">Core!$BS$7</definedName>
    <definedName name="solver_lhs34" localSheetId="1" hidden="1">Core!$BQ$11</definedName>
    <definedName name="solver_lhs35" localSheetId="1" hidden="1">Core!$BV$7</definedName>
    <definedName name="solver_lhs36" localSheetId="1" hidden="1">Core!$BU$7</definedName>
    <definedName name="solver_lhs37" localSheetId="1" hidden="1">Core!$BU$7</definedName>
    <definedName name="solver_lhs38" localSheetId="1" hidden="1">Core!$BS$7</definedName>
    <definedName name="solver_lhs39" localSheetId="1" hidden="1">Core!$BV$7</definedName>
    <definedName name="solver_lhs4" localSheetId="1" hidden="1">Core!$BQ$10</definedName>
    <definedName name="solver_lhs40" localSheetId="1" hidden="1">Core!$BV$7</definedName>
    <definedName name="solver_lhs41" localSheetId="1" hidden="1">Core!$BU$7</definedName>
    <definedName name="solver_lhs42" localSheetId="1" hidden="1">Core!$BV$7</definedName>
    <definedName name="solver_lhs43" localSheetId="1" hidden="1">Core!$BV$7</definedName>
    <definedName name="solver_lhs44" localSheetId="1" hidden="1">Core!$BQ$13</definedName>
    <definedName name="solver_lhs45" localSheetId="1" hidden="1">Core!$BQ$13</definedName>
    <definedName name="solver_lhs46" localSheetId="1" hidden="1">Core!$BQ$12</definedName>
    <definedName name="solver_lhs47" localSheetId="1" hidden="1">Core!$BQ$11</definedName>
    <definedName name="solver_lhs48" localSheetId="1" hidden="1">Core!$BQ$14</definedName>
    <definedName name="solver_lhs49" localSheetId="1" hidden="1">Core!$BQ$12</definedName>
    <definedName name="solver_lhs5" localSheetId="1" hidden="1">Core!$BQ$12</definedName>
    <definedName name="solver_lhs50" localSheetId="1" hidden="1">Core!$BQ$12</definedName>
    <definedName name="solver_lhs51" localSheetId="1" hidden="1">Core!$BS$7</definedName>
    <definedName name="solver_lhs52" localSheetId="1" hidden="1">Core!$BT$7</definedName>
    <definedName name="solver_lhs53" localSheetId="1" hidden="1">Core!$BT$7</definedName>
    <definedName name="solver_lhs54" localSheetId="1" hidden="1">Core!$BT$7</definedName>
    <definedName name="solver_lhs55" localSheetId="1" hidden="1">Core!$BU$7</definedName>
    <definedName name="solver_lhs56" localSheetId="1" hidden="1">Core!$BU$7</definedName>
    <definedName name="solver_lhs57" localSheetId="1" hidden="1">Core!$BU$7</definedName>
    <definedName name="solver_lhs58" localSheetId="1" hidden="1">Core!$BV$7</definedName>
    <definedName name="solver_lhs59" localSheetId="1" hidden="1">Core!$BV$7</definedName>
    <definedName name="solver_lhs6" localSheetId="1" hidden="1">Core!$BQ$10</definedName>
    <definedName name="solver_lhs60" localSheetId="1" hidden="1">Core!$BV$7</definedName>
    <definedName name="solver_lhs61" localSheetId="1" hidden="1">Core!$BQ$10</definedName>
    <definedName name="solver_lhs62" localSheetId="1" hidden="1">Core!$BQ$10</definedName>
    <definedName name="solver_lhs63" localSheetId="1" hidden="1">Core!$BQ$10</definedName>
    <definedName name="solver_lhs64" localSheetId="1" hidden="1">Core!$BQ$11</definedName>
    <definedName name="solver_lhs65" localSheetId="1" hidden="1">Core!$BQ$11</definedName>
    <definedName name="solver_lhs66" localSheetId="1" hidden="1">Core!$BQ$11</definedName>
    <definedName name="solver_lhs67" localSheetId="1" hidden="1">Core!$BQ$12</definedName>
    <definedName name="solver_lhs68" localSheetId="1" hidden="1">Core!$BQ$12</definedName>
    <definedName name="solver_lhs69" localSheetId="1" hidden="1">Core!$BQ$12</definedName>
    <definedName name="solver_lhs7" localSheetId="1" hidden="1">Core!$BQ$13</definedName>
    <definedName name="solver_lhs70" localSheetId="1" hidden="1">Core!$BQ$13</definedName>
    <definedName name="solver_lhs71" localSheetId="1" hidden="1">Core!$BQ$13</definedName>
    <definedName name="solver_lhs72" localSheetId="1" hidden="1">Core!$BQ$13</definedName>
    <definedName name="solver_lhs73" localSheetId="1" hidden="1">Core!$BQ$14</definedName>
    <definedName name="solver_lhs74" localSheetId="1" hidden="1">Core!$BQ$14</definedName>
    <definedName name="solver_lhs75" localSheetId="1" hidden="1">Core!$BQ$14</definedName>
    <definedName name="solver_lhs76" localSheetId="1" hidden="1">Core!$BQ$15</definedName>
    <definedName name="solver_lhs77" localSheetId="1" hidden="1">Core!$BQ$15</definedName>
    <definedName name="solver_lhs78" localSheetId="1" hidden="1">Core!$BQ$15</definedName>
    <definedName name="solver_lhs79" localSheetId="1" hidden="1">Core!$BT$7</definedName>
    <definedName name="solver_lhs8" localSheetId="1" hidden="1">Core!$BQ$11</definedName>
    <definedName name="solver_lhs80" localSheetId="1" hidden="1">Core!$BU$7</definedName>
    <definedName name="solver_lhs81" localSheetId="1" hidden="1">Core!$BU$7</definedName>
    <definedName name="solver_lhs82" localSheetId="1" hidden="1">Core!$BT$7</definedName>
    <definedName name="solver_lhs83" localSheetId="1" hidden="1">Core!$BU$7</definedName>
    <definedName name="solver_lhs84" localSheetId="1" hidden="1">Core!$BU$7</definedName>
    <definedName name="solver_lhs85" localSheetId="1" hidden="1">Core!$BU$7</definedName>
    <definedName name="solver_lhs86" localSheetId="1" hidden="1">Core!$BU$7</definedName>
    <definedName name="solver_lhs87" localSheetId="1" hidden="1">Core!$BV$7</definedName>
    <definedName name="solver_lhs88" localSheetId="1" hidden="1">Core!$BU$7</definedName>
    <definedName name="solver_lhs89" localSheetId="1" hidden="1">Core!$BV$7</definedName>
    <definedName name="solver_lhs9" localSheetId="1" hidden="1">Core!$BQ$14</definedName>
    <definedName name="solver_lhs90" localSheetId="1" hidden="1">Core!$BV$7</definedName>
    <definedName name="solver_lhs91" localSheetId="1" hidden="1">Core!$BV$7</definedName>
    <definedName name="solver_lhs92" localSheetId="1" hidden="1">Core!$BU$7</definedName>
    <definedName name="solver_lhs93" localSheetId="1" hidden="1">Core!$BV$7</definedName>
    <definedName name="solver_lhs94" localSheetId="1" hidden="1">Core!$BV$7</definedName>
    <definedName name="solver_lhs95" localSheetId="1" hidden="1">Core!$BU$7</definedName>
    <definedName name="solver_lhs96" localSheetId="1" hidden="1">Core!$BV$7</definedName>
    <definedName name="solver_lhs97" localSheetId="1" hidden="1">Core!$BV$7</definedName>
    <definedName name="solver_lhs98" localSheetId="1" hidden="1">Core!$BV$7</definedName>
    <definedName name="solver_lhs99" localSheetId="1" hidden="1">Core!$BV$7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50</definedName>
    <definedName name="solver_num" localSheetId="0" hidden="1">0</definedName>
    <definedName name="solver_nwt" localSheetId="1" hidden="1">1</definedName>
    <definedName name="solver_opt" localSheetId="1" hidden="1">Core!$BX$16</definedName>
    <definedName name="solver_opt" localSheetId="0" hidden="1">DashBoard!#REF!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10" localSheetId="1" hidden="1">1</definedName>
    <definedName name="solver_rel100" localSheetId="1" hidden="1">3</definedName>
    <definedName name="solver_rel101" localSheetId="1" hidden="1">3</definedName>
    <definedName name="solver_rel102" localSheetId="1" hidden="1">3</definedName>
    <definedName name="solver_rel103" localSheetId="1" hidden="1">1</definedName>
    <definedName name="solver_rel104" localSheetId="1" hidden="1">1</definedName>
    <definedName name="solver_rel105" localSheetId="1" hidden="1">3</definedName>
    <definedName name="solver_rel106" localSheetId="1" hidden="1">1</definedName>
    <definedName name="solver_rel107" localSheetId="1" hidden="1">1</definedName>
    <definedName name="solver_rel108" localSheetId="1" hidden="1">3</definedName>
    <definedName name="solver_rel109" localSheetId="1" hidden="1">3</definedName>
    <definedName name="solver_rel11" localSheetId="1" hidden="1">1</definedName>
    <definedName name="solver_rel110" localSheetId="1" hidden="1">3</definedName>
    <definedName name="solver_rel111" localSheetId="1" hidden="1">3</definedName>
    <definedName name="solver_rel112" localSheetId="1" hidden="1">3</definedName>
    <definedName name="solver_rel113" localSheetId="1" hidden="1">3</definedName>
    <definedName name="solver_rel114" localSheetId="1" hidden="1">3</definedName>
    <definedName name="solver_rel115" localSheetId="1" hidden="1">3</definedName>
    <definedName name="solver_rel116" localSheetId="1" hidden="1">3</definedName>
    <definedName name="solver_rel12" localSheetId="1" hidden="1">3</definedName>
    <definedName name="solver_rel13" localSheetId="1" hidden="1">4</definedName>
    <definedName name="solver_rel14" localSheetId="1" hidden="1">3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4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3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1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4</definedName>
    <definedName name="solver_rel32" localSheetId="1" hidden="1">3</definedName>
    <definedName name="solver_rel33" localSheetId="1" hidden="1">4</definedName>
    <definedName name="solver_rel34" localSheetId="1" hidden="1">3</definedName>
    <definedName name="solver_rel35" localSheetId="1" hidden="1">3</definedName>
    <definedName name="solver_rel36" localSheetId="1" hidden="1">4</definedName>
    <definedName name="solver_rel37" localSheetId="1" hidden="1">3</definedName>
    <definedName name="solver_rel38" localSheetId="1" hidden="1">1</definedName>
    <definedName name="solver_rel39" localSheetId="1" hidden="1">1</definedName>
    <definedName name="solver_rel4" localSheetId="1" hidden="1">1</definedName>
    <definedName name="solver_rel40" localSheetId="1" hidden="1">4</definedName>
    <definedName name="solver_rel41" localSheetId="1" hidden="1">1</definedName>
    <definedName name="solver_rel42" localSheetId="1" hidden="1">3</definedName>
    <definedName name="solver_rel43" localSheetId="1" hidden="1">1</definedName>
    <definedName name="solver_rel44" localSheetId="1" hidden="1">4</definedName>
    <definedName name="solver_rel45" localSheetId="1" hidden="1">1</definedName>
    <definedName name="solver_rel46" localSheetId="1" hidden="1">3</definedName>
    <definedName name="solver_rel47" localSheetId="1" hidden="1">1</definedName>
    <definedName name="solver_rel48" localSheetId="1" hidden="1">1</definedName>
    <definedName name="solver_rel49" localSheetId="1" hidden="1">1</definedName>
    <definedName name="solver_rel5" localSheetId="1" hidden="1">3</definedName>
    <definedName name="solver_rel50" localSheetId="1" hidden="1">1</definedName>
    <definedName name="solver_rel51" localSheetId="1" hidden="1">4</definedName>
    <definedName name="solver_rel52" localSheetId="1" hidden="1">3</definedName>
    <definedName name="solver_rel53" localSheetId="1" hidden="1">1</definedName>
    <definedName name="solver_rel54" localSheetId="1" hidden="1">4</definedName>
    <definedName name="solver_rel55" localSheetId="1" hidden="1">3</definedName>
    <definedName name="solver_rel56" localSheetId="1" hidden="1">1</definedName>
    <definedName name="solver_rel57" localSheetId="1" hidden="1">4</definedName>
    <definedName name="solver_rel58" localSheetId="1" hidden="1">3</definedName>
    <definedName name="solver_rel59" localSheetId="1" hidden="1">1</definedName>
    <definedName name="solver_rel6" localSheetId="1" hidden="1">3</definedName>
    <definedName name="solver_rel60" localSheetId="1" hidden="1">4</definedName>
    <definedName name="solver_rel61" localSheetId="1" hidden="1">3</definedName>
    <definedName name="solver_rel62" localSheetId="1" hidden="1">1</definedName>
    <definedName name="solver_rel63" localSheetId="1" hidden="1">4</definedName>
    <definedName name="solver_rel64" localSheetId="1" hidden="1">3</definedName>
    <definedName name="solver_rel65" localSheetId="1" hidden="1">1</definedName>
    <definedName name="solver_rel66" localSheetId="1" hidden="1">4</definedName>
    <definedName name="solver_rel67" localSheetId="1" hidden="1">3</definedName>
    <definedName name="solver_rel68" localSheetId="1" hidden="1">1</definedName>
    <definedName name="solver_rel69" localSheetId="1" hidden="1">4</definedName>
    <definedName name="solver_rel7" localSheetId="1" hidden="1">3</definedName>
    <definedName name="solver_rel70" localSheetId="1" hidden="1">3</definedName>
    <definedName name="solver_rel71" localSheetId="1" hidden="1">1</definedName>
    <definedName name="solver_rel72" localSheetId="1" hidden="1">4</definedName>
    <definedName name="solver_rel73" localSheetId="1" hidden="1">3</definedName>
    <definedName name="solver_rel74" localSheetId="1" hidden="1">1</definedName>
    <definedName name="solver_rel75" localSheetId="1" hidden="1">4</definedName>
    <definedName name="solver_rel76" localSheetId="1" hidden="1">3</definedName>
    <definedName name="solver_rel77" localSheetId="1" hidden="1">1</definedName>
    <definedName name="solver_rel78" localSheetId="1" hidden="1">4</definedName>
    <definedName name="solver_rel79" localSheetId="1" hidden="1">3</definedName>
    <definedName name="solver_rel8" localSheetId="1" hidden="1">3</definedName>
    <definedName name="solver_rel80" localSheetId="1" hidden="1">1</definedName>
    <definedName name="solver_rel81" localSheetId="1" hidden="1">3</definedName>
    <definedName name="solver_rel82" localSheetId="1" hidden="1">6</definedName>
    <definedName name="solver_rel83" localSheetId="1" hidden="1">3</definedName>
    <definedName name="solver_rel84" localSheetId="1" hidden="1">1</definedName>
    <definedName name="solver_rel85" localSheetId="1" hidden="1">4</definedName>
    <definedName name="solver_rel86" localSheetId="1" hidden="1">3</definedName>
    <definedName name="solver_rel87" localSheetId="1" hidden="1">1</definedName>
    <definedName name="solver_rel88" localSheetId="1" hidden="1">4</definedName>
    <definedName name="solver_rel89" localSheetId="1" hidden="1">3</definedName>
    <definedName name="solver_rel9" localSheetId="1" hidden="1">4</definedName>
    <definedName name="solver_rel90" localSheetId="1" hidden="1">1</definedName>
    <definedName name="solver_rel91" localSheetId="1" hidden="1">3</definedName>
    <definedName name="solver_rel92" localSheetId="1" hidden="1">3</definedName>
    <definedName name="solver_rel93" localSheetId="1" hidden="1">3</definedName>
    <definedName name="solver_rel94" localSheetId="1" hidden="1">1</definedName>
    <definedName name="solver_rel95" localSheetId="1" hidden="1">6</definedName>
    <definedName name="solver_rel96" localSheetId="1" hidden="1">3</definedName>
    <definedName name="solver_rel97" localSheetId="1" hidden="1">1</definedName>
    <definedName name="solver_rel98" localSheetId="1" hidden="1">4</definedName>
    <definedName name="solver_rel99" localSheetId="1" hidden="1">6</definedName>
    <definedName name="solver_rhs1" localSheetId="1" hidden="1">8</definedName>
    <definedName name="solver_rhs10" localSheetId="1" hidden="1">21</definedName>
    <definedName name="solver_rhs100" localSheetId="1" hidden="1">1</definedName>
    <definedName name="solver_rhs101" localSheetId="1" hidden="1">1</definedName>
    <definedName name="solver_rhs102" localSheetId="1" hidden="1">1</definedName>
    <definedName name="solver_rhs103" localSheetId="1" hidden="1">7</definedName>
    <definedName name="solver_rhs104" localSheetId="1" hidden="1">7</definedName>
    <definedName name="solver_rhs105" localSheetId="1" hidden="1">1</definedName>
    <definedName name="solver_rhs106" localSheetId="1" hidden="1">14</definedName>
    <definedName name="solver_rhs107" localSheetId="1" hidden="1">14</definedName>
    <definedName name="solver_rhs108" localSheetId="1" hidden="1">1</definedName>
    <definedName name="solver_rhs109" localSheetId="1" hidden="1">1</definedName>
    <definedName name="solver_rhs11" localSheetId="1" hidden="1">21</definedName>
    <definedName name="solver_rhs110" localSheetId="1" hidden="1">1</definedName>
    <definedName name="solver_rhs111" localSheetId="1" hidden="1">1</definedName>
    <definedName name="solver_rhs112" localSheetId="1" hidden="1">1</definedName>
    <definedName name="solver_rhs113" localSheetId="1" hidden="1">1</definedName>
    <definedName name="solver_rhs114" localSheetId="1" hidden="1">1</definedName>
    <definedName name="solver_rhs115" localSheetId="1" hidden="1">1</definedName>
    <definedName name="solver_rhs116" localSheetId="1" hidden="1">1</definedName>
    <definedName name="solver_rhs12" localSheetId="1" hidden="1">8</definedName>
    <definedName name="solver_rhs13" localSheetId="1" hidden="1">integer</definedName>
    <definedName name="solver_rhs14" localSheetId="1" hidden="1">8</definedName>
    <definedName name="solver_rhs15" localSheetId="1" hidden="1">8</definedName>
    <definedName name="solver_rhs16" localSheetId="1" hidden="1">21</definedName>
    <definedName name="solver_rhs17" localSheetId="1" hidden="1">8</definedName>
    <definedName name="solver_rhs18" localSheetId="1" hidden="1">21</definedName>
    <definedName name="solver_rhs19" localSheetId="1" hidden="1">1</definedName>
    <definedName name="solver_rhs2" localSheetId="1" hidden="1">integer</definedName>
    <definedName name="solver_rhs20" localSheetId="1" hidden="1">7</definedName>
    <definedName name="solver_rhs21" localSheetId="1" hidden="1">integer</definedName>
    <definedName name="solver_rhs22" localSheetId="1" hidden="1">integer</definedName>
    <definedName name="solver_rhs23" localSheetId="1" hidden="1">1</definedName>
    <definedName name="solver_rhs24" localSheetId="1" hidden="1">1</definedName>
    <definedName name="solver_rhs25" localSheetId="1" hidden="1">7</definedName>
    <definedName name="solver_rhs26" localSheetId="1" hidden="1">1</definedName>
    <definedName name="solver_rhs27" localSheetId="1" hidden="1">7</definedName>
    <definedName name="solver_rhs28" localSheetId="1" hidden="1">7</definedName>
    <definedName name="solver_rhs29" localSheetId="1" hidden="1">1</definedName>
    <definedName name="solver_rhs3" localSheetId="1" hidden="1">21</definedName>
    <definedName name="solver_rhs30" localSheetId="1" hidden="1">21</definedName>
    <definedName name="solver_rhs31" localSheetId="1" hidden="1">integer</definedName>
    <definedName name="solver_rhs32" localSheetId="1" hidden="1">8</definedName>
    <definedName name="solver_rhs33" localSheetId="1" hidden="1">integer</definedName>
    <definedName name="solver_rhs34" localSheetId="1" hidden="1">8</definedName>
    <definedName name="solver_rhs35" localSheetId="1" hidden="1">1</definedName>
    <definedName name="solver_rhs36" localSheetId="1" hidden="1">integer</definedName>
    <definedName name="solver_rhs37" localSheetId="1" hidden="1">1</definedName>
    <definedName name="solver_rhs38" localSheetId="1" hidden="1">7</definedName>
    <definedName name="solver_rhs39" localSheetId="1" hidden="1">7</definedName>
    <definedName name="solver_rhs4" localSheetId="1" hidden="1">21</definedName>
    <definedName name="solver_rhs40" localSheetId="1" hidden="1">integer</definedName>
    <definedName name="solver_rhs41" localSheetId="1" hidden="1">7</definedName>
    <definedName name="solver_rhs42" localSheetId="1" hidden="1">1</definedName>
    <definedName name="solver_rhs43" localSheetId="1" hidden="1">7</definedName>
    <definedName name="solver_rhs44" localSheetId="1" hidden="1">integer</definedName>
    <definedName name="solver_rhs45" localSheetId="1" hidden="1">21</definedName>
    <definedName name="solver_rhs46" localSheetId="1" hidden="1">8</definedName>
    <definedName name="solver_rhs47" localSheetId="1" hidden="1">21</definedName>
    <definedName name="solver_rhs48" localSheetId="1" hidden="1">21</definedName>
    <definedName name="solver_rhs49" localSheetId="1" hidden="1">21</definedName>
    <definedName name="solver_rhs5" localSheetId="1" hidden="1">8</definedName>
    <definedName name="solver_rhs50" localSheetId="1" hidden="1">21</definedName>
    <definedName name="solver_rhs51" localSheetId="1" hidden="1">integer</definedName>
    <definedName name="solver_rhs52" localSheetId="1" hidden="1">1</definedName>
    <definedName name="solver_rhs53" localSheetId="1" hidden="1">7</definedName>
    <definedName name="solver_rhs54" localSheetId="1" hidden="1">integer</definedName>
    <definedName name="solver_rhs55" localSheetId="1" hidden="1">1</definedName>
    <definedName name="solver_rhs56" localSheetId="1" hidden="1">7</definedName>
    <definedName name="solver_rhs57" localSheetId="1" hidden="1">integer</definedName>
    <definedName name="solver_rhs58" localSheetId="1" hidden="1">1</definedName>
    <definedName name="solver_rhs59" localSheetId="1" hidden="1">7</definedName>
    <definedName name="solver_rhs6" localSheetId="1" hidden="1">8</definedName>
    <definedName name="solver_rhs60" localSheetId="1" hidden="1">integer</definedName>
    <definedName name="solver_rhs61" localSheetId="1" hidden="1">1</definedName>
    <definedName name="solver_rhs62" localSheetId="1" hidden="1">14</definedName>
    <definedName name="solver_rhs63" localSheetId="1" hidden="1">integer</definedName>
    <definedName name="solver_rhs64" localSheetId="1" hidden="1">1</definedName>
    <definedName name="solver_rhs65" localSheetId="1" hidden="1">14</definedName>
    <definedName name="solver_rhs66" localSheetId="1" hidden="1">integer</definedName>
    <definedName name="solver_rhs67" localSheetId="1" hidden="1">1</definedName>
    <definedName name="solver_rhs68" localSheetId="1" hidden="1">14</definedName>
    <definedName name="solver_rhs69" localSheetId="1" hidden="1">integer</definedName>
    <definedName name="solver_rhs7" localSheetId="1" hidden="1">8</definedName>
    <definedName name="solver_rhs70" localSheetId="1" hidden="1">1</definedName>
    <definedName name="solver_rhs71" localSheetId="1" hidden="1">14</definedName>
    <definedName name="solver_rhs72" localSheetId="1" hidden="1">integer</definedName>
    <definedName name="solver_rhs73" localSheetId="1" hidden="1">1</definedName>
    <definedName name="solver_rhs74" localSheetId="1" hidden="1">14</definedName>
    <definedName name="solver_rhs75" localSheetId="1" hidden="1">integer</definedName>
    <definedName name="solver_rhs76" localSheetId="1" hidden="1">1</definedName>
    <definedName name="solver_rhs77" localSheetId="1" hidden="1">14</definedName>
    <definedName name="solver_rhs78" localSheetId="1" hidden="1">integer</definedName>
    <definedName name="solver_rhs79" localSheetId="1" hidden="1">1</definedName>
    <definedName name="solver_rhs8" localSheetId="1" hidden="1">8</definedName>
    <definedName name="solver_rhs80" localSheetId="1" hidden="1">7</definedName>
    <definedName name="solver_rhs81" localSheetId="1" hidden="1">1</definedName>
    <definedName name="solver_rhs82" localSheetId="1" hidden="1">AllDifferent</definedName>
    <definedName name="solver_rhs83" localSheetId="1" hidden="1">1</definedName>
    <definedName name="solver_rhs84" localSheetId="1" hidden="1">7</definedName>
    <definedName name="solver_rhs85" localSheetId="1" hidden="1">integer</definedName>
    <definedName name="solver_rhs86" localSheetId="1" hidden="1">1</definedName>
    <definedName name="solver_rhs87" localSheetId="1" hidden="1">7</definedName>
    <definedName name="solver_rhs88" localSheetId="1" hidden="1">integer</definedName>
    <definedName name="solver_rhs89" localSheetId="1" hidden="1">1</definedName>
    <definedName name="solver_rhs9" localSheetId="1" hidden="1">integer</definedName>
    <definedName name="solver_rhs90" localSheetId="1" hidden="1">7</definedName>
    <definedName name="solver_rhs91" localSheetId="1" hidden="1">1</definedName>
    <definedName name="solver_rhs92" localSheetId="1" hidden="1">1</definedName>
    <definedName name="solver_rhs93" localSheetId="1" hidden="1">1</definedName>
    <definedName name="solver_rhs94" localSheetId="1" hidden="1">7</definedName>
    <definedName name="solver_rhs95" localSheetId="1" hidden="1">AllDifferent</definedName>
    <definedName name="solver_rhs96" localSheetId="1" hidden="1">1</definedName>
    <definedName name="solver_rhs97" localSheetId="1" hidden="1">7</definedName>
    <definedName name="solver_rhs98" localSheetId="1" hidden="1">integer</definedName>
    <definedName name="solver_rhs99" localSheetId="1" hidden="1">AllDifferent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pivotCaches>
    <pivotCache cacheId="45" r:id="rId5"/>
    <pivotCache cacheId="46" r:id="rId6"/>
    <pivotCache cacheId="4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53" i="1" l="1"/>
  <c r="BV54" i="1"/>
  <c r="BX54" i="1" s="1"/>
  <c r="BW54" i="1"/>
  <c r="AV34" i="1"/>
  <c r="AW34" i="1" s="1"/>
  <c r="V935" i="1"/>
  <c r="X935" i="1"/>
  <c r="O935" i="1" s="1"/>
  <c r="S936" i="1"/>
  <c r="U936" i="1"/>
  <c r="V936" i="1"/>
  <c r="X936" i="1"/>
  <c r="Y936" i="1" s="1"/>
  <c r="V937" i="1"/>
  <c r="X937" i="1"/>
  <c r="Y937" i="1" s="1"/>
  <c r="U938" i="1"/>
  <c r="V938" i="1"/>
  <c r="X938" i="1"/>
  <c r="O938" i="1" s="1"/>
  <c r="U939" i="1"/>
  <c r="V939" i="1"/>
  <c r="X939" i="1"/>
  <c r="S939" i="1" s="1"/>
  <c r="O940" i="1"/>
  <c r="AB940" i="1" s="1"/>
  <c r="S940" i="1"/>
  <c r="V940" i="1"/>
  <c r="X940" i="1"/>
  <c r="Y940" i="1" s="1"/>
  <c r="V941" i="1"/>
  <c r="X941" i="1"/>
  <c r="U941" i="1" s="1"/>
  <c r="U859" i="1"/>
  <c r="V859" i="1"/>
  <c r="X859" i="1"/>
  <c r="O859" i="1" s="1"/>
  <c r="Y859" i="1"/>
  <c r="Z859" i="1"/>
  <c r="S860" i="1"/>
  <c r="R860" i="1" s="1"/>
  <c r="Q860" i="1" s="1"/>
  <c r="V860" i="1"/>
  <c r="X860" i="1"/>
  <c r="U860" i="1" s="1"/>
  <c r="T860" i="1" s="1"/>
  <c r="Y860" i="1"/>
  <c r="V861" i="1"/>
  <c r="W861" i="1"/>
  <c r="X861" i="1"/>
  <c r="Y861" i="1" s="1"/>
  <c r="V862" i="1"/>
  <c r="X862" i="1"/>
  <c r="U862" i="1" s="1"/>
  <c r="U863" i="1"/>
  <c r="V863" i="1"/>
  <c r="X863" i="1"/>
  <c r="S863" i="1" s="1"/>
  <c r="Y863" i="1"/>
  <c r="Z863" i="1"/>
  <c r="V864" i="1"/>
  <c r="X864" i="1"/>
  <c r="Y864" i="1" s="1"/>
  <c r="Z864" i="1"/>
  <c r="V865" i="1"/>
  <c r="X865" i="1"/>
  <c r="U865" i="1" s="1"/>
  <c r="V866" i="1"/>
  <c r="X866" i="1"/>
  <c r="V867" i="1"/>
  <c r="X867" i="1"/>
  <c r="S867" i="1" s="1"/>
  <c r="Z867" i="1"/>
  <c r="S868" i="1"/>
  <c r="V868" i="1"/>
  <c r="X868" i="1"/>
  <c r="Z868" i="1" s="1"/>
  <c r="Y868" i="1"/>
  <c r="V869" i="1"/>
  <c r="X869" i="1"/>
  <c r="Y869" i="1" s="1"/>
  <c r="V870" i="1"/>
  <c r="X870" i="1"/>
  <c r="O870" i="1" s="1"/>
  <c r="AB870" i="1" s="1"/>
  <c r="V871" i="1"/>
  <c r="X871" i="1"/>
  <c r="S871" i="1" s="1"/>
  <c r="O872" i="1"/>
  <c r="AB872" i="1" s="1"/>
  <c r="S872" i="1"/>
  <c r="V872" i="1"/>
  <c r="W872" i="1"/>
  <c r="X872" i="1"/>
  <c r="Y872" i="1" s="1"/>
  <c r="Z872" i="1"/>
  <c r="S873" i="1"/>
  <c r="V873" i="1"/>
  <c r="W873" i="1"/>
  <c r="X873" i="1"/>
  <c r="U873" i="1" s="1"/>
  <c r="V874" i="1"/>
  <c r="X874" i="1"/>
  <c r="Y874" i="1" s="1"/>
  <c r="U875" i="1"/>
  <c r="V875" i="1"/>
  <c r="X875" i="1"/>
  <c r="S875" i="1" s="1"/>
  <c r="O876" i="1"/>
  <c r="AB876" i="1" s="1"/>
  <c r="V876" i="1"/>
  <c r="X876" i="1"/>
  <c r="S876" i="1" s="1"/>
  <c r="Z876" i="1"/>
  <c r="S877" i="1"/>
  <c r="V877" i="1"/>
  <c r="X877" i="1"/>
  <c r="O877" i="1" s="1"/>
  <c r="U878" i="1"/>
  <c r="V878" i="1"/>
  <c r="X878" i="1"/>
  <c r="V879" i="1"/>
  <c r="X879" i="1"/>
  <c r="S879" i="1" s="1"/>
  <c r="N880" i="1"/>
  <c r="O880" i="1"/>
  <c r="AB880" i="1" s="1"/>
  <c r="S880" i="1"/>
  <c r="V880" i="1"/>
  <c r="W880" i="1"/>
  <c r="X880" i="1"/>
  <c r="Y880" i="1" s="1"/>
  <c r="O881" i="1"/>
  <c r="V881" i="1"/>
  <c r="X881" i="1"/>
  <c r="U881" i="1" s="1"/>
  <c r="AB881" i="1"/>
  <c r="V882" i="1"/>
  <c r="X882" i="1"/>
  <c r="Y882" i="1" s="1"/>
  <c r="N883" i="1"/>
  <c r="O883" i="1"/>
  <c r="Q883" i="1"/>
  <c r="V883" i="1"/>
  <c r="W883" i="1"/>
  <c r="X883" i="1"/>
  <c r="S883" i="1" s="1"/>
  <c r="R883" i="1" s="1"/>
  <c r="Z883" i="1"/>
  <c r="AB883" i="1"/>
  <c r="S884" i="1"/>
  <c r="R884" i="1" s="1"/>
  <c r="Q884" i="1" s="1"/>
  <c r="V884" i="1"/>
  <c r="W884" i="1"/>
  <c r="X884" i="1"/>
  <c r="U884" i="1" s="1"/>
  <c r="Y884" i="1"/>
  <c r="O885" i="1"/>
  <c r="AB885" i="1" s="1"/>
  <c r="V885" i="1"/>
  <c r="X885" i="1"/>
  <c r="S885" i="1" s="1"/>
  <c r="V886" i="1"/>
  <c r="X886" i="1"/>
  <c r="Y886" i="1"/>
  <c r="S887" i="1"/>
  <c r="V887" i="1"/>
  <c r="X887" i="1"/>
  <c r="O887" i="1" s="1"/>
  <c r="AB887" i="1" s="1"/>
  <c r="Z887" i="1"/>
  <c r="S888" i="1"/>
  <c r="V888" i="1"/>
  <c r="W888" i="1"/>
  <c r="X888" i="1"/>
  <c r="Y888" i="1" s="1"/>
  <c r="Z888" i="1"/>
  <c r="S889" i="1"/>
  <c r="V889" i="1"/>
  <c r="X889" i="1"/>
  <c r="O889" i="1" s="1"/>
  <c r="U890" i="1"/>
  <c r="V890" i="1"/>
  <c r="X890" i="1"/>
  <c r="Y890" i="1" s="1"/>
  <c r="V891" i="1"/>
  <c r="X891" i="1"/>
  <c r="S891" i="1" s="1"/>
  <c r="S892" i="1"/>
  <c r="V892" i="1"/>
  <c r="W892" i="1"/>
  <c r="X892" i="1"/>
  <c r="Y892" i="1" s="1"/>
  <c r="Z892" i="1"/>
  <c r="S893" i="1"/>
  <c r="V893" i="1"/>
  <c r="X893" i="1"/>
  <c r="O893" i="1" s="1"/>
  <c r="Y893" i="1"/>
  <c r="V894" i="1"/>
  <c r="X894" i="1"/>
  <c r="U894" i="1" s="1"/>
  <c r="U895" i="1"/>
  <c r="V895" i="1"/>
  <c r="X895" i="1"/>
  <c r="O895" i="1" s="1"/>
  <c r="AB895" i="1" s="1"/>
  <c r="Y895" i="1"/>
  <c r="U896" i="1"/>
  <c r="V896" i="1"/>
  <c r="W896" i="1"/>
  <c r="X896" i="1"/>
  <c r="Y896" i="1" s="1"/>
  <c r="Z896" i="1"/>
  <c r="O897" i="1"/>
  <c r="V897" i="1"/>
  <c r="X897" i="1"/>
  <c r="S897" i="1" s="1"/>
  <c r="V898" i="1"/>
  <c r="X898" i="1"/>
  <c r="Y898" i="1" s="1"/>
  <c r="V899" i="1"/>
  <c r="X899" i="1"/>
  <c r="Z899" i="1" s="1"/>
  <c r="V900" i="1"/>
  <c r="X900" i="1"/>
  <c r="U900" i="1" s="1"/>
  <c r="O901" i="1"/>
  <c r="S901" i="1"/>
  <c r="U901" i="1"/>
  <c r="V901" i="1"/>
  <c r="W901" i="1"/>
  <c r="X901" i="1"/>
  <c r="Y901" i="1"/>
  <c r="Z901" i="1"/>
  <c r="V902" i="1"/>
  <c r="X902" i="1"/>
  <c r="O903" i="1"/>
  <c r="AB903" i="1" s="1"/>
  <c r="S903" i="1"/>
  <c r="U903" i="1"/>
  <c r="V903" i="1"/>
  <c r="W903" i="1"/>
  <c r="AA903" i="1" s="1"/>
  <c r="X903" i="1"/>
  <c r="Z903" i="1" s="1"/>
  <c r="Y903" i="1"/>
  <c r="V904" i="1"/>
  <c r="X904" i="1"/>
  <c r="Y904" i="1" s="1"/>
  <c r="O905" i="1"/>
  <c r="AB905" i="1" s="1"/>
  <c r="U905" i="1"/>
  <c r="V905" i="1"/>
  <c r="W905" i="1"/>
  <c r="X905" i="1"/>
  <c r="S905" i="1" s="1"/>
  <c r="Y905" i="1"/>
  <c r="Z905" i="1"/>
  <c r="AA905" i="1" s="1"/>
  <c r="V906" i="1"/>
  <c r="X906" i="1"/>
  <c r="S906" i="1" s="1"/>
  <c r="Z906" i="1"/>
  <c r="V907" i="1"/>
  <c r="X907" i="1"/>
  <c r="Z907" i="1" s="1"/>
  <c r="V908" i="1"/>
  <c r="X908" i="1"/>
  <c r="Y908" i="1" s="1"/>
  <c r="S909" i="1"/>
  <c r="V909" i="1"/>
  <c r="X909" i="1"/>
  <c r="Z909" i="1" s="1"/>
  <c r="Y909" i="1"/>
  <c r="O910" i="1"/>
  <c r="V910" i="1"/>
  <c r="X910" i="1"/>
  <c r="S910" i="1" s="1"/>
  <c r="Z910" i="1"/>
  <c r="V911" i="1"/>
  <c r="W911" i="1"/>
  <c r="AA911" i="1" s="1"/>
  <c r="X911" i="1"/>
  <c r="Z911" i="1" s="1"/>
  <c r="V912" i="1"/>
  <c r="X912" i="1"/>
  <c r="U912" i="1" s="1"/>
  <c r="O913" i="1"/>
  <c r="AB913" i="1" s="1"/>
  <c r="S913" i="1"/>
  <c r="V913" i="1"/>
  <c r="W913" i="1"/>
  <c r="X913" i="1"/>
  <c r="U913" i="1" s="1"/>
  <c r="Y913" i="1"/>
  <c r="V914" i="1"/>
  <c r="X914" i="1"/>
  <c r="W914" i="1" s="1"/>
  <c r="S915" i="1"/>
  <c r="V915" i="1"/>
  <c r="W915" i="1"/>
  <c r="AA915" i="1" s="1"/>
  <c r="X915" i="1"/>
  <c r="Z915" i="1" s="1"/>
  <c r="U916" i="1"/>
  <c r="V916" i="1"/>
  <c r="X916" i="1"/>
  <c r="Y916" i="1" s="1"/>
  <c r="O917" i="1"/>
  <c r="AB917" i="1" s="1"/>
  <c r="S917" i="1"/>
  <c r="V917" i="1"/>
  <c r="X917" i="1"/>
  <c r="Z917" i="1" s="1"/>
  <c r="V918" i="1"/>
  <c r="W918" i="1"/>
  <c r="X918" i="1"/>
  <c r="O918" i="1" s="1"/>
  <c r="O919" i="1"/>
  <c r="V919" i="1"/>
  <c r="X919" i="1"/>
  <c r="V920" i="1"/>
  <c r="X920" i="1"/>
  <c r="Z920" i="1" s="1"/>
  <c r="Y920" i="1"/>
  <c r="O921" i="1"/>
  <c r="AB921" i="1" s="1"/>
  <c r="V921" i="1"/>
  <c r="X921" i="1"/>
  <c r="W921" i="1" s="1"/>
  <c r="Y921" i="1"/>
  <c r="S922" i="1"/>
  <c r="V922" i="1"/>
  <c r="X922" i="1"/>
  <c r="W922" i="1" s="1"/>
  <c r="U923" i="1"/>
  <c r="V923" i="1"/>
  <c r="W923" i="1"/>
  <c r="AA923" i="1" s="1"/>
  <c r="X923" i="1"/>
  <c r="Z923" i="1" s="1"/>
  <c r="Y923" i="1"/>
  <c r="V924" i="1"/>
  <c r="X924" i="1"/>
  <c r="O925" i="1"/>
  <c r="AB925" i="1" s="1"/>
  <c r="S925" i="1"/>
  <c r="U925" i="1"/>
  <c r="V925" i="1"/>
  <c r="W925" i="1"/>
  <c r="X925" i="1"/>
  <c r="Y925" i="1" s="1"/>
  <c r="Z925" i="1"/>
  <c r="O926" i="1"/>
  <c r="S926" i="1"/>
  <c r="V926" i="1"/>
  <c r="W926" i="1"/>
  <c r="X926" i="1"/>
  <c r="U926" i="1" s="1"/>
  <c r="AB926" i="1"/>
  <c r="V927" i="1"/>
  <c r="X927" i="1"/>
  <c r="Y927" i="1" s="1"/>
  <c r="O928" i="1"/>
  <c r="N928" i="1" s="1"/>
  <c r="N929" i="1" s="1"/>
  <c r="U928" i="1"/>
  <c r="V928" i="1"/>
  <c r="W928" i="1"/>
  <c r="X928" i="1"/>
  <c r="S928" i="1" s="1"/>
  <c r="Y928" i="1"/>
  <c r="O929" i="1"/>
  <c r="AB929" i="1" s="1"/>
  <c r="S929" i="1"/>
  <c r="V929" i="1"/>
  <c r="X929" i="1"/>
  <c r="Z929" i="1" s="1"/>
  <c r="O930" i="1"/>
  <c r="V930" i="1"/>
  <c r="W930" i="1"/>
  <c r="X930" i="1"/>
  <c r="U931" i="1"/>
  <c r="V931" i="1"/>
  <c r="X931" i="1"/>
  <c r="O931" i="1" s="1"/>
  <c r="AB931" i="1" s="1"/>
  <c r="U932" i="1"/>
  <c r="V932" i="1"/>
  <c r="X932" i="1"/>
  <c r="S932" i="1" s="1"/>
  <c r="Y932" i="1"/>
  <c r="Z932" i="1"/>
  <c r="O933" i="1"/>
  <c r="AB933" i="1" s="1"/>
  <c r="S933" i="1"/>
  <c r="U933" i="1"/>
  <c r="V933" i="1"/>
  <c r="W933" i="1"/>
  <c r="X933" i="1"/>
  <c r="Y933" i="1" s="1"/>
  <c r="Z933" i="1"/>
  <c r="AA933" i="1" s="1"/>
  <c r="V934" i="1"/>
  <c r="X934" i="1"/>
  <c r="U934" i="1" s="1"/>
  <c r="S914" i="1" l="1"/>
  <c r="W934" i="1"/>
  <c r="AB928" i="1"/>
  <c r="Z916" i="1"/>
  <c r="O914" i="1"/>
  <c r="AB914" i="1" s="1"/>
  <c r="W898" i="1"/>
  <c r="W891" i="1"/>
  <c r="Y929" i="1"/>
  <c r="Z928" i="1"/>
  <c r="AA928" i="1" s="1"/>
  <c r="U920" i="1"/>
  <c r="Y917" i="1"/>
  <c r="Z913" i="1"/>
  <c r="AA913" i="1" s="1"/>
  <c r="W910" i="1"/>
  <c r="W909" i="1"/>
  <c r="AA909" i="1" s="1"/>
  <c r="W899" i="1"/>
  <c r="AA899" i="1" s="1"/>
  <c r="U892" i="1"/>
  <c r="O888" i="1"/>
  <c r="AB888" i="1" s="1"/>
  <c r="Z884" i="1"/>
  <c r="AA884" i="1" s="1"/>
  <c r="O884" i="1"/>
  <c r="U883" i="1"/>
  <c r="T883" i="1" s="1"/>
  <c r="T884" i="1" s="1"/>
  <c r="P884" i="1" s="1"/>
  <c r="AF884" i="1" s="1"/>
  <c r="W881" i="1"/>
  <c r="U880" i="1"/>
  <c r="U879" i="1"/>
  <c r="Y876" i="1"/>
  <c r="O873" i="1"/>
  <c r="AB873" i="1" s="1"/>
  <c r="N872" i="1"/>
  <c r="U870" i="1"/>
  <c r="W868" i="1"/>
  <c r="AA868" i="1" s="1"/>
  <c r="Y867" i="1"/>
  <c r="W864" i="1"/>
  <c r="O861" i="1"/>
  <c r="O860" i="1"/>
  <c r="Z939" i="1"/>
  <c r="O936" i="1"/>
  <c r="AB936" i="1" s="1"/>
  <c r="Z875" i="1"/>
  <c r="AA875" i="1" s="1"/>
  <c r="AA872" i="1"/>
  <c r="Z871" i="1"/>
  <c r="Z860" i="1"/>
  <c r="Z940" i="1"/>
  <c r="Z935" i="1"/>
  <c r="S934" i="1"/>
  <c r="AA925" i="1"/>
  <c r="U921" i="1"/>
  <c r="U898" i="1"/>
  <c r="U891" i="1"/>
  <c r="O934" i="1"/>
  <c r="AB934" i="1" s="1"/>
  <c r="W929" i="1"/>
  <c r="AA929" i="1" s="1"/>
  <c r="S921" i="1"/>
  <c r="W917" i="1"/>
  <c r="AA917" i="1" s="1"/>
  <c r="Z914" i="1"/>
  <c r="AA914" i="1" s="1"/>
  <c r="U909" i="1"/>
  <c r="AA901" i="1"/>
  <c r="Z900" i="1"/>
  <c r="U899" i="1"/>
  <c r="S898" i="1"/>
  <c r="S895" i="1"/>
  <c r="O892" i="1"/>
  <c r="O891" i="1"/>
  <c r="Y887" i="1"/>
  <c r="S881" i="1"/>
  <c r="W876" i="1"/>
  <c r="Y875" i="1"/>
  <c r="Y871" i="1"/>
  <c r="W869" i="1"/>
  <c r="U868" i="1"/>
  <c r="W867" i="1"/>
  <c r="W865" i="1"/>
  <c r="U864" i="1"/>
  <c r="Z936" i="1"/>
  <c r="W940" i="1"/>
  <c r="AA940" i="1" s="1"/>
  <c r="O898" i="1"/>
  <c r="S864" i="1"/>
  <c r="U929" i="1"/>
  <c r="Z921" i="1"/>
  <c r="AA921" i="1" s="1"/>
  <c r="U917" i="1"/>
  <c r="O909" i="1"/>
  <c r="AB909" i="1" s="1"/>
  <c r="Z898" i="1"/>
  <c r="AA898" i="1" s="1"/>
  <c r="O896" i="1"/>
  <c r="Z891" i="1"/>
  <c r="W885" i="1"/>
  <c r="Y883" i="1"/>
  <c r="Z880" i="1"/>
  <c r="Z879" i="1"/>
  <c r="U876" i="1"/>
  <c r="W875" i="1"/>
  <c r="O869" i="1"/>
  <c r="O868" i="1"/>
  <c r="U867" i="1"/>
  <c r="S865" i="1"/>
  <c r="O864" i="1"/>
  <c r="W860" i="1"/>
  <c r="AA860" i="1" s="1"/>
  <c r="Y938" i="1"/>
  <c r="W936" i="1"/>
  <c r="AA936" i="1" s="1"/>
  <c r="U911" i="1"/>
  <c r="Z895" i="1"/>
  <c r="Y891" i="1"/>
  <c r="U887" i="1"/>
  <c r="Y879" i="1"/>
  <c r="U872" i="1"/>
  <c r="U871" i="1"/>
  <c r="O867" i="1"/>
  <c r="AB867" i="1" s="1"/>
  <c r="O865" i="1"/>
  <c r="U940" i="1"/>
  <c r="AA910" i="1"/>
  <c r="AA864" i="1"/>
  <c r="AA876" i="1"/>
  <c r="N876" i="1"/>
  <c r="N877" i="1" s="1"/>
  <c r="O875" i="1"/>
  <c r="AB875" i="1" s="1"/>
  <c r="AB935" i="1"/>
  <c r="AB938" i="1"/>
  <c r="S941" i="1"/>
  <c r="N940" i="1"/>
  <c r="Y939" i="1"/>
  <c r="W937" i="1"/>
  <c r="O937" i="1"/>
  <c r="U935" i="1"/>
  <c r="Z941" i="1"/>
  <c r="S938" i="1"/>
  <c r="Y941" i="1"/>
  <c r="W939" i="1"/>
  <c r="AA939" i="1" s="1"/>
  <c r="O939" i="1"/>
  <c r="Z938" i="1"/>
  <c r="U937" i="1"/>
  <c r="S935" i="1"/>
  <c r="W941" i="1"/>
  <c r="O941" i="1"/>
  <c r="S937" i="1"/>
  <c r="N936" i="1"/>
  <c r="Y935" i="1"/>
  <c r="W938" i="1"/>
  <c r="Z937" i="1"/>
  <c r="W935" i="1"/>
  <c r="AA935" i="1" s="1"/>
  <c r="AB893" i="1"/>
  <c r="AB889" i="1"/>
  <c r="Y930" i="1"/>
  <c r="Z930" i="1"/>
  <c r="S930" i="1"/>
  <c r="U930" i="1"/>
  <c r="AB918" i="1"/>
  <c r="AA932" i="1"/>
  <c r="AB919" i="1"/>
  <c r="Z919" i="1"/>
  <c r="Y919" i="1"/>
  <c r="S919" i="1"/>
  <c r="U919" i="1"/>
  <c r="W919" i="1"/>
  <c r="O924" i="1"/>
  <c r="W924" i="1"/>
  <c r="S924" i="1"/>
  <c r="Y924" i="1"/>
  <c r="Z924" i="1"/>
  <c r="U924" i="1"/>
  <c r="AB930" i="1"/>
  <c r="N930" i="1"/>
  <c r="N931" i="1" s="1"/>
  <c r="Z927" i="1"/>
  <c r="S927" i="1"/>
  <c r="U927" i="1"/>
  <c r="O927" i="1"/>
  <c r="W927" i="1"/>
  <c r="Y902" i="1"/>
  <c r="S902" i="1"/>
  <c r="U902" i="1"/>
  <c r="Z926" i="1"/>
  <c r="Z908" i="1"/>
  <c r="W907" i="1"/>
  <c r="AA907" i="1" s="1"/>
  <c r="W902" i="1"/>
  <c r="N887" i="1"/>
  <c r="AB861" i="1"/>
  <c r="AA880" i="1"/>
  <c r="Z934" i="1"/>
  <c r="S931" i="1"/>
  <c r="Y934" i="1"/>
  <c r="W932" i="1"/>
  <c r="O932" i="1"/>
  <c r="Z931" i="1"/>
  <c r="Y926" i="1"/>
  <c r="S923" i="1"/>
  <c r="S920" i="1"/>
  <c r="O920" i="1"/>
  <c r="W920" i="1"/>
  <c r="AA920" i="1" s="1"/>
  <c r="Y915" i="1"/>
  <c r="U914" i="1"/>
  <c r="Y914" i="1"/>
  <c r="AB910" i="1"/>
  <c r="O900" i="1"/>
  <c r="W900" i="1"/>
  <c r="AA900" i="1" s="1"/>
  <c r="Y900" i="1"/>
  <c r="S900" i="1"/>
  <c r="S899" i="1"/>
  <c r="AB898" i="1"/>
  <c r="AA891" i="1"/>
  <c r="S912" i="1"/>
  <c r="O912" i="1"/>
  <c r="W912" i="1"/>
  <c r="Y931" i="1"/>
  <c r="Z922" i="1"/>
  <c r="O922" i="1"/>
  <c r="S918" i="1"/>
  <c r="O915" i="1"/>
  <c r="S911" i="1"/>
  <c r="O908" i="1"/>
  <c r="W908" i="1"/>
  <c r="S908" i="1"/>
  <c r="U907" i="1"/>
  <c r="AA888" i="1"/>
  <c r="S907" i="1"/>
  <c r="AB901" i="1"/>
  <c r="Z882" i="1"/>
  <c r="S882" i="1"/>
  <c r="U882" i="1"/>
  <c r="O882" i="1"/>
  <c r="W882" i="1"/>
  <c r="W931" i="1"/>
  <c r="O923" i="1"/>
  <c r="O916" i="1"/>
  <c r="W916" i="1"/>
  <c r="S916" i="1"/>
  <c r="Y911" i="1"/>
  <c r="Y910" i="1"/>
  <c r="U910" i="1"/>
  <c r="U908" i="1"/>
  <c r="U906" i="1"/>
  <c r="O906" i="1"/>
  <c r="W906" i="1"/>
  <c r="AA906" i="1" s="1"/>
  <c r="Y906" i="1"/>
  <c r="Z904" i="1"/>
  <c r="Y899" i="1"/>
  <c r="O899" i="1"/>
  <c r="AB897" i="1"/>
  <c r="O894" i="1"/>
  <c r="W894" i="1"/>
  <c r="Z894" i="1"/>
  <c r="S894" i="1"/>
  <c r="Y894" i="1"/>
  <c r="AA892" i="1"/>
  <c r="U889" i="1"/>
  <c r="Y889" i="1"/>
  <c r="Z889" i="1"/>
  <c r="W889" i="1"/>
  <c r="R885" i="1"/>
  <c r="Q885" i="1" s="1"/>
  <c r="AB877" i="1"/>
  <c r="U922" i="1"/>
  <c r="Y922" i="1"/>
  <c r="Z918" i="1"/>
  <c r="U915" i="1"/>
  <c r="Z912" i="1"/>
  <c r="O911" i="1"/>
  <c r="O902" i="1"/>
  <c r="Z893" i="1"/>
  <c r="U893" i="1"/>
  <c r="W893" i="1"/>
  <c r="Z890" i="1"/>
  <c r="S890" i="1"/>
  <c r="O890" i="1"/>
  <c r="W890" i="1"/>
  <c r="Y866" i="1"/>
  <c r="Z866" i="1"/>
  <c r="S866" i="1"/>
  <c r="U866" i="1"/>
  <c r="O866" i="1"/>
  <c r="W866" i="1"/>
  <c r="Y918" i="1"/>
  <c r="U918" i="1"/>
  <c r="Y912" i="1"/>
  <c r="Y907" i="1"/>
  <c r="O907" i="1"/>
  <c r="S904" i="1"/>
  <c r="U904" i="1"/>
  <c r="O904" i="1"/>
  <c r="W904" i="1"/>
  <c r="Z902" i="1"/>
  <c r="Y897" i="1"/>
  <c r="U897" i="1"/>
  <c r="W897" i="1"/>
  <c r="Z897" i="1"/>
  <c r="AA896" i="1"/>
  <c r="AB896" i="1"/>
  <c r="N896" i="1"/>
  <c r="N897" i="1" s="1"/>
  <c r="N898" i="1" s="1"/>
  <c r="N873" i="1"/>
  <c r="AB869" i="1"/>
  <c r="O886" i="1"/>
  <c r="W886" i="1"/>
  <c r="Z886" i="1"/>
  <c r="S886" i="1"/>
  <c r="R886" i="1" s="1"/>
  <c r="P860" i="1"/>
  <c r="AF860" i="1" s="1"/>
  <c r="O878" i="1"/>
  <c r="W878" i="1"/>
  <c r="Y878" i="1"/>
  <c r="Z878" i="1"/>
  <c r="S878" i="1"/>
  <c r="Y877" i="1"/>
  <c r="Z877" i="1"/>
  <c r="U877" i="1"/>
  <c r="S896" i="1"/>
  <c r="U886" i="1"/>
  <c r="Y885" i="1"/>
  <c r="Z885" i="1"/>
  <c r="U885" i="1"/>
  <c r="N881" i="1"/>
  <c r="W877" i="1"/>
  <c r="Z874" i="1"/>
  <c r="S874" i="1"/>
  <c r="U874" i="1"/>
  <c r="O874" i="1"/>
  <c r="W874" i="1"/>
  <c r="AB859" i="1"/>
  <c r="U888" i="1"/>
  <c r="Z881" i="1"/>
  <c r="Z873" i="1"/>
  <c r="S870" i="1"/>
  <c r="Z865" i="1"/>
  <c r="S862" i="1"/>
  <c r="W895" i="1"/>
  <c r="AA895" i="1" s="1"/>
  <c r="W887" i="1"/>
  <c r="AA887" i="1" s="1"/>
  <c r="AA883" i="1"/>
  <c r="Y881" i="1"/>
  <c r="W879" i="1"/>
  <c r="O879" i="1"/>
  <c r="Y873" i="1"/>
  <c r="W871" i="1"/>
  <c r="AA871" i="1" s="1"/>
  <c r="O871" i="1"/>
  <c r="Z870" i="1"/>
  <c r="U869" i="1"/>
  <c r="AA867" i="1"/>
  <c r="Y865" i="1"/>
  <c r="W863" i="1"/>
  <c r="AA863" i="1" s="1"/>
  <c r="O863" i="1"/>
  <c r="Z862" i="1"/>
  <c r="U861" i="1"/>
  <c r="T861" i="1" s="1"/>
  <c r="S859" i="1"/>
  <c r="Y870" i="1"/>
  <c r="Y862" i="1"/>
  <c r="S869" i="1"/>
  <c r="S861" i="1"/>
  <c r="R861" i="1" s="1"/>
  <c r="Q861" i="1" s="1"/>
  <c r="W870" i="1"/>
  <c r="Z869" i="1"/>
  <c r="W862" i="1"/>
  <c r="O862" i="1"/>
  <c r="Z861" i="1"/>
  <c r="W859" i="1"/>
  <c r="AA859" i="1" s="1"/>
  <c r="H5" i="6"/>
  <c r="K1" i="6"/>
  <c r="J1" i="6"/>
  <c r="BV52" i="1"/>
  <c r="AV33" i="1"/>
  <c r="U840" i="1"/>
  <c r="V840" i="1"/>
  <c r="X840" i="1"/>
  <c r="O840" i="1" s="1"/>
  <c r="V841" i="1"/>
  <c r="X841" i="1"/>
  <c r="S841" i="1" s="1"/>
  <c r="R841" i="1" s="1"/>
  <c r="Q841" i="1" s="1"/>
  <c r="V842" i="1"/>
  <c r="X842" i="1"/>
  <c r="U842" i="1" s="1"/>
  <c r="V843" i="1"/>
  <c r="X843" i="1"/>
  <c r="O843" i="1" s="1"/>
  <c r="Z843" i="1"/>
  <c r="O844" i="1"/>
  <c r="AB844" i="1" s="1"/>
  <c r="V844" i="1"/>
  <c r="X844" i="1"/>
  <c r="S844" i="1" s="1"/>
  <c r="V845" i="1"/>
  <c r="X845" i="1"/>
  <c r="Z845" i="1" s="1"/>
  <c r="V846" i="1"/>
  <c r="X846" i="1"/>
  <c r="U846" i="1" s="1"/>
  <c r="V847" i="1"/>
  <c r="X847" i="1"/>
  <c r="V848" i="1"/>
  <c r="X848" i="1"/>
  <c r="O848" i="1" s="1"/>
  <c r="Z848" i="1"/>
  <c r="V849" i="1"/>
  <c r="X849" i="1"/>
  <c r="S849" i="1" s="1"/>
  <c r="V850" i="1"/>
  <c r="X850" i="1"/>
  <c r="U850" i="1" s="1"/>
  <c r="V851" i="1"/>
  <c r="X851" i="1"/>
  <c r="O851" i="1" s="1"/>
  <c r="O852" i="1"/>
  <c r="AB852" i="1" s="1"/>
  <c r="V852" i="1"/>
  <c r="W852" i="1"/>
  <c r="X852" i="1"/>
  <c r="Z852" i="1" s="1"/>
  <c r="O853" i="1"/>
  <c r="AB853" i="1" s="1"/>
  <c r="S853" i="1"/>
  <c r="U853" i="1"/>
  <c r="V853" i="1"/>
  <c r="W853" i="1"/>
  <c r="X853" i="1"/>
  <c r="Z853" i="1"/>
  <c r="V854" i="1"/>
  <c r="X854" i="1"/>
  <c r="U854" i="1" s="1"/>
  <c r="V855" i="1"/>
  <c r="X855" i="1"/>
  <c r="Z855" i="1" s="1"/>
  <c r="V856" i="1"/>
  <c r="X856" i="1"/>
  <c r="O856" i="1" s="1"/>
  <c r="V857" i="1"/>
  <c r="X857" i="1"/>
  <c r="U857" i="1" s="1"/>
  <c r="V858" i="1"/>
  <c r="X858" i="1"/>
  <c r="U858" i="1" s="1"/>
  <c r="T885" i="1" l="1"/>
  <c r="P885" i="1" s="1"/>
  <c r="AF885" i="1" s="1"/>
  <c r="P883" i="1"/>
  <c r="AF883" i="1" s="1"/>
  <c r="AB884" i="1"/>
  <c r="N884" i="1"/>
  <c r="N885" i="1" s="1"/>
  <c r="AB864" i="1"/>
  <c r="N864" i="1"/>
  <c r="AB891" i="1"/>
  <c r="N891" i="1"/>
  <c r="N892" i="1"/>
  <c r="N893" i="1" s="1"/>
  <c r="N894" i="1" s="1"/>
  <c r="N895" i="1" s="1"/>
  <c r="AB892" i="1"/>
  <c r="U843" i="1"/>
  <c r="S840" i="1"/>
  <c r="AA879" i="1"/>
  <c r="AB860" i="1"/>
  <c r="N860" i="1"/>
  <c r="N861" i="1" s="1"/>
  <c r="N862" i="1" s="1"/>
  <c r="N863" i="1" s="1"/>
  <c r="N865" i="1"/>
  <c r="N866" i="1" s="1"/>
  <c r="N867" i="1" s="1"/>
  <c r="AB865" i="1"/>
  <c r="AB868" i="1"/>
  <c r="N868" i="1"/>
  <c r="N869" i="1" s="1"/>
  <c r="N870" i="1" s="1"/>
  <c r="N871" i="1" s="1"/>
  <c r="U856" i="1"/>
  <c r="S856" i="1"/>
  <c r="T886" i="1"/>
  <c r="T887" i="1" s="1"/>
  <c r="AA916" i="1"/>
  <c r="N888" i="1"/>
  <c r="N889" i="1" s="1"/>
  <c r="AW33" i="1"/>
  <c r="BW53" i="1"/>
  <c r="BX53" i="1" s="1"/>
  <c r="AA937" i="1"/>
  <c r="AA941" i="1"/>
  <c r="AA938" i="1"/>
  <c r="AB939" i="1"/>
  <c r="AB937" i="1"/>
  <c r="N937" i="1"/>
  <c r="N938" i="1" s="1"/>
  <c r="N939" i="1" s="1"/>
  <c r="N941" i="1"/>
  <c r="AB941" i="1"/>
  <c r="AA904" i="1"/>
  <c r="AB915" i="1"/>
  <c r="AA924" i="1"/>
  <c r="AA861" i="1"/>
  <c r="AA862" i="1"/>
  <c r="AB871" i="1"/>
  <c r="AA873" i="1"/>
  <c r="AA878" i="1"/>
  <c r="Q886" i="1"/>
  <c r="R887" i="1"/>
  <c r="AA912" i="1"/>
  <c r="AA889" i="1"/>
  <c r="AA894" i="1"/>
  <c r="AB923" i="1"/>
  <c r="N912" i="1"/>
  <c r="N913" i="1" s="1"/>
  <c r="N914" i="1" s="1"/>
  <c r="N915" i="1" s="1"/>
  <c r="AB912" i="1"/>
  <c r="AA926" i="1"/>
  <c r="AA874" i="1"/>
  <c r="AB932" i="1"/>
  <c r="N932" i="1"/>
  <c r="N933" i="1" s="1"/>
  <c r="N934" i="1" s="1"/>
  <c r="N935" i="1" s="1"/>
  <c r="AB863" i="1"/>
  <c r="AA881" i="1"/>
  <c r="N900" i="1"/>
  <c r="N901" i="1" s="1"/>
  <c r="N902" i="1" s="1"/>
  <c r="N903" i="1" s="1"/>
  <c r="AB900" i="1"/>
  <c r="AB920" i="1"/>
  <c r="N920" i="1"/>
  <c r="N921" i="1" s="1"/>
  <c r="AA927" i="1"/>
  <c r="P861" i="1"/>
  <c r="AF861" i="1" s="1"/>
  <c r="T862" i="1"/>
  <c r="AB907" i="1"/>
  <c r="AA886" i="1"/>
  <c r="AA902" i="1"/>
  <c r="AB902" i="1"/>
  <c r="AB894" i="1"/>
  <c r="AA882" i="1"/>
  <c r="AA908" i="1"/>
  <c r="AB862" i="1"/>
  <c r="AA866" i="1"/>
  <c r="AA890" i="1"/>
  <c r="AA869" i="1"/>
  <c r="AB906" i="1"/>
  <c r="N924" i="1"/>
  <c r="N925" i="1" s="1"/>
  <c r="N926" i="1" s="1"/>
  <c r="N927" i="1" s="1"/>
  <c r="AB924" i="1"/>
  <c r="N890" i="1"/>
  <c r="AB890" i="1"/>
  <c r="N882" i="1"/>
  <c r="AB882" i="1"/>
  <c r="R862" i="1"/>
  <c r="AA885" i="1"/>
  <c r="N878" i="1"/>
  <c r="N879" i="1" s="1"/>
  <c r="AB878" i="1"/>
  <c r="N886" i="1"/>
  <c r="AB886" i="1"/>
  <c r="N874" i="1"/>
  <c r="N875" i="1" s="1"/>
  <c r="AB874" i="1"/>
  <c r="AB904" i="1"/>
  <c r="N904" i="1"/>
  <c r="N905" i="1" s="1"/>
  <c r="N906" i="1" s="1"/>
  <c r="N907" i="1" s="1"/>
  <c r="AA893" i="1"/>
  <c r="AA918" i="1"/>
  <c r="AB908" i="1"/>
  <c r="N908" i="1"/>
  <c r="N909" i="1" s="1"/>
  <c r="N910" i="1" s="1"/>
  <c r="N922" i="1"/>
  <c r="N923" i="1" s="1"/>
  <c r="AB922" i="1"/>
  <c r="AA934" i="1"/>
  <c r="AA865" i="1"/>
  <c r="AB899" i="1"/>
  <c r="N899" i="1"/>
  <c r="AA922" i="1"/>
  <c r="AA870" i="1"/>
  <c r="AB879" i="1"/>
  <c r="AA877" i="1"/>
  <c r="AA897" i="1"/>
  <c r="AB866" i="1"/>
  <c r="N911" i="1"/>
  <c r="AB911" i="1"/>
  <c r="N916" i="1"/>
  <c r="N917" i="1" s="1"/>
  <c r="N918" i="1" s="1"/>
  <c r="N919" i="1" s="1"/>
  <c r="AB916" i="1"/>
  <c r="AA931" i="1"/>
  <c r="AB927" i="1"/>
  <c r="AA919" i="1"/>
  <c r="AA930" i="1"/>
  <c r="W854" i="1"/>
  <c r="Z851" i="1"/>
  <c r="W845" i="1"/>
  <c r="AA845" i="1" s="1"/>
  <c r="U844" i="1"/>
  <c r="O845" i="1"/>
  <c r="AB845" i="1" s="1"/>
  <c r="Z840" i="1"/>
  <c r="O854" i="1"/>
  <c r="AB854" i="1" s="1"/>
  <c r="U851" i="1"/>
  <c r="Z856" i="1"/>
  <c r="O855" i="1"/>
  <c r="AB855" i="1" s="1"/>
  <c r="S851" i="1"/>
  <c r="S846" i="1"/>
  <c r="Z844" i="1"/>
  <c r="W855" i="1"/>
  <c r="AA855" i="1" s="1"/>
  <c r="S854" i="1"/>
  <c r="W846" i="1"/>
  <c r="S845" i="1"/>
  <c r="AA853" i="1"/>
  <c r="U848" i="1"/>
  <c r="Z854" i="1"/>
  <c r="S848" i="1"/>
  <c r="W844" i="1"/>
  <c r="AB856" i="1"/>
  <c r="AB851" i="1"/>
  <c r="AB848" i="1"/>
  <c r="AB843" i="1"/>
  <c r="AA852" i="1"/>
  <c r="AB840" i="1"/>
  <c r="S857" i="1"/>
  <c r="W858" i="1"/>
  <c r="O858" i="1"/>
  <c r="Z857" i="1"/>
  <c r="AA854" i="1"/>
  <c r="W850" i="1"/>
  <c r="O850" i="1"/>
  <c r="Z849" i="1"/>
  <c r="W842" i="1"/>
  <c r="O842" i="1"/>
  <c r="Z841" i="1"/>
  <c r="W847" i="1"/>
  <c r="O847" i="1"/>
  <c r="Z846" i="1"/>
  <c r="U845" i="1"/>
  <c r="S843" i="1"/>
  <c r="W857" i="1"/>
  <c r="O857" i="1"/>
  <c r="U855" i="1"/>
  <c r="W849" i="1"/>
  <c r="O849" i="1"/>
  <c r="U847" i="1"/>
  <c r="W841" i="1"/>
  <c r="O841" i="1"/>
  <c r="U852" i="1"/>
  <c r="S850" i="1"/>
  <c r="O846" i="1"/>
  <c r="S842" i="1"/>
  <c r="R842" i="1" s="1"/>
  <c r="Q842" i="1" s="1"/>
  <c r="S858" i="1"/>
  <c r="W851" i="1"/>
  <c r="Z850" i="1"/>
  <c r="U849" i="1"/>
  <c r="S847" i="1"/>
  <c r="W843" i="1"/>
  <c r="AA843" i="1" s="1"/>
  <c r="Z842" i="1"/>
  <c r="U841" i="1"/>
  <c r="T841" i="1" s="1"/>
  <c r="P841" i="1" s="1"/>
  <c r="AF841" i="1" s="1"/>
  <c r="Z858" i="1"/>
  <c r="S855" i="1"/>
  <c r="W856" i="1"/>
  <c r="AA856" i="1" s="1"/>
  <c r="S852" i="1"/>
  <c r="W848" i="1"/>
  <c r="AA848" i="1" s="1"/>
  <c r="Z847" i="1"/>
  <c r="W840" i="1"/>
  <c r="N22" i="6"/>
  <c r="H22" i="6"/>
  <c r="N21" i="6"/>
  <c r="N20" i="6"/>
  <c r="H20" i="6"/>
  <c r="N19" i="6"/>
  <c r="N18" i="6"/>
  <c r="N17" i="6"/>
  <c r="N16" i="6"/>
  <c r="N15" i="6"/>
  <c r="N14" i="6"/>
  <c r="H14" i="6"/>
  <c r="N13" i="6"/>
  <c r="N12" i="6"/>
  <c r="N11" i="6"/>
  <c r="N10" i="6"/>
  <c r="N9" i="6"/>
  <c r="N8" i="6"/>
  <c r="N7" i="6"/>
  <c r="N6" i="6"/>
  <c r="L6" i="6"/>
  <c r="N5" i="6"/>
  <c r="H19" i="6"/>
  <c r="BV51" i="1"/>
  <c r="AV32" i="1"/>
  <c r="AW32" i="1" s="1"/>
  <c r="V797" i="1"/>
  <c r="X797" i="1"/>
  <c r="O797" i="1" s="1"/>
  <c r="Z797" i="1"/>
  <c r="V798" i="1"/>
  <c r="X798" i="1"/>
  <c r="U798" i="1" s="1"/>
  <c r="T798" i="1" s="1"/>
  <c r="V799" i="1"/>
  <c r="X799" i="1"/>
  <c r="S799" i="1" s="1"/>
  <c r="V800" i="1"/>
  <c r="X800" i="1"/>
  <c r="U800" i="1" s="1"/>
  <c r="V801" i="1"/>
  <c r="X801" i="1"/>
  <c r="Z801" i="1" s="1"/>
  <c r="S802" i="1"/>
  <c r="V802" i="1"/>
  <c r="X802" i="1"/>
  <c r="O802" i="1" s="1"/>
  <c r="AB802" i="1" s="1"/>
  <c r="V803" i="1"/>
  <c r="X803" i="1"/>
  <c r="U803" i="1" s="1"/>
  <c r="V804" i="1"/>
  <c r="X804" i="1"/>
  <c r="V805" i="1"/>
  <c r="X805" i="1"/>
  <c r="W805" i="1" s="1"/>
  <c r="V806" i="1"/>
  <c r="X806" i="1"/>
  <c r="U806" i="1" s="1"/>
  <c r="V807" i="1"/>
  <c r="X807" i="1"/>
  <c r="O807" i="1" s="1"/>
  <c r="V808" i="1"/>
  <c r="X808" i="1"/>
  <c r="U808" i="1" s="1"/>
  <c r="U809" i="1"/>
  <c r="V809" i="1"/>
  <c r="X809" i="1"/>
  <c r="S809" i="1" s="1"/>
  <c r="Z809" i="1"/>
  <c r="V810" i="1"/>
  <c r="W810" i="1"/>
  <c r="X810" i="1"/>
  <c r="U810" i="1" s="1"/>
  <c r="U811" i="1"/>
  <c r="V811" i="1"/>
  <c r="X811" i="1"/>
  <c r="Z811" i="1" s="1"/>
  <c r="V812" i="1"/>
  <c r="X812" i="1"/>
  <c r="S813" i="1"/>
  <c r="V813" i="1"/>
  <c r="X813" i="1"/>
  <c r="Z813" i="1" s="1"/>
  <c r="V814" i="1"/>
  <c r="X814" i="1"/>
  <c r="U814" i="1" s="1"/>
  <c r="V815" i="1"/>
  <c r="X815" i="1"/>
  <c r="O815" i="1" s="1"/>
  <c r="V816" i="1"/>
  <c r="X816" i="1"/>
  <c r="U816" i="1" s="1"/>
  <c r="V817" i="1"/>
  <c r="W817" i="1"/>
  <c r="X817" i="1"/>
  <c r="S817" i="1" s="1"/>
  <c r="O818" i="1"/>
  <c r="AB818" i="1" s="1"/>
  <c r="U818" i="1"/>
  <c r="V818" i="1"/>
  <c r="X818" i="1"/>
  <c r="W818" i="1" s="1"/>
  <c r="V819" i="1"/>
  <c r="X819" i="1"/>
  <c r="Z819" i="1" s="1"/>
  <c r="V820" i="1"/>
  <c r="X820" i="1"/>
  <c r="V821" i="1"/>
  <c r="X821" i="1"/>
  <c r="S821" i="1" s="1"/>
  <c r="V822" i="1"/>
  <c r="X822" i="1"/>
  <c r="U822" i="1" s="1"/>
  <c r="S823" i="1"/>
  <c r="V823" i="1"/>
  <c r="X823" i="1"/>
  <c r="O823" i="1" s="1"/>
  <c r="V824" i="1"/>
  <c r="X824" i="1"/>
  <c r="V825" i="1"/>
  <c r="X825" i="1"/>
  <c r="W825" i="1" s="1"/>
  <c r="V826" i="1"/>
  <c r="X826" i="1"/>
  <c r="O826" i="1" s="1"/>
  <c r="AB826" i="1" s="1"/>
  <c r="V827" i="1"/>
  <c r="X827" i="1"/>
  <c r="Z827" i="1" s="1"/>
  <c r="V828" i="1"/>
  <c r="X828" i="1"/>
  <c r="V829" i="1"/>
  <c r="X829" i="1"/>
  <c r="U829" i="1" s="1"/>
  <c r="V830" i="1"/>
  <c r="X830" i="1"/>
  <c r="Z830" i="1" s="1"/>
  <c r="U831" i="1"/>
  <c r="V831" i="1"/>
  <c r="X831" i="1"/>
  <c r="O831" i="1" s="1"/>
  <c r="V832" i="1"/>
  <c r="X832" i="1"/>
  <c r="Z832" i="1" s="1"/>
  <c r="V833" i="1"/>
  <c r="X833" i="1"/>
  <c r="S833" i="1" s="1"/>
  <c r="V834" i="1"/>
  <c r="X834" i="1"/>
  <c r="O834" i="1" s="1"/>
  <c r="V835" i="1"/>
  <c r="X835" i="1"/>
  <c r="U835" i="1" s="1"/>
  <c r="V836" i="1"/>
  <c r="X836" i="1"/>
  <c r="S836" i="1" s="1"/>
  <c r="V837" i="1"/>
  <c r="X837" i="1"/>
  <c r="Z837" i="1" s="1"/>
  <c r="V838" i="1"/>
  <c r="X838" i="1"/>
  <c r="S838" i="1" s="1"/>
  <c r="V839" i="1"/>
  <c r="X839" i="1"/>
  <c r="W819" i="1" l="1"/>
  <c r="O833" i="1"/>
  <c r="W829" i="1"/>
  <c r="U819" i="1"/>
  <c r="W799" i="1"/>
  <c r="U797" i="1"/>
  <c r="S819" i="1"/>
  <c r="O819" i="1"/>
  <c r="AB819" i="1" s="1"/>
  <c r="W813" i="1"/>
  <c r="O799" i="1"/>
  <c r="Z818" i="1"/>
  <c r="Z810" i="1"/>
  <c r="AA840" i="1"/>
  <c r="S797" i="1"/>
  <c r="P886" i="1"/>
  <c r="AF886" i="1" s="1"/>
  <c r="Z833" i="1"/>
  <c r="AA833" i="1" s="1"/>
  <c r="U813" i="1"/>
  <c r="U801" i="1"/>
  <c r="T863" i="1"/>
  <c r="T888" i="1"/>
  <c r="Q862" i="1"/>
  <c r="P862" i="1" s="1"/>
  <c r="AF862" i="1" s="1"/>
  <c r="R863" i="1"/>
  <c r="Q887" i="1"/>
  <c r="P887" i="1" s="1"/>
  <c r="AF887" i="1" s="1"/>
  <c r="R888" i="1"/>
  <c r="O827" i="1"/>
  <c r="AB827" i="1" s="1"/>
  <c r="O810" i="1"/>
  <c r="AB810" i="1" s="1"/>
  <c r="W807" i="1"/>
  <c r="Z802" i="1"/>
  <c r="AA844" i="1"/>
  <c r="O829" i="1"/>
  <c r="O817" i="1"/>
  <c r="AB817" i="1" s="1"/>
  <c r="S814" i="1"/>
  <c r="U805" i="1"/>
  <c r="O838" i="1"/>
  <c r="AB838" i="1" s="1"/>
  <c r="S827" i="1"/>
  <c r="Z829" i="1"/>
  <c r="AA829" i="1" s="1"/>
  <c r="AA813" i="1"/>
  <c r="S807" i="1"/>
  <c r="O805" i="1"/>
  <c r="W802" i="1"/>
  <c r="Z838" i="1"/>
  <c r="AA819" i="1"/>
  <c r="AA851" i="1"/>
  <c r="R843" i="1"/>
  <c r="Q843" i="1" s="1"/>
  <c r="U825" i="1"/>
  <c r="Z817" i="1"/>
  <c r="AA817" i="1" s="1"/>
  <c r="Z803" i="1"/>
  <c r="S829" i="1"/>
  <c r="U827" i="1"/>
  <c r="Z814" i="1"/>
  <c r="L1" i="6"/>
  <c r="AI19" i="1" s="1"/>
  <c r="H9" i="6"/>
  <c r="H17" i="6"/>
  <c r="H12" i="6"/>
  <c r="AA847" i="1"/>
  <c r="AA842" i="1"/>
  <c r="AB841" i="1"/>
  <c r="N841" i="1"/>
  <c r="N842" i="1" s="1"/>
  <c r="N843" i="1" s="1"/>
  <c r="N844" i="1" s="1"/>
  <c r="N845" i="1" s="1"/>
  <c r="N846" i="1" s="1"/>
  <c r="N847" i="1" s="1"/>
  <c r="N848" i="1" s="1"/>
  <c r="AB849" i="1"/>
  <c r="N849" i="1"/>
  <c r="N850" i="1" s="1"/>
  <c r="N851" i="1" s="1"/>
  <c r="N852" i="1" s="1"/>
  <c r="N853" i="1" s="1"/>
  <c r="N854" i="1" s="1"/>
  <c r="N855" i="1" s="1"/>
  <c r="N856" i="1" s="1"/>
  <c r="AA841" i="1"/>
  <c r="AA846" i="1"/>
  <c r="AB842" i="1"/>
  <c r="AA857" i="1"/>
  <c r="AB857" i="1"/>
  <c r="N857" i="1"/>
  <c r="N858" i="1" s="1"/>
  <c r="N859" i="1" s="1"/>
  <c r="AB847" i="1"/>
  <c r="AB858" i="1"/>
  <c r="T842" i="1"/>
  <c r="AA849" i="1"/>
  <c r="AA858" i="1"/>
  <c r="AA850" i="1"/>
  <c r="AB846" i="1"/>
  <c r="AB850" i="1"/>
  <c r="O821" i="1"/>
  <c r="W823" i="1"/>
  <c r="W811" i="1"/>
  <c r="AA811" i="1" s="1"/>
  <c r="W838" i="1"/>
  <c r="AA838" i="1" s="1"/>
  <c r="W833" i="1"/>
  <c r="Z826" i="1"/>
  <c r="Z821" i="1"/>
  <c r="W815" i="1"/>
  <c r="O813" i="1"/>
  <c r="S806" i="1"/>
  <c r="S805" i="1"/>
  <c r="W803" i="1"/>
  <c r="AA803" i="1" s="1"/>
  <c r="U802" i="1"/>
  <c r="S798" i="1"/>
  <c r="R798" i="1" s="1"/>
  <c r="Q798" i="1" s="1"/>
  <c r="P798" i="1" s="1"/>
  <c r="AF798" i="1" s="1"/>
  <c r="U838" i="1"/>
  <c r="W826" i="1"/>
  <c r="S825" i="1"/>
  <c r="W821" i="1"/>
  <c r="S815" i="1"/>
  <c r="S811" i="1"/>
  <c r="S803" i="1"/>
  <c r="U833" i="1"/>
  <c r="W827" i="1"/>
  <c r="AA827" i="1" s="1"/>
  <c r="O825" i="1"/>
  <c r="AB825" i="1" s="1"/>
  <c r="Z822" i="1"/>
  <c r="U817" i="1"/>
  <c r="O811" i="1"/>
  <c r="AB811" i="1" s="1"/>
  <c r="Z805" i="1"/>
  <c r="AA805" i="1" s="1"/>
  <c r="O803" i="1"/>
  <c r="AB803" i="1" s="1"/>
  <c r="U821" i="1"/>
  <c r="Z825" i="1"/>
  <c r="Z806" i="1"/>
  <c r="Z798" i="1"/>
  <c r="S822" i="1"/>
  <c r="U837" i="1"/>
  <c r="U832" i="1"/>
  <c r="O20" i="6"/>
  <c r="Q20" i="6" s="1"/>
  <c r="H7" i="6"/>
  <c r="H15" i="6"/>
  <c r="O15" i="6" s="1"/>
  <c r="Q15" i="6" s="1"/>
  <c r="O5" i="6"/>
  <c r="Q5" i="6" s="1"/>
  <c r="H10" i="6"/>
  <c r="H18" i="6"/>
  <c r="H13" i="6"/>
  <c r="O13" i="6" s="1"/>
  <c r="Q13" i="6" s="1"/>
  <c r="H21" i="6"/>
  <c r="O21" i="6" s="1"/>
  <c r="Q21" i="6" s="1"/>
  <c r="H8" i="6"/>
  <c r="H16" i="6"/>
  <c r="H6" i="6"/>
  <c r="H11" i="6"/>
  <c r="AB831" i="1"/>
  <c r="O839" i="1"/>
  <c r="U839" i="1"/>
  <c r="W839" i="1"/>
  <c r="Z839" i="1"/>
  <c r="S839" i="1"/>
  <c r="AB834" i="1"/>
  <c r="Z836" i="1"/>
  <c r="S835" i="1"/>
  <c r="U824" i="1"/>
  <c r="O824" i="1"/>
  <c r="W824" i="1"/>
  <c r="Z824" i="1"/>
  <c r="S824" i="1"/>
  <c r="W837" i="1"/>
  <c r="AA837" i="1" s="1"/>
  <c r="O837" i="1"/>
  <c r="Z835" i="1"/>
  <c r="Z834" i="1"/>
  <c r="W831" i="1"/>
  <c r="U834" i="1"/>
  <c r="Z828" i="1"/>
  <c r="S828" i="1"/>
  <c r="U828" i="1"/>
  <c r="O828" i="1"/>
  <c r="W828" i="1"/>
  <c r="W834" i="1"/>
  <c r="U830" i="1"/>
  <c r="O830" i="1"/>
  <c r="W830" i="1"/>
  <c r="AA830" i="1" s="1"/>
  <c r="Z804" i="1"/>
  <c r="S804" i="1"/>
  <c r="U804" i="1"/>
  <c r="O804" i="1"/>
  <c r="W804" i="1"/>
  <c r="AB823" i="1"/>
  <c r="W836" i="1"/>
  <c r="O835" i="1"/>
  <c r="AA825" i="1"/>
  <c r="S831" i="1"/>
  <c r="S837" i="1"/>
  <c r="U836" i="1"/>
  <c r="S830" i="1"/>
  <c r="AB799" i="1"/>
  <c r="AB797" i="1"/>
  <c r="O836" i="1"/>
  <c r="AB807" i="1"/>
  <c r="W835" i="1"/>
  <c r="S834" i="1"/>
  <c r="O832" i="1"/>
  <c r="W832" i="1"/>
  <c r="AA832" i="1" s="1"/>
  <c r="S832" i="1"/>
  <c r="AB815" i="1"/>
  <c r="AB833" i="1"/>
  <c r="Z831" i="1"/>
  <c r="Z820" i="1"/>
  <c r="S820" i="1"/>
  <c r="U820" i="1"/>
  <c r="O820" i="1"/>
  <c r="W820" i="1"/>
  <c r="Z812" i="1"/>
  <c r="S812" i="1"/>
  <c r="U812" i="1"/>
  <c r="O812" i="1"/>
  <c r="W812" i="1"/>
  <c r="U826" i="1"/>
  <c r="S816" i="1"/>
  <c r="S808" i="1"/>
  <c r="S800" i="1"/>
  <c r="U823" i="1"/>
  <c r="Z816" i="1"/>
  <c r="U815" i="1"/>
  <c r="W809" i="1"/>
  <c r="AA809" i="1" s="1"/>
  <c r="O809" i="1"/>
  <c r="Z808" i="1"/>
  <c r="U807" i="1"/>
  <c r="W801" i="1"/>
  <c r="AA801" i="1" s="1"/>
  <c r="O801" i="1"/>
  <c r="Z800" i="1"/>
  <c r="U799" i="1"/>
  <c r="T799" i="1" s="1"/>
  <c r="S826" i="1"/>
  <c r="W822" i="1"/>
  <c r="AA822" i="1" s="1"/>
  <c r="O822" i="1"/>
  <c r="AA818" i="1"/>
  <c r="S818" i="1"/>
  <c r="W814" i="1"/>
  <c r="AA814" i="1" s="1"/>
  <c r="O814" i="1"/>
  <c r="AA810" i="1"/>
  <c r="S810" i="1"/>
  <c r="W806" i="1"/>
  <c r="O806" i="1"/>
  <c r="W798" i="1"/>
  <c r="O798" i="1"/>
  <c r="Z823" i="1"/>
  <c r="W816" i="1"/>
  <c r="O816" i="1"/>
  <c r="Z815" i="1"/>
  <c r="W808" i="1"/>
  <c r="O808" i="1"/>
  <c r="Z807" i="1"/>
  <c r="W800" i="1"/>
  <c r="O800" i="1"/>
  <c r="Z799" i="1"/>
  <c r="S801" i="1"/>
  <c r="W797" i="1"/>
  <c r="AA797" i="1" s="1"/>
  <c r="R799" i="1" l="1"/>
  <c r="Q799" i="1" s="1"/>
  <c r="R844" i="1"/>
  <c r="R845" i="1" s="1"/>
  <c r="AA802" i="1"/>
  <c r="AA826" i="1"/>
  <c r="Q888" i="1"/>
  <c r="P888" i="1" s="1"/>
  <c r="AF888" i="1" s="1"/>
  <c r="R889" i="1"/>
  <c r="R864" i="1"/>
  <c r="Q863" i="1"/>
  <c r="P863" i="1" s="1"/>
  <c r="AF863" i="1" s="1"/>
  <c r="T889" i="1"/>
  <c r="T864" i="1"/>
  <c r="AB805" i="1"/>
  <c r="AB829" i="1"/>
  <c r="AA798" i="1"/>
  <c r="O11" i="6"/>
  <c r="Q11" i="6" s="1"/>
  <c r="O18" i="6"/>
  <c r="Q18" i="6" s="1"/>
  <c r="O10" i="6"/>
  <c r="Q10" i="6" s="1"/>
  <c r="O16" i="6"/>
  <c r="Q16" i="6" s="1"/>
  <c r="O7" i="6"/>
  <c r="Q7" i="6" s="1"/>
  <c r="O6" i="6"/>
  <c r="O14" i="6"/>
  <c r="Q14" i="6" s="1"/>
  <c r="O22" i="6"/>
  <c r="Q22" i="6" s="1"/>
  <c r="P842" i="1"/>
  <c r="AF842" i="1" s="1"/>
  <c r="T843" i="1"/>
  <c r="Q844" i="1"/>
  <c r="R800" i="1"/>
  <c r="Q800" i="1" s="1"/>
  <c r="AB813" i="1"/>
  <c r="AB821" i="1"/>
  <c r="AA821" i="1"/>
  <c r="AA806" i="1"/>
  <c r="O8" i="6"/>
  <c r="Q8" i="6" s="1"/>
  <c r="O19" i="6"/>
  <c r="Q19" i="6" s="1"/>
  <c r="O9" i="6"/>
  <c r="Q9" i="6" s="1"/>
  <c r="O12" i="6"/>
  <c r="Q12" i="6" s="1"/>
  <c r="O17" i="6"/>
  <c r="Q17" i="6" s="1"/>
  <c r="AB816" i="1"/>
  <c r="AB806" i="1"/>
  <c r="N806" i="1"/>
  <c r="N807" i="1" s="1"/>
  <c r="N808" i="1" s="1"/>
  <c r="N809" i="1" s="1"/>
  <c r="N810" i="1" s="1"/>
  <c r="N811" i="1" s="1"/>
  <c r="N812" i="1" s="1"/>
  <c r="N813" i="1" s="1"/>
  <c r="AB809" i="1"/>
  <c r="AB820" i="1"/>
  <c r="AA800" i="1"/>
  <c r="AB804" i="1"/>
  <c r="AA834" i="1"/>
  <c r="AB801" i="1"/>
  <c r="AB828" i="1"/>
  <c r="AA835" i="1"/>
  <c r="AB839" i="1"/>
  <c r="AB812" i="1"/>
  <c r="R801" i="1"/>
  <c r="AA823" i="1"/>
  <c r="AA820" i="1"/>
  <c r="AA799" i="1"/>
  <c r="AA816" i="1"/>
  <c r="AA824" i="1"/>
  <c r="AA836" i="1"/>
  <c r="AB830" i="1"/>
  <c r="N830" i="1"/>
  <c r="N831" i="1" s="1"/>
  <c r="N832" i="1" s="1"/>
  <c r="N833" i="1" s="1"/>
  <c r="N834" i="1" s="1"/>
  <c r="N835" i="1" s="1"/>
  <c r="N836" i="1" s="1"/>
  <c r="N837" i="1" s="1"/>
  <c r="N838" i="1" s="1"/>
  <c r="N839" i="1" s="1"/>
  <c r="N840" i="1" s="1"/>
  <c r="AB808" i="1"/>
  <c r="AB832" i="1"/>
  <c r="AB798" i="1"/>
  <c r="N798" i="1"/>
  <c r="N799" i="1" s="1"/>
  <c r="N800" i="1" s="1"/>
  <c r="N801" i="1" s="1"/>
  <c r="N802" i="1" s="1"/>
  <c r="N803" i="1" s="1"/>
  <c r="N804" i="1" s="1"/>
  <c r="N805" i="1" s="1"/>
  <c r="AB800" i="1"/>
  <c r="AB822" i="1"/>
  <c r="N822" i="1"/>
  <c r="N823" i="1" s="1"/>
  <c r="N824" i="1" s="1"/>
  <c r="N825" i="1" s="1"/>
  <c r="N826" i="1" s="1"/>
  <c r="N827" i="1" s="1"/>
  <c r="N828" i="1" s="1"/>
  <c r="N829" i="1" s="1"/>
  <c r="AA812" i="1"/>
  <c r="AB835" i="1"/>
  <c r="AA804" i="1"/>
  <c r="AB837" i="1"/>
  <c r="AA839" i="1"/>
  <c r="AA807" i="1"/>
  <c r="P799" i="1"/>
  <c r="AF799" i="1" s="1"/>
  <c r="T800" i="1"/>
  <c r="AA815" i="1"/>
  <c r="AB814" i="1"/>
  <c r="N814" i="1"/>
  <c r="N815" i="1" s="1"/>
  <c r="N816" i="1" s="1"/>
  <c r="N817" i="1" s="1"/>
  <c r="N818" i="1" s="1"/>
  <c r="N819" i="1" s="1"/>
  <c r="N820" i="1" s="1"/>
  <c r="N821" i="1" s="1"/>
  <c r="AA831" i="1"/>
  <c r="AB836" i="1"/>
  <c r="AA828" i="1"/>
  <c r="AA808" i="1"/>
  <c r="AB824" i="1"/>
  <c r="H1" i="6" l="1"/>
  <c r="P3" i="6" s="1"/>
  <c r="AI18" i="1" s="1"/>
  <c r="Q6" i="6"/>
  <c r="T865" i="1"/>
  <c r="T890" i="1"/>
  <c r="Q864" i="1"/>
  <c r="P864" i="1" s="1"/>
  <c r="AF864" i="1" s="1"/>
  <c r="R865" i="1"/>
  <c r="Q889" i="1"/>
  <c r="P889" i="1" s="1"/>
  <c r="AF889" i="1" s="1"/>
  <c r="R890" i="1"/>
  <c r="Q845" i="1"/>
  <c r="R846" i="1"/>
  <c r="P843" i="1"/>
  <c r="AF843" i="1" s="1"/>
  <c r="T844" i="1"/>
  <c r="P800" i="1"/>
  <c r="AF800" i="1" s="1"/>
  <c r="T801" i="1"/>
  <c r="R802" i="1"/>
  <c r="Q801" i="1"/>
  <c r="I16" i="3"/>
  <c r="I26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BV48" i="1"/>
  <c r="I30" i="3" s="1"/>
  <c r="BV49" i="1"/>
  <c r="I31" i="3" s="1"/>
  <c r="BV50" i="1"/>
  <c r="I32" i="3" s="1"/>
  <c r="AV31" i="1"/>
  <c r="AW31" i="1" s="1"/>
  <c r="V778" i="1"/>
  <c r="X778" i="1"/>
  <c r="O778" i="1" s="1"/>
  <c r="V779" i="1"/>
  <c r="X779" i="1"/>
  <c r="O779" i="1" s="1"/>
  <c r="AB779" i="1" s="1"/>
  <c r="V780" i="1"/>
  <c r="X780" i="1"/>
  <c r="O780" i="1" s="1"/>
  <c r="AB780" i="1" s="1"/>
  <c r="V781" i="1"/>
  <c r="X781" i="1"/>
  <c r="O781" i="1" s="1"/>
  <c r="V782" i="1"/>
  <c r="X782" i="1"/>
  <c r="S782" i="1" s="1"/>
  <c r="Z782" i="1"/>
  <c r="V783" i="1"/>
  <c r="W783" i="1"/>
  <c r="X783" i="1"/>
  <c r="Z783" i="1" s="1"/>
  <c r="V784" i="1"/>
  <c r="X784" i="1"/>
  <c r="U784" i="1" s="1"/>
  <c r="V785" i="1"/>
  <c r="X785" i="1"/>
  <c r="V786" i="1"/>
  <c r="X786" i="1"/>
  <c r="O786" i="1" s="1"/>
  <c r="V787" i="1"/>
  <c r="X787" i="1"/>
  <c r="O787" i="1" s="1"/>
  <c r="AB787" i="1" s="1"/>
  <c r="V788" i="1"/>
  <c r="X788" i="1"/>
  <c r="O788" i="1" s="1"/>
  <c r="AB788" i="1" s="1"/>
  <c r="V789" i="1"/>
  <c r="X789" i="1"/>
  <c r="O789" i="1" s="1"/>
  <c r="V790" i="1"/>
  <c r="X790" i="1"/>
  <c r="S790" i="1" s="1"/>
  <c r="V791" i="1"/>
  <c r="X791" i="1"/>
  <c r="W791" i="1" s="1"/>
  <c r="V792" i="1"/>
  <c r="X792" i="1"/>
  <c r="U792" i="1" s="1"/>
  <c r="V793" i="1"/>
  <c r="X793" i="1"/>
  <c r="V794" i="1"/>
  <c r="X794" i="1"/>
  <c r="O794" i="1" s="1"/>
  <c r="V795" i="1"/>
  <c r="X795" i="1"/>
  <c r="U795" i="1" s="1"/>
  <c r="V796" i="1"/>
  <c r="X796" i="1"/>
  <c r="O796" i="1" s="1"/>
  <c r="AB796" i="1" s="1"/>
  <c r="U790" i="1" l="1"/>
  <c r="Q890" i="1"/>
  <c r="P890" i="1" s="1"/>
  <c r="AF890" i="1" s="1"/>
  <c r="R891" i="1"/>
  <c r="Q865" i="1"/>
  <c r="P865" i="1" s="1"/>
  <c r="AF865" i="1" s="1"/>
  <c r="R866" i="1"/>
  <c r="T891" i="1"/>
  <c r="T866" i="1"/>
  <c r="Z794" i="1"/>
  <c r="S795" i="1"/>
  <c r="P844" i="1"/>
  <c r="AF844" i="1" s="1"/>
  <c r="T845" i="1"/>
  <c r="Q846" i="1"/>
  <c r="R847" i="1"/>
  <c r="U791" i="1"/>
  <c r="W796" i="1"/>
  <c r="U794" i="1"/>
  <c r="S791" i="1"/>
  <c r="U782" i="1"/>
  <c r="Z795" i="1"/>
  <c r="O791" i="1"/>
  <c r="AB791" i="1" s="1"/>
  <c r="Z790" i="1"/>
  <c r="P801" i="1"/>
  <c r="AF801" i="1" s="1"/>
  <c r="T802" i="1"/>
  <c r="Q802" i="1"/>
  <c r="R803" i="1"/>
  <c r="O795" i="1"/>
  <c r="AB795" i="1" s="1"/>
  <c r="Z787" i="1"/>
  <c r="W780" i="1"/>
  <c r="W787" i="1"/>
  <c r="Z779" i="1"/>
  <c r="S792" i="1"/>
  <c r="U786" i="1"/>
  <c r="U787" i="1"/>
  <c r="U789" i="1"/>
  <c r="S787" i="1"/>
  <c r="AA783" i="1"/>
  <c r="W788" i="1"/>
  <c r="U783" i="1"/>
  <c r="W779" i="1"/>
  <c r="U778" i="1"/>
  <c r="Z791" i="1"/>
  <c r="AA791" i="1" s="1"/>
  <c r="S783" i="1"/>
  <c r="U781" i="1"/>
  <c r="Z786" i="1"/>
  <c r="S784" i="1"/>
  <c r="O783" i="1"/>
  <c r="AB783" i="1" s="1"/>
  <c r="U779" i="1"/>
  <c r="W795" i="1"/>
  <c r="S779" i="1"/>
  <c r="Z778" i="1"/>
  <c r="AB794" i="1"/>
  <c r="AB786" i="1"/>
  <c r="AB789" i="1"/>
  <c r="AB778" i="1"/>
  <c r="AB781" i="1"/>
  <c r="W793" i="1"/>
  <c r="O793" i="1"/>
  <c r="Z792" i="1"/>
  <c r="S789" i="1"/>
  <c r="W785" i="1"/>
  <c r="O785" i="1"/>
  <c r="Z784" i="1"/>
  <c r="S781" i="1"/>
  <c r="U796" i="1"/>
  <c r="S794" i="1"/>
  <c r="W790" i="1"/>
  <c r="AA790" i="1" s="1"/>
  <c r="O790" i="1"/>
  <c r="Z789" i="1"/>
  <c r="U788" i="1"/>
  <c r="S786" i="1"/>
  <c r="W782" i="1"/>
  <c r="AA782" i="1" s="1"/>
  <c r="O782" i="1"/>
  <c r="Z781" i="1"/>
  <c r="U780" i="1"/>
  <c r="S778" i="1"/>
  <c r="U785" i="1"/>
  <c r="S796" i="1"/>
  <c r="W792" i="1"/>
  <c r="O792" i="1"/>
  <c r="S788" i="1"/>
  <c r="W784" i="1"/>
  <c r="O784" i="1"/>
  <c r="S780" i="1"/>
  <c r="U793" i="1"/>
  <c r="Z796" i="1"/>
  <c r="S793" i="1"/>
  <c r="W789" i="1"/>
  <c r="Z788" i="1"/>
  <c r="S785" i="1"/>
  <c r="W781" i="1"/>
  <c r="Z780" i="1"/>
  <c r="W794" i="1"/>
  <c r="Z793" i="1"/>
  <c r="W786" i="1"/>
  <c r="Z785" i="1"/>
  <c r="W778" i="1"/>
  <c r="AA778" i="1" l="1"/>
  <c r="AA795" i="1"/>
  <c r="Q866" i="1"/>
  <c r="P866" i="1" s="1"/>
  <c r="AF866" i="1" s="1"/>
  <c r="R867" i="1"/>
  <c r="T892" i="1"/>
  <c r="Q891" i="1"/>
  <c r="P891" i="1" s="1"/>
  <c r="AF891" i="1" s="1"/>
  <c r="R892" i="1"/>
  <c r="T867" i="1"/>
  <c r="AA794" i="1"/>
  <c r="AA787" i="1"/>
  <c r="Q847" i="1"/>
  <c r="R848" i="1"/>
  <c r="P845" i="1"/>
  <c r="AF845" i="1" s="1"/>
  <c r="T846" i="1"/>
  <c r="AA786" i="1"/>
  <c r="T779" i="1"/>
  <c r="T780" i="1" s="1"/>
  <c r="T781" i="1" s="1"/>
  <c r="AA779" i="1"/>
  <c r="P802" i="1"/>
  <c r="AF802" i="1" s="1"/>
  <c r="T803" i="1"/>
  <c r="Q803" i="1"/>
  <c r="R804" i="1"/>
  <c r="AB782" i="1"/>
  <c r="AB790" i="1"/>
  <c r="AA784" i="1"/>
  <c r="AA785" i="1"/>
  <c r="AA789" i="1"/>
  <c r="AA793" i="1"/>
  <c r="AB792" i="1"/>
  <c r="AB785" i="1"/>
  <c r="AA781" i="1"/>
  <c r="AA796" i="1"/>
  <c r="R779" i="1"/>
  <c r="Q779" i="1" s="1"/>
  <c r="AB793" i="1"/>
  <c r="AA780" i="1"/>
  <c r="AB784" i="1"/>
  <c r="AA788" i="1"/>
  <c r="AA792" i="1"/>
  <c r="T868" i="1" l="1"/>
  <c r="T893" i="1"/>
  <c r="Q867" i="1"/>
  <c r="P867" i="1" s="1"/>
  <c r="AF867" i="1" s="1"/>
  <c r="R868" i="1"/>
  <c r="Q892" i="1"/>
  <c r="P892" i="1" s="1"/>
  <c r="AF892" i="1" s="1"/>
  <c r="R893" i="1"/>
  <c r="P779" i="1"/>
  <c r="AF779" i="1" s="1"/>
  <c r="P846" i="1"/>
  <c r="AF846" i="1" s="1"/>
  <c r="T847" i="1"/>
  <c r="Q848" i="1"/>
  <c r="R849" i="1"/>
  <c r="P803" i="1"/>
  <c r="AF803" i="1" s="1"/>
  <c r="T804" i="1"/>
  <c r="Q804" i="1"/>
  <c r="R805" i="1"/>
  <c r="R780" i="1"/>
  <c r="T782" i="1"/>
  <c r="Q893" i="1" l="1"/>
  <c r="R894" i="1"/>
  <c r="Q868" i="1"/>
  <c r="P868" i="1" s="1"/>
  <c r="AF868" i="1" s="1"/>
  <c r="R869" i="1"/>
  <c r="T894" i="1"/>
  <c r="P893" i="1"/>
  <c r="AF893" i="1" s="1"/>
  <c r="T869" i="1"/>
  <c r="Q849" i="1"/>
  <c r="R850" i="1"/>
  <c r="P847" i="1"/>
  <c r="AF847" i="1" s="1"/>
  <c r="T848" i="1"/>
  <c r="P804" i="1"/>
  <c r="AF804" i="1" s="1"/>
  <c r="T805" i="1"/>
  <c r="Q805" i="1"/>
  <c r="R806" i="1"/>
  <c r="T783" i="1"/>
  <c r="Q780" i="1"/>
  <c r="P780" i="1" s="1"/>
  <c r="AF780" i="1" s="1"/>
  <c r="R781" i="1"/>
  <c r="BW8" i="1"/>
  <c r="BT8" i="1"/>
  <c r="BU8" i="1"/>
  <c r="BV8" i="1"/>
  <c r="BS8" i="1"/>
  <c r="BR11" i="1"/>
  <c r="BR12" i="1"/>
  <c r="BR13" i="1"/>
  <c r="BR14" i="1"/>
  <c r="BR15" i="1"/>
  <c r="BR10" i="1"/>
  <c r="BS10" i="1"/>
  <c r="Q869" i="1" l="1"/>
  <c r="P869" i="1" s="1"/>
  <c r="AF869" i="1" s="1"/>
  <c r="R870" i="1"/>
  <c r="R895" i="1"/>
  <c r="Q894" i="1"/>
  <c r="P894" i="1" s="1"/>
  <c r="AF894" i="1" s="1"/>
  <c r="T870" i="1"/>
  <c r="T895" i="1"/>
  <c r="P848" i="1"/>
  <c r="AF848" i="1" s="1"/>
  <c r="T849" i="1"/>
  <c r="Q850" i="1"/>
  <c r="R851" i="1"/>
  <c r="P805" i="1"/>
  <c r="AF805" i="1" s="1"/>
  <c r="T806" i="1"/>
  <c r="Q806" i="1"/>
  <c r="R807" i="1"/>
  <c r="Q781" i="1"/>
  <c r="P781" i="1" s="1"/>
  <c r="AF781" i="1" s="1"/>
  <c r="R782" i="1"/>
  <c r="T784" i="1"/>
  <c r="BV13" i="1"/>
  <c r="BW15" i="1"/>
  <c r="BV12" i="1"/>
  <c r="BT11" i="1"/>
  <c r="BS12" i="1"/>
  <c r="BT10" i="1"/>
  <c r="BU10" i="1"/>
  <c r="BW12" i="1"/>
  <c r="BS14" i="1"/>
  <c r="BW13" i="1"/>
  <c r="BU15" i="1"/>
  <c r="BW10" i="1"/>
  <c r="BS15" i="1"/>
  <c r="BW14" i="1"/>
  <c r="BU11" i="1"/>
  <c r="BV14" i="1"/>
  <c r="BT14" i="1"/>
  <c r="BV10" i="1"/>
  <c r="BS11" i="1"/>
  <c r="BW11" i="1"/>
  <c r="BU14" i="1"/>
  <c r="BT13" i="1"/>
  <c r="BV11" i="1"/>
  <c r="BT12" i="1"/>
  <c r="BU13" i="1"/>
  <c r="BU12" i="1"/>
  <c r="BV15" i="1"/>
  <c r="BT15" i="1"/>
  <c r="BS13" i="1"/>
  <c r="T871" i="1" l="1"/>
  <c r="T896" i="1"/>
  <c r="Q895" i="1"/>
  <c r="P895" i="1" s="1"/>
  <c r="AF895" i="1" s="1"/>
  <c r="R896" i="1"/>
  <c r="Q870" i="1"/>
  <c r="P870" i="1" s="1"/>
  <c r="AF870" i="1" s="1"/>
  <c r="R871" i="1"/>
  <c r="Q851" i="1"/>
  <c r="R852" i="1"/>
  <c r="P849" i="1"/>
  <c r="AF849" i="1" s="1"/>
  <c r="T850" i="1"/>
  <c r="Q807" i="1"/>
  <c r="R808" i="1"/>
  <c r="P806" i="1"/>
  <c r="AF806" i="1" s="1"/>
  <c r="T807" i="1"/>
  <c r="BX16" i="1"/>
  <c r="T785" i="1"/>
  <c r="Q782" i="1"/>
  <c r="P782" i="1" s="1"/>
  <c r="AF782" i="1" s="1"/>
  <c r="R783" i="1"/>
  <c r="BR1" i="1"/>
  <c r="Q896" i="1" l="1"/>
  <c r="P896" i="1" s="1"/>
  <c r="AF896" i="1" s="1"/>
  <c r="R897" i="1"/>
  <c r="R872" i="1"/>
  <c r="Q871" i="1"/>
  <c r="T897" i="1"/>
  <c r="P871" i="1"/>
  <c r="AF871" i="1" s="1"/>
  <c r="T872" i="1"/>
  <c r="P850" i="1"/>
  <c r="AF850" i="1" s="1"/>
  <c r="T851" i="1"/>
  <c r="R853" i="1"/>
  <c r="Q852" i="1"/>
  <c r="P807" i="1"/>
  <c r="AF807" i="1" s="1"/>
  <c r="T808" i="1"/>
  <c r="Q808" i="1"/>
  <c r="R809" i="1"/>
  <c r="T786" i="1"/>
  <c r="Q783" i="1"/>
  <c r="P783" i="1" s="1"/>
  <c r="AF783" i="1" s="1"/>
  <c r="R784" i="1"/>
  <c r="BN2" i="1"/>
  <c r="AV30" i="1"/>
  <c r="V756" i="1"/>
  <c r="X756" i="1"/>
  <c r="O756" i="1" s="1"/>
  <c r="V757" i="1"/>
  <c r="X757" i="1"/>
  <c r="U757" i="1" s="1"/>
  <c r="V758" i="1"/>
  <c r="X758" i="1"/>
  <c r="O758" i="1" s="1"/>
  <c r="AB758" i="1" s="1"/>
  <c r="V759" i="1"/>
  <c r="X759" i="1"/>
  <c r="O759" i="1" s="1"/>
  <c r="V760" i="1"/>
  <c r="X760" i="1"/>
  <c r="O760" i="1" s="1"/>
  <c r="V761" i="1"/>
  <c r="X761" i="1"/>
  <c r="W761" i="1" s="1"/>
  <c r="V762" i="1"/>
  <c r="X762" i="1"/>
  <c r="U762" i="1" s="1"/>
  <c r="V763" i="1"/>
  <c r="X763" i="1"/>
  <c r="V764" i="1"/>
  <c r="X764" i="1"/>
  <c r="S764" i="1" s="1"/>
  <c r="S765" i="1"/>
  <c r="V765" i="1"/>
  <c r="W765" i="1"/>
  <c r="X765" i="1"/>
  <c r="U765" i="1" s="1"/>
  <c r="V766" i="1"/>
  <c r="X766" i="1"/>
  <c r="O766" i="1" s="1"/>
  <c r="AB766" i="1" s="1"/>
  <c r="V767" i="1"/>
  <c r="X767" i="1"/>
  <c r="O767" i="1" s="1"/>
  <c r="V768" i="1"/>
  <c r="X768" i="1"/>
  <c r="O768" i="1" s="1"/>
  <c r="V769" i="1"/>
  <c r="X769" i="1"/>
  <c r="O769" i="1" s="1"/>
  <c r="AB769" i="1" s="1"/>
  <c r="V770" i="1"/>
  <c r="X770" i="1"/>
  <c r="U770" i="1" s="1"/>
  <c r="V771" i="1"/>
  <c r="X771" i="1"/>
  <c r="V772" i="1"/>
  <c r="X772" i="1"/>
  <c r="O772" i="1" s="1"/>
  <c r="O773" i="1"/>
  <c r="AB773" i="1" s="1"/>
  <c r="V773" i="1"/>
  <c r="X773" i="1"/>
  <c r="U773" i="1" s="1"/>
  <c r="V774" i="1"/>
  <c r="X774" i="1"/>
  <c r="W774" i="1" s="1"/>
  <c r="V775" i="1"/>
  <c r="X775" i="1"/>
  <c r="O775" i="1" s="1"/>
  <c r="V776" i="1"/>
  <c r="X776" i="1"/>
  <c r="O776" i="1" s="1"/>
  <c r="V777" i="1"/>
  <c r="X777" i="1"/>
  <c r="O777" i="1" s="1"/>
  <c r="AB777" i="1" s="1"/>
  <c r="BN1" i="1"/>
  <c r="Z773" i="1" l="1"/>
  <c r="T898" i="1"/>
  <c r="T873" i="1"/>
  <c r="Q872" i="1"/>
  <c r="P872" i="1" s="1"/>
  <c r="AF872" i="1" s="1"/>
  <c r="R873" i="1"/>
  <c r="Q897" i="1"/>
  <c r="P897" i="1" s="1"/>
  <c r="AF897" i="1" s="1"/>
  <c r="R898" i="1"/>
  <c r="S773" i="1"/>
  <c r="U759" i="1"/>
  <c r="Q853" i="1"/>
  <c r="R854" i="1"/>
  <c r="P851" i="1"/>
  <c r="AF851" i="1" s="1"/>
  <c r="T852" i="1"/>
  <c r="O774" i="1"/>
  <c r="AB774" i="1" s="1"/>
  <c r="O764" i="1"/>
  <c r="AB764" i="1" s="1"/>
  <c r="W757" i="1"/>
  <c r="S760" i="1"/>
  <c r="P808" i="1"/>
  <c r="AF808" i="1" s="1"/>
  <c r="T809" i="1"/>
  <c r="Q809" i="1"/>
  <c r="R810" i="1"/>
  <c r="Z768" i="1"/>
  <c r="Z756" i="1"/>
  <c r="O761" i="1"/>
  <c r="AB761" i="1" s="1"/>
  <c r="S761" i="1"/>
  <c r="O765" i="1"/>
  <c r="AB765" i="1" s="1"/>
  <c r="Z760" i="1"/>
  <c r="W773" i="1"/>
  <c r="AA773" i="1" s="1"/>
  <c r="U775" i="1"/>
  <c r="Z764" i="1"/>
  <c r="Z757" i="1"/>
  <c r="AA757" i="1" s="1"/>
  <c r="Z761" i="1"/>
  <c r="AA761" i="1" s="1"/>
  <c r="S769" i="1"/>
  <c r="U764" i="1"/>
  <c r="Z772" i="1"/>
  <c r="W766" i="1"/>
  <c r="U756" i="1"/>
  <c r="W777" i="1"/>
  <c r="S776" i="1"/>
  <c r="U768" i="1"/>
  <c r="U772" i="1"/>
  <c r="W769" i="1"/>
  <c r="S768" i="1"/>
  <c r="Z765" i="1"/>
  <c r="AA765" i="1" s="1"/>
  <c r="W764" i="1"/>
  <c r="S757" i="1"/>
  <c r="S777" i="1"/>
  <c r="S772" i="1"/>
  <c r="S762" i="1"/>
  <c r="W758" i="1"/>
  <c r="O757" i="1"/>
  <c r="AB757" i="1" s="1"/>
  <c r="S770" i="1"/>
  <c r="AW30" i="1"/>
  <c r="U776" i="1"/>
  <c r="Z776" i="1"/>
  <c r="U767" i="1"/>
  <c r="U760" i="1"/>
  <c r="Q784" i="1"/>
  <c r="P784" i="1" s="1"/>
  <c r="AF784" i="1" s="1"/>
  <c r="R785" i="1"/>
  <c r="T787" i="1"/>
  <c r="AB772" i="1"/>
  <c r="AB759" i="1"/>
  <c r="AB775" i="1"/>
  <c r="AB767" i="1"/>
  <c r="AB760" i="1"/>
  <c r="AB756" i="1"/>
  <c r="AB768" i="1"/>
  <c r="AB776" i="1"/>
  <c r="U777" i="1"/>
  <c r="S775" i="1"/>
  <c r="W771" i="1"/>
  <c r="O771" i="1"/>
  <c r="Z770" i="1"/>
  <c r="U769" i="1"/>
  <c r="S767" i="1"/>
  <c r="W763" i="1"/>
  <c r="O763" i="1"/>
  <c r="Z762" i="1"/>
  <c r="U761" i="1"/>
  <c r="S759" i="1"/>
  <c r="W776" i="1"/>
  <c r="Z775" i="1"/>
  <c r="U774" i="1"/>
  <c r="W768" i="1"/>
  <c r="AA768" i="1" s="1"/>
  <c r="Z767" i="1"/>
  <c r="U766" i="1"/>
  <c r="AA764" i="1"/>
  <c r="W760" i="1"/>
  <c r="Z759" i="1"/>
  <c r="U758" i="1"/>
  <c r="S756" i="1"/>
  <c r="U771" i="1"/>
  <c r="U763" i="1"/>
  <c r="Z777" i="1"/>
  <c r="S774" i="1"/>
  <c r="W770" i="1"/>
  <c r="O770" i="1"/>
  <c r="Z769" i="1"/>
  <c r="S766" i="1"/>
  <c r="W762" i="1"/>
  <c r="O762" i="1"/>
  <c r="S758" i="1"/>
  <c r="W775" i="1"/>
  <c r="Z774" i="1"/>
  <c r="S771" i="1"/>
  <c r="W767" i="1"/>
  <c r="Z766" i="1"/>
  <c r="S763" i="1"/>
  <c r="W759" i="1"/>
  <c r="Z758" i="1"/>
  <c r="W772" i="1"/>
  <c r="Z771" i="1"/>
  <c r="Z763" i="1"/>
  <c r="W756" i="1"/>
  <c r="AA776" i="1" l="1"/>
  <c r="Q873" i="1"/>
  <c r="P873" i="1" s="1"/>
  <c r="AF873" i="1" s="1"/>
  <c r="R874" i="1"/>
  <c r="T874" i="1"/>
  <c r="Q898" i="1"/>
  <c r="P898" i="1" s="1"/>
  <c r="AF898" i="1" s="1"/>
  <c r="R899" i="1"/>
  <c r="T899" i="1"/>
  <c r="AA756" i="1"/>
  <c r="P852" i="1"/>
  <c r="AF852" i="1" s="1"/>
  <c r="T853" i="1"/>
  <c r="Q854" i="1"/>
  <c r="R855" i="1"/>
  <c r="P809" i="1"/>
  <c r="AF809" i="1" s="1"/>
  <c r="T810" i="1"/>
  <c r="Q810" i="1"/>
  <c r="R811" i="1"/>
  <c r="AA760" i="1"/>
  <c r="AA772" i="1"/>
  <c r="T788" i="1"/>
  <c r="Q785" i="1"/>
  <c r="P785" i="1" s="1"/>
  <c r="AF785" i="1" s="1"/>
  <c r="R786" i="1"/>
  <c r="AA767" i="1"/>
  <c r="AA774" i="1"/>
  <c r="AA771" i="1"/>
  <c r="AB770" i="1"/>
  <c r="AA763" i="1"/>
  <c r="AA769" i="1"/>
  <c r="AA759" i="1"/>
  <c r="AB762" i="1"/>
  <c r="AB763" i="1"/>
  <c r="AA777" i="1"/>
  <c r="AA766" i="1"/>
  <c r="AA775" i="1"/>
  <c r="AA770" i="1"/>
  <c r="AA758" i="1"/>
  <c r="AA762" i="1"/>
  <c r="AB771" i="1"/>
  <c r="AV29" i="1"/>
  <c r="V725" i="1"/>
  <c r="X725" i="1"/>
  <c r="O725" i="1" s="1"/>
  <c r="V726" i="1"/>
  <c r="X726" i="1"/>
  <c r="O726" i="1" s="1"/>
  <c r="V727" i="1"/>
  <c r="X727" i="1"/>
  <c r="Z727" i="1" s="1"/>
  <c r="V728" i="1"/>
  <c r="X728" i="1"/>
  <c r="V729" i="1"/>
  <c r="X729" i="1"/>
  <c r="O729" i="1" s="1"/>
  <c r="V730" i="1"/>
  <c r="X730" i="1"/>
  <c r="O730" i="1" s="1"/>
  <c r="V731" i="1"/>
  <c r="X731" i="1"/>
  <c r="V732" i="1"/>
  <c r="X732" i="1"/>
  <c r="V733" i="1"/>
  <c r="X733" i="1"/>
  <c r="O733" i="1" s="1"/>
  <c r="V734" i="1"/>
  <c r="X734" i="1"/>
  <c r="U734" i="1" s="1"/>
  <c r="V735" i="1"/>
  <c r="X735" i="1"/>
  <c r="V736" i="1"/>
  <c r="X736" i="1"/>
  <c r="V737" i="1"/>
  <c r="X737" i="1"/>
  <c r="V738" i="1"/>
  <c r="X738" i="1"/>
  <c r="U738" i="1" s="1"/>
  <c r="V739" i="1"/>
  <c r="X739" i="1"/>
  <c r="V740" i="1"/>
  <c r="X740" i="1"/>
  <c r="V741" i="1"/>
  <c r="X741" i="1"/>
  <c r="V742" i="1"/>
  <c r="X742" i="1"/>
  <c r="U742" i="1" s="1"/>
  <c r="V743" i="1"/>
  <c r="X743" i="1"/>
  <c r="V744" i="1"/>
  <c r="X744" i="1"/>
  <c r="Z744" i="1" s="1"/>
  <c r="V745" i="1"/>
  <c r="X745" i="1"/>
  <c r="V746" i="1"/>
  <c r="X746" i="1"/>
  <c r="U746" i="1" s="1"/>
  <c r="V747" i="1"/>
  <c r="X747" i="1"/>
  <c r="Z747" i="1" s="1"/>
  <c r="V748" i="1"/>
  <c r="X748" i="1"/>
  <c r="Z748" i="1" s="1"/>
  <c r="V749" i="1"/>
  <c r="X749" i="1"/>
  <c r="V750" i="1"/>
  <c r="X750" i="1"/>
  <c r="U750" i="1" s="1"/>
  <c r="V751" i="1"/>
  <c r="X751" i="1"/>
  <c r="Z751" i="1" s="1"/>
  <c r="V752" i="1"/>
  <c r="X752" i="1"/>
  <c r="Z752" i="1" s="1"/>
  <c r="V753" i="1"/>
  <c r="X753" i="1"/>
  <c r="V754" i="1"/>
  <c r="X754" i="1"/>
  <c r="Z754" i="1" s="1"/>
  <c r="V755" i="1"/>
  <c r="X755" i="1"/>
  <c r="Z755" i="1" s="1"/>
  <c r="T900" i="1" l="1"/>
  <c r="Q899" i="1"/>
  <c r="P899" i="1" s="1"/>
  <c r="AF899" i="1" s="1"/>
  <c r="R900" i="1"/>
  <c r="T875" i="1"/>
  <c r="Q874" i="1"/>
  <c r="P874" i="1" s="1"/>
  <c r="AF874" i="1" s="1"/>
  <c r="R875" i="1"/>
  <c r="Q855" i="1"/>
  <c r="R856" i="1"/>
  <c r="P853" i="1"/>
  <c r="AF853" i="1" s="1"/>
  <c r="T854" i="1"/>
  <c r="T811" i="1"/>
  <c r="P810" i="1"/>
  <c r="AF810" i="1" s="1"/>
  <c r="Q811" i="1"/>
  <c r="R812" i="1"/>
  <c r="AW29" i="1"/>
  <c r="Q786" i="1"/>
  <c r="P786" i="1" s="1"/>
  <c r="AF786" i="1" s="1"/>
  <c r="R787" i="1"/>
  <c r="T789" i="1"/>
  <c r="Z726" i="1"/>
  <c r="Z750" i="1"/>
  <c r="Z742" i="1"/>
  <c r="Z740" i="1"/>
  <c r="U730" i="1"/>
  <c r="Z746" i="1"/>
  <c r="Z734" i="1"/>
  <c r="Z728" i="1"/>
  <c r="U726" i="1"/>
  <c r="Z736" i="1"/>
  <c r="AB733" i="1"/>
  <c r="Z730" i="1"/>
  <c r="Z738" i="1"/>
  <c r="Z732" i="1"/>
  <c r="AB729" i="1"/>
  <c r="S747" i="1"/>
  <c r="U747" i="1"/>
  <c r="O747" i="1"/>
  <c r="W747" i="1"/>
  <c r="AA747" i="1" s="1"/>
  <c r="S748" i="1"/>
  <c r="U748" i="1"/>
  <c r="O748" i="1"/>
  <c r="W748" i="1"/>
  <c r="AA748" i="1" s="1"/>
  <c r="Z731" i="1"/>
  <c r="S731" i="1"/>
  <c r="U731" i="1"/>
  <c r="O731" i="1"/>
  <c r="W731" i="1"/>
  <c r="O749" i="1"/>
  <c r="W749" i="1"/>
  <c r="Z749" i="1"/>
  <c r="S749" i="1"/>
  <c r="U749" i="1"/>
  <c r="S735" i="1"/>
  <c r="U735" i="1"/>
  <c r="O735" i="1"/>
  <c r="W735" i="1"/>
  <c r="Z735" i="1"/>
  <c r="Z739" i="1"/>
  <c r="S739" i="1"/>
  <c r="U739" i="1"/>
  <c r="O739" i="1"/>
  <c r="W739" i="1"/>
  <c r="S751" i="1"/>
  <c r="U751" i="1"/>
  <c r="O751" i="1"/>
  <c r="W751" i="1"/>
  <c r="AA751" i="1" s="1"/>
  <c r="Z743" i="1"/>
  <c r="S743" i="1"/>
  <c r="U743" i="1"/>
  <c r="O743" i="1"/>
  <c r="W743" i="1"/>
  <c r="O745" i="1"/>
  <c r="W745" i="1"/>
  <c r="Z745" i="1"/>
  <c r="S745" i="1"/>
  <c r="U745" i="1"/>
  <c r="S755" i="1"/>
  <c r="U755" i="1"/>
  <c r="O755" i="1"/>
  <c r="W755" i="1"/>
  <c r="AA755" i="1" s="1"/>
  <c r="S752" i="1"/>
  <c r="U752" i="1"/>
  <c r="O752" i="1"/>
  <c r="W752" i="1"/>
  <c r="AA752" i="1" s="1"/>
  <c r="O737" i="1"/>
  <c r="W737" i="1"/>
  <c r="Z737" i="1"/>
  <c r="S737" i="1"/>
  <c r="U737" i="1"/>
  <c r="AB726" i="1"/>
  <c r="U754" i="1"/>
  <c r="O754" i="1"/>
  <c r="W754" i="1"/>
  <c r="AA754" i="1" s="1"/>
  <c r="S754" i="1"/>
  <c r="O753" i="1"/>
  <c r="W753" i="1"/>
  <c r="Z753" i="1"/>
  <c r="S753" i="1"/>
  <c r="U753" i="1"/>
  <c r="AB730" i="1"/>
  <c r="S744" i="1"/>
  <c r="U744" i="1"/>
  <c r="O744" i="1"/>
  <c r="W744" i="1"/>
  <c r="AA744" i="1" s="1"/>
  <c r="O741" i="1"/>
  <c r="W741" i="1"/>
  <c r="Z741" i="1"/>
  <c r="S741" i="1"/>
  <c r="U741" i="1"/>
  <c r="AB725" i="1"/>
  <c r="S750" i="1"/>
  <c r="S746" i="1"/>
  <c r="S742" i="1"/>
  <c r="W740" i="1"/>
  <c r="O740" i="1"/>
  <c r="S738" i="1"/>
  <c r="W736" i="1"/>
  <c r="O736" i="1"/>
  <c r="S734" i="1"/>
  <c r="U733" i="1"/>
  <c r="W732" i="1"/>
  <c r="O732" i="1"/>
  <c r="S730" i="1"/>
  <c r="U729" i="1"/>
  <c r="W728" i="1"/>
  <c r="O728" i="1"/>
  <c r="S726" i="1"/>
  <c r="U725" i="1"/>
  <c r="U740" i="1"/>
  <c r="U736" i="1"/>
  <c r="S733" i="1"/>
  <c r="U732" i="1"/>
  <c r="S729" i="1"/>
  <c r="U728" i="1"/>
  <c r="W727" i="1"/>
  <c r="AA727" i="1" s="1"/>
  <c r="O727" i="1"/>
  <c r="S725" i="1"/>
  <c r="Z733" i="1"/>
  <c r="Z729" i="1"/>
  <c r="Z725" i="1"/>
  <c r="W750" i="1"/>
  <c r="O750" i="1"/>
  <c r="W746" i="1"/>
  <c r="O746" i="1"/>
  <c r="W742" i="1"/>
  <c r="O742" i="1"/>
  <c r="S740" i="1"/>
  <c r="W738" i="1"/>
  <c r="O738" i="1"/>
  <c r="S736" i="1"/>
  <c r="W734" i="1"/>
  <c r="AA734" i="1" s="1"/>
  <c r="O734" i="1"/>
  <c r="S732" i="1"/>
  <c r="W730" i="1"/>
  <c r="S728" i="1"/>
  <c r="U727" i="1"/>
  <c r="W726" i="1"/>
  <c r="AA726" i="1" s="1"/>
  <c r="W733" i="1"/>
  <c r="W729" i="1"/>
  <c r="S727" i="1"/>
  <c r="W725" i="1"/>
  <c r="AA738" i="1" l="1"/>
  <c r="Q875" i="1"/>
  <c r="R876" i="1"/>
  <c r="T876" i="1"/>
  <c r="P875" i="1"/>
  <c r="AF875" i="1" s="1"/>
  <c r="Q900" i="1"/>
  <c r="P900" i="1" s="1"/>
  <c r="AF900" i="1" s="1"/>
  <c r="R901" i="1"/>
  <c r="T901" i="1"/>
  <c r="P854" i="1"/>
  <c r="AF854" i="1" s="1"/>
  <c r="T855" i="1"/>
  <c r="Q856" i="1"/>
  <c r="R857" i="1"/>
  <c r="AA740" i="1"/>
  <c r="Q812" i="1"/>
  <c r="R813" i="1"/>
  <c r="P811" i="1"/>
  <c r="AF811" i="1" s="1"/>
  <c r="T812" i="1"/>
  <c r="T790" i="1"/>
  <c r="Q787" i="1"/>
  <c r="P787" i="1" s="1"/>
  <c r="AF787" i="1" s="1"/>
  <c r="R788" i="1"/>
  <c r="AA742" i="1"/>
  <c r="AA750" i="1"/>
  <c r="AA736" i="1"/>
  <c r="AA732" i="1"/>
  <c r="AA746" i="1"/>
  <c r="AA730" i="1"/>
  <c r="AA728" i="1"/>
  <c r="AB753" i="1"/>
  <c r="AB744" i="1"/>
  <c r="AB734" i="1"/>
  <c r="AA737" i="1"/>
  <c r="AB743" i="1"/>
  <c r="AB735" i="1"/>
  <c r="AB750" i="1"/>
  <c r="AB732" i="1"/>
  <c r="AB740" i="1"/>
  <c r="AA741" i="1"/>
  <c r="AB755" i="1"/>
  <c r="AB745" i="1"/>
  <c r="AA739" i="1"/>
  <c r="AA749" i="1"/>
  <c r="AA731" i="1"/>
  <c r="AB736" i="1"/>
  <c r="AB746" i="1"/>
  <c r="AB747" i="1"/>
  <c r="AB737" i="1"/>
  <c r="AB727" i="1"/>
  <c r="AB754" i="1"/>
  <c r="AA743" i="1"/>
  <c r="AB728" i="1"/>
  <c r="AB741" i="1"/>
  <c r="AA753" i="1"/>
  <c r="AB749" i="1"/>
  <c r="AB748" i="1"/>
  <c r="AB738" i="1"/>
  <c r="AA725" i="1"/>
  <c r="AA729" i="1"/>
  <c r="AB742" i="1"/>
  <c r="AA733" i="1"/>
  <c r="AB752" i="1"/>
  <c r="AA735" i="1"/>
  <c r="AA745" i="1"/>
  <c r="AB751" i="1"/>
  <c r="AB739" i="1"/>
  <c r="AB731" i="1"/>
  <c r="BV23" i="1"/>
  <c r="I3" i="3" s="1"/>
  <c r="BV24" i="1"/>
  <c r="I4" i="3" s="1"/>
  <c r="BV25" i="1"/>
  <c r="I5" i="3" s="1"/>
  <c r="BV26" i="1"/>
  <c r="I6" i="3" s="1"/>
  <c r="BV27" i="1"/>
  <c r="I7" i="3" s="1"/>
  <c r="BV28" i="1"/>
  <c r="I8" i="3" s="1"/>
  <c r="BV29" i="1"/>
  <c r="I9" i="3" s="1"/>
  <c r="BV30" i="1"/>
  <c r="I10" i="3" s="1"/>
  <c r="BV31" i="1"/>
  <c r="I11" i="3" s="1"/>
  <c r="BV32" i="1"/>
  <c r="I12" i="3" s="1"/>
  <c r="BV33" i="1"/>
  <c r="I13" i="3" s="1"/>
  <c r="BV34" i="1"/>
  <c r="I14" i="3" s="1"/>
  <c r="BV35" i="1"/>
  <c r="I15" i="3" s="1"/>
  <c r="BV36" i="1"/>
  <c r="I17" i="3" s="1"/>
  <c r="BV37" i="1"/>
  <c r="I18" i="3" s="1"/>
  <c r="BV38" i="1"/>
  <c r="I19" i="3" s="1"/>
  <c r="BV39" i="1"/>
  <c r="I20" i="3" s="1"/>
  <c r="BV40" i="1"/>
  <c r="I21" i="3" s="1"/>
  <c r="BV41" i="1"/>
  <c r="I22" i="3" s="1"/>
  <c r="BV42" i="1"/>
  <c r="I23" i="3" s="1"/>
  <c r="BV43" i="1"/>
  <c r="I24" i="3" s="1"/>
  <c r="BV44" i="1"/>
  <c r="I25" i="3" s="1"/>
  <c r="BV45" i="1"/>
  <c r="I27" i="3" s="1"/>
  <c r="BV46" i="1"/>
  <c r="I28" i="3" s="1"/>
  <c r="BV47" i="1"/>
  <c r="I29" i="3" s="1"/>
  <c r="BV22" i="1"/>
  <c r="I2" i="3" s="1"/>
  <c r="T902" i="1" l="1"/>
  <c r="Q901" i="1"/>
  <c r="P901" i="1" s="1"/>
  <c r="AF901" i="1" s="1"/>
  <c r="R902" i="1"/>
  <c r="T877" i="1"/>
  <c r="Q876" i="1"/>
  <c r="P876" i="1" s="1"/>
  <c r="AF876" i="1" s="1"/>
  <c r="R877" i="1"/>
  <c r="Q857" i="1"/>
  <c r="R858" i="1"/>
  <c r="T856" i="1"/>
  <c r="P855" i="1"/>
  <c r="AF855" i="1" s="1"/>
  <c r="BR4" i="1"/>
  <c r="P812" i="1"/>
  <c r="AF812" i="1" s="1"/>
  <c r="T813" i="1"/>
  <c r="Q813" i="1"/>
  <c r="R814" i="1"/>
  <c r="Q788" i="1"/>
  <c r="P788" i="1" s="1"/>
  <c r="AF788" i="1" s="1"/>
  <c r="R789" i="1"/>
  <c r="T791" i="1"/>
  <c r="BV21" i="1"/>
  <c r="AV28" i="1"/>
  <c r="V677" i="1"/>
  <c r="X677" i="1"/>
  <c r="O677" i="1" s="1"/>
  <c r="V678" i="1"/>
  <c r="X678" i="1"/>
  <c r="V679" i="1"/>
  <c r="X679" i="1"/>
  <c r="Z679" i="1" s="1"/>
  <c r="V680" i="1"/>
  <c r="X680" i="1"/>
  <c r="Z680" i="1" s="1"/>
  <c r="V681" i="1"/>
  <c r="X681" i="1"/>
  <c r="S681" i="1" s="1"/>
  <c r="V682" i="1"/>
  <c r="X682" i="1"/>
  <c r="V683" i="1"/>
  <c r="X683" i="1"/>
  <c r="U683" i="1" s="1"/>
  <c r="V684" i="1"/>
  <c r="X684" i="1"/>
  <c r="Z684" i="1" s="1"/>
  <c r="V685" i="1"/>
  <c r="X685" i="1"/>
  <c r="S685" i="1" s="1"/>
  <c r="V686" i="1"/>
  <c r="X686" i="1"/>
  <c r="V687" i="1"/>
  <c r="X687" i="1"/>
  <c r="V688" i="1"/>
  <c r="X688" i="1"/>
  <c r="Z688" i="1" s="1"/>
  <c r="V689" i="1"/>
  <c r="X689" i="1"/>
  <c r="S689" i="1" s="1"/>
  <c r="V690" i="1"/>
  <c r="X690" i="1"/>
  <c r="V691" i="1"/>
  <c r="X691" i="1"/>
  <c r="S691" i="1" s="1"/>
  <c r="V692" i="1"/>
  <c r="X692" i="1"/>
  <c r="U692" i="1" s="1"/>
  <c r="V693" i="1"/>
  <c r="X693" i="1"/>
  <c r="S693" i="1" s="1"/>
  <c r="V694" i="1"/>
  <c r="X694" i="1"/>
  <c r="Z694" i="1" s="1"/>
  <c r="V695" i="1"/>
  <c r="X695" i="1"/>
  <c r="U695" i="1" s="1"/>
  <c r="V696" i="1"/>
  <c r="X696" i="1"/>
  <c r="U696" i="1" s="1"/>
  <c r="V697" i="1"/>
  <c r="X697" i="1"/>
  <c r="S697" i="1" s="1"/>
  <c r="V698" i="1"/>
  <c r="X698" i="1"/>
  <c r="V699" i="1"/>
  <c r="X699" i="1"/>
  <c r="V700" i="1"/>
  <c r="X700" i="1"/>
  <c r="U700" i="1" s="1"/>
  <c r="V701" i="1"/>
  <c r="X701" i="1"/>
  <c r="S701" i="1" s="1"/>
  <c r="V702" i="1"/>
  <c r="X702" i="1"/>
  <c r="V703" i="1"/>
  <c r="X703" i="1"/>
  <c r="V704" i="1"/>
  <c r="X704" i="1"/>
  <c r="U704" i="1" s="1"/>
  <c r="V705" i="1"/>
  <c r="X705" i="1"/>
  <c r="S705" i="1" s="1"/>
  <c r="V706" i="1"/>
  <c r="X706" i="1"/>
  <c r="O706" i="1" s="1"/>
  <c r="V707" i="1"/>
  <c r="X707" i="1"/>
  <c r="Z707" i="1" s="1"/>
  <c r="V708" i="1"/>
  <c r="X708" i="1"/>
  <c r="U708" i="1" s="1"/>
  <c r="V709" i="1"/>
  <c r="X709" i="1"/>
  <c r="S709" i="1" s="1"/>
  <c r="V710" i="1"/>
  <c r="X710" i="1"/>
  <c r="V711" i="1"/>
  <c r="X711" i="1"/>
  <c r="Z711" i="1" s="1"/>
  <c r="V712" i="1"/>
  <c r="X712" i="1"/>
  <c r="O712" i="1" s="1"/>
  <c r="AB712" i="1" s="1"/>
  <c r="V713" i="1"/>
  <c r="X713" i="1"/>
  <c r="Z713" i="1" s="1"/>
  <c r="V714" i="1"/>
  <c r="X714" i="1"/>
  <c r="O714" i="1" s="1"/>
  <c r="V715" i="1"/>
  <c r="X715" i="1"/>
  <c r="Z715" i="1" s="1"/>
  <c r="V716" i="1"/>
  <c r="X716" i="1"/>
  <c r="Z716" i="1" s="1"/>
  <c r="V717" i="1"/>
  <c r="X717" i="1"/>
  <c r="V718" i="1"/>
  <c r="X718" i="1"/>
  <c r="W718" i="1" s="1"/>
  <c r="V719" i="1"/>
  <c r="X719" i="1"/>
  <c r="V720" i="1"/>
  <c r="X720" i="1"/>
  <c r="Z720" i="1" s="1"/>
  <c r="V721" i="1"/>
  <c r="X721" i="1"/>
  <c r="V722" i="1"/>
  <c r="X722" i="1"/>
  <c r="Z722" i="1" s="1"/>
  <c r="V723" i="1"/>
  <c r="X723" i="1"/>
  <c r="Z723" i="1" s="1"/>
  <c r="V724" i="1"/>
  <c r="X724" i="1"/>
  <c r="S724" i="1" s="1"/>
  <c r="Q858" i="1" l="1"/>
  <c r="R859" i="1"/>
  <c r="Q859" i="1" s="1"/>
  <c r="T878" i="1"/>
  <c r="Q902" i="1"/>
  <c r="P902" i="1" s="1"/>
  <c r="AF902" i="1" s="1"/>
  <c r="R903" i="1"/>
  <c r="T903" i="1"/>
  <c r="Q877" i="1"/>
  <c r="P877" i="1" s="1"/>
  <c r="AF877" i="1" s="1"/>
  <c r="R878" i="1"/>
  <c r="P856" i="1"/>
  <c r="AF856" i="1" s="1"/>
  <c r="T857" i="1"/>
  <c r="Q814" i="1"/>
  <c r="R815" i="1"/>
  <c r="P813" i="1"/>
  <c r="AF813" i="1" s="1"/>
  <c r="T814" i="1"/>
  <c r="T792" i="1"/>
  <c r="Q789" i="1"/>
  <c r="P789" i="1" s="1"/>
  <c r="AF789" i="1" s="1"/>
  <c r="R790" i="1"/>
  <c r="U703" i="1"/>
  <c r="U678" i="1"/>
  <c r="W686" i="1"/>
  <c r="Z678" i="1"/>
  <c r="W700" i="1"/>
  <c r="W698" i="1"/>
  <c r="U714" i="1"/>
  <c r="Z686" i="1"/>
  <c r="S700" i="1"/>
  <c r="U698" i="1"/>
  <c r="Z700" i="1"/>
  <c r="S699" i="1"/>
  <c r="Z681" i="1"/>
  <c r="Z698" i="1"/>
  <c r="AA698" i="1" s="1"/>
  <c r="W677" i="1"/>
  <c r="U679" i="1"/>
  <c r="Z721" i="1"/>
  <c r="S711" i="1"/>
  <c r="O693" i="1"/>
  <c r="AB693" i="1" s="1"/>
  <c r="O722" i="1"/>
  <c r="AB722" i="1" s="1"/>
  <c r="Z697" i="1"/>
  <c r="W678" i="1"/>
  <c r="U677" i="1"/>
  <c r="U689" i="1"/>
  <c r="W697" i="1"/>
  <c r="Z677" i="1"/>
  <c r="U707" i="1"/>
  <c r="Z693" i="1"/>
  <c r="U697" i="1"/>
  <c r="S704" i="1"/>
  <c r="W710" i="1"/>
  <c r="S706" i="1"/>
  <c r="Z703" i="1"/>
  <c r="O698" i="1"/>
  <c r="AB698" i="1" s="1"/>
  <c r="O697" i="1"/>
  <c r="AB697" i="1" s="1"/>
  <c r="O692" i="1"/>
  <c r="AB692" i="1" s="1"/>
  <c r="S688" i="1"/>
  <c r="W682" i="1"/>
  <c r="S678" i="1"/>
  <c r="S677" i="1"/>
  <c r="S692" i="1"/>
  <c r="S708" i="1"/>
  <c r="W689" i="1"/>
  <c r="O688" i="1"/>
  <c r="AB688" i="1" s="1"/>
  <c r="U686" i="1"/>
  <c r="O684" i="1"/>
  <c r="AB684" i="1" s="1"/>
  <c r="O678" i="1"/>
  <c r="AB678" i="1" s="1"/>
  <c r="O682" i="1"/>
  <c r="AB682" i="1" s="1"/>
  <c r="Z717" i="1"/>
  <c r="W709" i="1"/>
  <c r="Z704" i="1"/>
  <c r="Z702" i="1"/>
  <c r="U691" i="1"/>
  <c r="W685" i="1"/>
  <c r="Z710" i="1"/>
  <c r="W702" i="1"/>
  <c r="W688" i="1"/>
  <c r="AA688" i="1" s="1"/>
  <c r="U685" i="1"/>
  <c r="Z682" i="1"/>
  <c r="Z712" i="1"/>
  <c r="Z705" i="1"/>
  <c r="U701" i="1"/>
  <c r="S696" i="1"/>
  <c r="Z692" i="1"/>
  <c r="U690" i="1"/>
  <c r="S684" i="1"/>
  <c r="W680" i="1"/>
  <c r="AA680" i="1" s="1"/>
  <c r="S679" i="1"/>
  <c r="U713" i="1"/>
  <c r="S690" i="1"/>
  <c r="S720" i="1"/>
  <c r="U709" i="1"/>
  <c r="S702" i="1"/>
  <c r="O690" i="1"/>
  <c r="AB690" i="1" s="1"/>
  <c r="O689" i="1"/>
  <c r="AB689" i="1" s="1"/>
  <c r="S686" i="1"/>
  <c r="O685" i="1"/>
  <c r="AB685" i="1" s="1"/>
  <c r="W681" i="1"/>
  <c r="S680" i="1"/>
  <c r="U710" i="1"/>
  <c r="S707" i="1"/>
  <c r="S703" i="1"/>
  <c r="Z701" i="1"/>
  <c r="Z696" i="1"/>
  <c r="W692" i="1"/>
  <c r="O686" i="1"/>
  <c r="AB686" i="1" s="1"/>
  <c r="U682" i="1"/>
  <c r="O680" i="1"/>
  <c r="AB680" i="1" s="1"/>
  <c r="U702" i="1"/>
  <c r="O696" i="1"/>
  <c r="AB696" i="1" s="1"/>
  <c r="W693" i="1"/>
  <c r="Z718" i="1"/>
  <c r="AA718" i="1" s="1"/>
  <c r="S710" i="1"/>
  <c r="W708" i="1"/>
  <c r="U693" i="1"/>
  <c r="Z690" i="1"/>
  <c r="Z689" i="1"/>
  <c r="Z685" i="1"/>
  <c r="S682" i="1"/>
  <c r="U681" i="1"/>
  <c r="O681" i="1"/>
  <c r="AB681" i="1" s="1"/>
  <c r="W701" i="1"/>
  <c r="W696" i="1"/>
  <c r="W690" i="1"/>
  <c r="W684" i="1"/>
  <c r="AA684" i="1" s="1"/>
  <c r="AW28" i="1"/>
  <c r="O719" i="1"/>
  <c r="W719" i="1"/>
  <c r="S719" i="1"/>
  <c r="O718" i="1"/>
  <c r="S713" i="1"/>
  <c r="W713" i="1"/>
  <c r="AA713" i="1" s="1"/>
  <c r="Z695" i="1"/>
  <c r="O695" i="1"/>
  <c r="W695" i="1"/>
  <c r="W694" i="1"/>
  <c r="AA694" i="1" s="1"/>
  <c r="O723" i="1"/>
  <c r="W723" i="1"/>
  <c r="AA723" i="1" s="1"/>
  <c r="S723" i="1"/>
  <c r="AB714" i="1"/>
  <c r="S695" i="1"/>
  <c r="O694" i="1"/>
  <c r="S721" i="1"/>
  <c r="U721" i="1"/>
  <c r="O721" i="1"/>
  <c r="W721" i="1"/>
  <c r="AA721" i="1" s="1"/>
  <c r="U712" i="1"/>
  <c r="W712" i="1"/>
  <c r="U720" i="1"/>
  <c r="O720" i="1"/>
  <c r="W720" i="1"/>
  <c r="AA720" i="1" s="1"/>
  <c r="O715" i="1"/>
  <c r="W715" i="1"/>
  <c r="AA715" i="1" s="1"/>
  <c r="S715" i="1"/>
  <c r="O711" i="1"/>
  <c r="W711" i="1"/>
  <c r="AA711" i="1" s="1"/>
  <c r="AB706" i="1"/>
  <c r="U723" i="1"/>
  <c r="S722" i="1"/>
  <c r="U722" i="1"/>
  <c r="O713" i="1"/>
  <c r="S712" i="1"/>
  <c r="Z699" i="1"/>
  <c r="O699" i="1"/>
  <c r="W699" i="1"/>
  <c r="U699" i="1"/>
  <c r="U724" i="1"/>
  <c r="O724" i="1"/>
  <c r="W724" i="1"/>
  <c r="U719" i="1"/>
  <c r="U716" i="1"/>
  <c r="O716" i="1"/>
  <c r="W716" i="1"/>
  <c r="AA716" i="1" s="1"/>
  <c r="S718" i="1"/>
  <c r="U718" i="1"/>
  <c r="S716" i="1"/>
  <c r="Z724" i="1"/>
  <c r="W722" i="1"/>
  <c r="AA722" i="1" s="1"/>
  <c r="Z719" i="1"/>
  <c r="S717" i="1"/>
  <c r="U717" i="1"/>
  <c r="O717" i="1"/>
  <c r="W717" i="1"/>
  <c r="U715" i="1"/>
  <c r="W714" i="1"/>
  <c r="Z714" i="1"/>
  <c r="S714" i="1"/>
  <c r="U711" i="1"/>
  <c r="U706" i="1"/>
  <c r="W706" i="1"/>
  <c r="Z706" i="1"/>
  <c r="S694" i="1"/>
  <c r="U694" i="1"/>
  <c r="Z687" i="1"/>
  <c r="O687" i="1"/>
  <c r="W687" i="1"/>
  <c r="Z709" i="1"/>
  <c r="Z708" i="1"/>
  <c r="O702" i="1"/>
  <c r="O701" i="1"/>
  <c r="O700" i="1"/>
  <c r="S698" i="1"/>
  <c r="O703" i="1"/>
  <c r="W703" i="1"/>
  <c r="U687" i="1"/>
  <c r="O705" i="1"/>
  <c r="O704" i="1"/>
  <c r="O710" i="1"/>
  <c r="O709" i="1"/>
  <c r="O708" i="1"/>
  <c r="O707" i="1"/>
  <c r="W707" i="1"/>
  <c r="AA707" i="1" s="1"/>
  <c r="W705" i="1"/>
  <c r="W704" i="1"/>
  <c r="AA704" i="1" s="1"/>
  <c r="S687" i="1"/>
  <c r="Z683" i="1"/>
  <c r="S683" i="1"/>
  <c r="O683" i="1"/>
  <c r="W683" i="1"/>
  <c r="U705" i="1"/>
  <c r="Z691" i="1"/>
  <c r="O691" i="1"/>
  <c r="W691" i="1"/>
  <c r="AB677" i="1"/>
  <c r="U688" i="1"/>
  <c r="U684" i="1"/>
  <c r="U680" i="1"/>
  <c r="W679" i="1"/>
  <c r="AA679" i="1" s="1"/>
  <c r="O679" i="1"/>
  <c r="AI21" i="1"/>
  <c r="AK21" i="1"/>
  <c r="AO12" i="1" s="1"/>
  <c r="AV4" i="1"/>
  <c r="AV5" i="1"/>
  <c r="AV6" i="1"/>
  <c r="AV7" i="1"/>
  <c r="AV8" i="1"/>
  <c r="AV9" i="1"/>
  <c r="AV10" i="1"/>
  <c r="AV11" i="1"/>
  <c r="AV12" i="1"/>
  <c r="BW48" i="1" s="1"/>
  <c r="BX48" i="1" s="1"/>
  <c r="AV13" i="1"/>
  <c r="AV14" i="1"/>
  <c r="AV15" i="1"/>
  <c r="AV16" i="1"/>
  <c r="AV17" i="1"/>
  <c r="AV18" i="1"/>
  <c r="AV19" i="1"/>
  <c r="AV20" i="1"/>
  <c r="AV21" i="1"/>
  <c r="AV22" i="1"/>
  <c r="AV23" i="1"/>
  <c r="AV24" i="1"/>
  <c r="BW50" i="1" s="1"/>
  <c r="BX50" i="1" s="1"/>
  <c r="AV25" i="1"/>
  <c r="BW52" i="1" s="1"/>
  <c r="BX52" i="1" s="1"/>
  <c r="AV26" i="1"/>
  <c r="AV27" i="1"/>
  <c r="V643" i="1"/>
  <c r="X643" i="1"/>
  <c r="O643" i="1" s="1"/>
  <c r="V644" i="1"/>
  <c r="X644" i="1"/>
  <c r="U644" i="1" s="1"/>
  <c r="V645" i="1"/>
  <c r="X645" i="1"/>
  <c r="V646" i="1"/>
  <c r="X646" i="1"/>
  <c r="V647" i="1"/>
  <c r="X647" i="1"/>
  <c r="O647" i="1" s="1"/>
  <c r="V648" i="1"/>
  <c r="X648" i="1"/>
  <c r="U648" i="1" s="1"/>
  <c r="V649" i="1"/>
  <c r="X649" i="1"/>
  <c r="V650" i="1"/>
  <c r="X650" i="1"/>
  <c r="V651" i="1"/>
  <c r="X651" i="1"/>
  <c r="O651" i="1" s="1"/>
  <c r="V652" i="1"/>
  <c r="X652" i="1"/>
  <c r="U652" i="1" s="1"/>
  <c r="V653" i="1"/>
  <c r="X653" i="1"/>
  <c r="V654" i="1"/>
  <c r="X654" i="1"/>
  <c r="V655" i="1"/>
  <c r="X655" i="1"/>
  <c r="V656" i="1"/>
  <c r="X656" i="1"/>
  <c r="U656" i="1" s="1"/>
  <c r="V657" i="1"/>
  <c r="X657" i="1"/>
  <c r="Z657" i="1" s="1"/>
  <c r="V658" i="1"/>
  <c r="X658" i="1"/>
  <c r="Z658" i="1" s="1"/>
  <c r="V659" i="1"/>
  <c r="X659" i="1"/>
  <c r="Z659" i="1" s="1"/>
  <c r="V660" i="1"/>
  <c r="X660" i="1"/>
  <c r="Z660" i="1" s="1"/>
  <c r="V661" i="1"/>
  <c r="X661" i="1"/>
  <c r="V662" i="1"/>
  <c r="X662" i="1"/>
  <c r="Z662" i="1" s="1"/>
  <c r="V663" i="1"/>
  <c r="X663" i="1"/>
  <c r="Z663" i="1" s="1"/>
  <c r="V664" i="1"/>
  <c r="X664" i="1"/>
  <c r="Z664" i="1" s="1"/>
  <c r="V665" i="1"/>
  <c r="X665" i="1"/>
  <c r="Z665" i="1" s="1"/>
  <c r="V666" i="1"/>
  <c r="X666" i="1"/>
  <c r="Z666" i="1" s="1"/>
  <c r="V667" i="1"/>
  <c r="X667" i="1"/>
  <c r="Z667" i="1" s="1"/>
  <c r="V668" i="1"/>
  <c r="X668" i="1"/>
  <c r="Z668" i="1" s="1"/>
  <c r="V669" i="1"/>
  <c r="X669" i="1"/>
  <c r="V670" i="1"/>
  <c r="X670" i="1"/>
  <c r="Z670" i="1" s="1"/>
  <c r="V671" i="1"/>
  <c r="X671" i="1"/>
  <c r="Z671" i="1" s="1"/>
  <c r="V672" i="1"/>
  <c r="X672" i="1"/>
  <c r="Z672" i="1" s="1"/>
  <c r="V673" i="1"/>
  <c r="X673" i="1"/>
  <c r="Z673" i="1" s="1"/>
  <c r="V674" i="1"/>
  <c r="X674" i="1"/>
  <c r="Z674" i="1" s="1"/>
  <c r="V675" i="1"/>
  <c r="X675" i="1"/>
  <c r="Z675" i="1" s="1"/>
  <c r="V676" i="1"/>
  <c r="X676" i="1"/>
  <c r="BW47" i="1" l="1"/>
  <c r="BX47" i="1" s="1"/>
  <c r="BW32" i="1"/>
  <c r="BX32" i="1" s="1"/>
  <c r="Q878" i="1"/>
  <c r="P878" i="1" s="1"/>
  <c r="AF878" i="1" s="1"/>
  <c r="R879" i="1"/>
  <c r="T904" i="1"/>
  <c r="Q903" i="1"/>
  <c r="P903" i="1" s="1"/>
  <c r="AF903" i="1" s="1"/>
  <c r="R904" i="1"/>
  <c r="T879" i="1"/>
  <c r="BW49" i="1"/>
  <c r="BX49" i="1" s="1"/>
  <c r="P857" i="1"/>
  <c r="AF857" i="1" s="1"/>
  <c r="T858" i="1"/>
  <c r="P814" i="1"/>
  <c r="AF814" i="1" s="1"/>
  <c r="T815" i="1"/>
  <c r="Q815" i="1"/>
  <c r="R816" i="1"/>
  <c r="Q790" i="1"/>
  <c r="P790" i="1" s="1"/>
  <c r="AF790" i="1" s="1"/>
  <c r="R791" i="1"/>
  <c r="T793" i="1"/>
  <c r="AA689" i="1"/>
  <c r="AA686" i="1"/>
  <c r="AA681" i="1"/>
  <c r="AA678" i="1"/>
  <c r="AA693" i="1"/>
  <c r="AA700" i="1"/>
  <c r="AA677" i="1"/>
  <c r="AA697" i="1"/>
  <c r="AB643" i="1"/>
  <c r="AA710" i="1"/>
  <c r="AA685" i="1"/>
  <c r="AA682" i="1"/>
  <c r="AA717" i="1"/>
  <c r="AA705" i="1"/>
  <c r="AA690" i="1"/>
  <c r="AA712" i="1"/>
  <c r="AA701" i="1"/>
  <c r="Z643" i="1"/>
  <c r="U643" i="1"/>
  <c r="AA703" i="1"/>
  <c r="Z644" i="1"/>
  <c r="S643" i="1"/>
  <c r="AA692" i="1"/>
  <c r="AA702" i="1"/>
  <c r="AA696" i="1"/>
  <c r="Z654" i="1"/>
  <c r="AB651" i="1"/>
  <c r="Z648" i="1"/>
  <c r="Z656" i="1"/>
  <c r="Z650" i="1"/>
  <c r="AB647" i="1"/>
  <c r="Z652" i="1"/>
  <c r="AW4" i="1"/>
  <c r="AW26" i="1"/>
  <c r="AW18" i="1"/>
  <c r="BW37" i="1"/>
  <c r="BX37" i="1" s="1"/>
  <c r="AW11" i="1"/>
  <c r="BW30" i="1"/>
  <c r="BX30" i="1" s="1"/>
  <c r="AW20" i="1"/>
  <c r="BW39" i="1"/>
  <c r="BX39" i="1" s="1"/>
  <c r="AW19" i="1"/>
  <c r="BW38" i="1"/>
  <c r="BX38" i="1" s="1"/>
  <c r="AW17" i="1"/>
  <c r="BW36" i="1"/>
  <c r="BX36" i="1" s="1"/>
  <c r="AW24" i="1"/>
  <c r="BW43" i="1"/>
  <c r="BX43" i="1" s="1"/>
  <c r="AW16" i="1"/>
  <c r="BW35" i="1"/>
  <c r="BX35" i="1" s="1"/>
  <c r="AW9" i="1"/>
  <c r="BW28" i="1"/>
  <c r="BX28" i="1" s="1"/>
  <c r="AW27" i="1"/>
  <c r="BW46" i="1"/>
  <c r="BX46" i="1" s="1"/>
  <c r="AW23" i="1"/>
  <c r="BW42" i="1"/>
  <c r="BX42" i="1" s="1"/>
  <c r="AW15" i="1"/>
  <c r="BW34" i="1"/>
  <c r="BX34" i="1" s="1"/>
  <c r="AW8" i="1"/>
  <c r="BW27" i="1"/>
  <c r="BX27" i="1" s="1"/>
  <c r="AW5" i="1"/>
  <c r="BW24" i="1"/>
  <c r="BX24" i="1" s="1"/>
  <c r="AW12" i="1"/>
  <c r="BW31" i="1"/>
  <c r="BX31" i="1" s="1"/>
  <c r="AW25" i="1"/>
  <c r="BW44" i="1"/>
  <c r="BX44" i="1" s="1"/>
  <c r="AW22" i="1"/>
  <c r="BW41" i="1"/>
  <c r="BX41" i="1" s="1"/>
  <c r="AW14" i="1"/>
  <c r="BW33" i="1"/>
  <c r="BX33" i="1" s="1"/>
  <c r="AW7" i="1"/>
  <c r="BW26" i="1"/>
  <c r="BX26" i="1" s="1"/>
  <c r="AW10" i="1"/>
  <c r="BW29" i="1"/>
  <c r="BX29" i="1" s="1"/>
  <c r="AW21" i="1"/>
  <c r="BW40" i="1"/>
  <c r="BX40" i="1" s="1"/>
  <c r="AW13" i="1"/>
  <c r="AW6" i="1"/>
  <c r="BW25" i="1"/>
  <c r="BX25" i="1" s="1"/>
  <c r="AA699" i="1"/>
  <c r="AB695" i="1"/>
  <c r="AA683" i="1"/>
  <c r="AA708" i="1"/>
  <c r="AA706" i="1"/>
  <c r="AB723" i="1"/>
  <c r="AA695" i="1"/>
  <c r="AB717" i="1"/>
  <c r="AB691" i="1"/>
  <c r="AB707" i="1"/>
  <c r="AA709" i="1"/>
  <c r="AB687" i="1"/>
  <c r="AA691" i="1"/>
  <c r="AB708" i="1"/>
  <c r="AB703" i="1"/>
  <c r="AA687" i="1"/>
  <c r="AA714" i="1"/>
  <c r="AB700" i="1"/>
  <c r="AB715" i="1"/>
  <c r="AB718" i="1"/>
  <c r="AB719" i="1"/>
  <c r="AB709" i="1"/>
  <c r="AA719" i="1"/>
  <c r="AB679" i="1"/>
  <c r="AB710" i="1"/>
  <c r="AB701" i="1"/>
  <c r="AB724" i="1"/>
  <c r="AB702" i="1"/>
  <c r="AB704" i="1"/>
  <c r="AB713" i="1"/>
  <c r="AB683" i="1"/>
  <c r="AB705" i="1"/>
  <c r="AA724" i="1"/>
  <c r="AB716" i="1"/>
  <c r="AB699" i="1"/>
  <c r="AB711" i="1"/>
  <c r="AB720" i="1"/>
  <c r="AB721" i="1"/>
  <c r="AB694" i="1"/>
  <c r="S661" i="1"/>
  <c r="U661" i="1"/>
  <c r="O661" i="1"/>
  <c r="W661" i="1"/>
  <c r="U660" i="1"/>
  <c r="O660" i="1"/>
  <c r="W660" i="1"/>
  <c r="AA660" i="1" s="1"/>
  <c r="S660" i="1"/>
  <c r="O675" i="1"/>
  <c r="W675" i="1"/>
  <c r="AA675" i="1" s="1"/>
  <c r="S675" i="1"/>
  <c r="U675" i="1"/>
  <c r="O667" i="1"/>
  <c r="W667" i="1"/>
  <c r="AA667" i="1" s="1"/>
  <c r="S667" i="1"/>
  <c r="U667" i="1"/>
  <c r="O659" i="1"/>
  <c r="W659" i="1"/>
  <c r="AA659" i="1" s="1"/>
  <c r="S659" i="1"/>
  <c r="U659" i="1"/>
  <c r="U676" i="1"/>
  <c r="O676" i="1"/>
  <c r="W676" i="1"/>
  <c r="S676" i="1"/>
  <c r="S669" i="1"/>
  <c r="U669" i="1"/>
  <c r="O669" i="1"/>
  <c r="W669" i="1"/>
  <c r="S658" i="1"/>
  <c r="U658" i="1"/>
  <c r="O658" i="1"/>
  <c r="W658" i="1"/>
  <c r="AA658" i="1" s="1"/>
  <c r="O655" i="1"/>
  <c r="W655" i="1"/>
  <c r="Z655" i="1"/>
  <c r="S655" i="1"/>
  <c r="U655" i="1"/>
  <c r="S673" i="1"/>
  <c r="U673" i="1"/>
  <c r="O673" i="1"/>
  <c r="W673" i="1"/>
  <c r="AA673" i="1" s="1"/>
  <c r="S665" i="1"/>
  <c r="U665" i="1"/>
  <c r="O665" i="1"/>
  <c r="W665" i="1"/>
  <c r="AA665" i="1" s="1"/>
  <c r="S657" i="1"/>
  <c r="U657" i="1"/>
  <c r="O657" i="1"/>
  <c r="W657" i="1"/>
  <c r="AA657" i="1" s="1"/>
  <c r="Z645" i="1"/>
  <c r="S645" i="1"/>
  <c r="U645" i="1"/>
  <c r="O645" i="1"/>
  <c r="W645" i="1"/>
  <c r="U672" i="1"/>
  <c r="O672" i="1"/>
  <c r="W672" i="1"/>
  <c r="AA672" i="1" s="1"/>
  <c r="S672" i="1"/>
  <c r="U664" i="1"/>
  <c r="O664" i="1"/>
  <c r="W664" i="1"/>
  <c r="AA664" i="1" s="1"/>
  <c r="S664" i="1"/>
  <c r="S653" i="1"/>
  <c r="U653" i="1"/>
  <c r="O653" i="1"/>
  <c r="W653" i="1"/>
  <c r="Z653" i="1"/>
  <c r="Z649" i="1"/>
  <c r="S649" i="1"/>
  <c r="U649" i="1"/>
  <c r="O649" i="1"/>
  <c r="W649" i="1"/>
  <c r="S666" i="1"/>
  <c r="U666" i="1"/>
  <c r="O666" i="1"/>
  <c r="W666" i="1"/>
  <c r="AA666" i="1" s="1"/>
  <c r="S674" i="1"/>
  <c r="U674" i="1"/>
  <c r="O674" i="1"/>
  <c r="W674" i="1"/>
  <c r="AA674" i="1" s="1"/>
  <c r="Z676" i="1"/>
  <c r="O671" i="1"/>
  <c r="W671" i="1"/>
  <c r="AA671" i="1" s="1"/>
  <c r="S671" i="1"/>
  <c r="U671" i="1"/>
  <c r="O663" i="1"/>
  <c r="W663" i="1"/>
  <c r="AA663" i="1" s="1"/>
  <c r="S663" i="1"/>
  <c r="U663" i="1"/>
  <c r="S670" i="1"/>
  <c r="U670" i="1"/>
  <c r="O670" i="1"/>
  <c r="W670" i="1"/>
  <c r="AA670" i="1" s="1"/>
  <c r="Z669" i="1"/>
  <c r="S662" i="1"/>
  <c r="U662" i="1"/>
  <c r="O662" i="1"/>
  <c r="W662" i="1"/>
  <c r="AA662" i="1" s="1"/>
  <c r="Z661" i="1"/>
  <c r="U668" i="1"/>
  <c r="O668" i="1"/>
  <c r="W668" i="1"/>
  <c r="AA668" i="1" s="1"/>
  <c r="S668" i="1"/>
  <c r="S656" i="1"/>
  <c r="W654" i="1"/>
  <c r="O654" i="1"/>
  <c r="S652" i="1"/>
  <c r="U651" i="1"/>
  <c r="W650" i="1"/>
  <c r="O650" i="1"/>
  <c r="S648" i="1"/>
  <c r="U647" i="1"/>
  <c r="W646" i="1"/>
  <c r="O646" i="1"/>
  <c r="S644" i="1"/>
  <c r="U654" i="1"/>
  <c r="S651" i="1"/>
  <c r="U650" i="1"/>
  <c r="S647" i="1"/>
  <c r="U646" i="1"/>
  <c r="Z651" i="1"/>
  <c r="Z647" i="1"/>
  <c r="W656" i="1"/>
  <c r="O656" i="1"/>
  <c r="S654" i="1"/>
  <c r="W652" i="1"/>
  <c r="O652" i="1"/>
  <c r="S650" i="1"/>
  <c r="W648" i="1"/>
  <c r="O648" i="1"/>
  <c r="S646" i="1"/>
  <c r="W644" i="1"/>
  <c r="AA644" i="1" s="1"/>
  <c r="O644" i="1"/>
  <c r="Z646" i="1"/>
  <c r="W651" i="1"/>
  <c r="W647" i="1"/>
  <c r="W643" i="1"/>
  <c r="V640" i="1"/>
  <c r="AL21" i="1"/>
  <c r="AO30" i="1"/>
  <c r="AO31" i="1" s="1"/>
  <c r="AK22" i="1" s="1"/>
  <c r="AN30" i="1"/>
  <c r="AN31" i="1" s="1"/>
  <c r="AI22" i="1" s="1"/>
  <c r="AN7" i="1"/>
  <c r="AO9" i="1"/>
  <c r="AM10" i="1"/>
  <c r="AO10" i="1" s="1"/>
  <c r="AM11" i="1"/>
  <c r="AO11" i="1" s="1"/>
  <c r="Z434" i="1"/>
  <c r="Z404" i="1"/>
  <c r="Z121" i="1"/>
  <c r="Z47" i="1"/>
  <c r="Z31" i="1"/>
  <c r="D18" i="6"/>
  <c r="D19" i="6" s="1"/>
  <c r="B18" i="6"/>
  <c r="V595" i="1"/>
  <c r="X595" i="1"/>
  <c r="V596" i="1"/>
  <c r="X596" i="1"/>
  <c r="O596" i="1" s="1"/>
  <c r="V597" i="1"/>
  <c r="X597" i="1"/>
  <c r="V598" i="1"/>
  <c r="X598" i="1"/>
  <c r="V599" i="1"/>
  <c r="X599" i="1"/>
  <c r="V600" i="1"/>
  <c r="X600" i="1"/>
  <c r="V601" i="1"/>
  <c r="X601" i="1"/>
  <c r="V602" i="1"/>
  <c r="X602" i="1"/>
  <c r="V603" i="1"/>
  <c r="X603" i="1"/>
  <c r="V604" i="1"/>
  <c r="X604" i="1"/>
  <c r="O604" i="1" s="1"/>
  <c r="AB604" i="1" s="1"/>
  <c r="V605" i="1"/>
  <c r="X605" i="1"/>
  <c r="V606" i="1"/>
  <c r="X606" i="1"/>
  <c r="V607" i="1"/>
  <c r="X607" i="1"/>
  <c r="V608" i="1"/>
  <c r="X608" i="1"/>
  <c r="V609" i="1"/>
  <c r="X609" i="1"/>
  <c r="V610" i="1"/>
  <c r="X610" i="1"/>
  <c r="V611" i="1"/>
  <c r="X611" i="1"/>
  <c r="V612" i="1"/>
  <c r="X612" i="1"/>
  <c r="Z612" i="1" s="1"/>
  <c r="V613" i="1"/>
  <c r="X613" i="1"/>
  <c r="V614" i="1"/>
  <c r="X614" i="1"/>
  <c r="V615" i="1"/>
  <c r="X615" i="1"/>
  <c r="V616" i="1"/>
  <c r="X616" i="1"/>
  <c r="Z616" i="1" s="1"/>
  <c r="V617" i="1"/>
  <c r="X617" i="1"/>
  <c r="V618" i="1"/>
  <c r="X618" i="1"/>
  <c r="V619" i="1"/>
  <c r="X619" i="1"/>
  <c r="V620" i="1"/>
  <c r="X620" i="1"/>
  <c r="O620" i="1" s="1"/>
  <c r="AB620" i="1" s="1"/>
  <c r="V621" i="1"/>
  <c r="X621" i="1"/>
  <c r="Z621" i="1" s="1"/>
  <c r="V622" i="1"/>
  <c r="X622" i="1"/>
  <c r="Z622" i="1" s="1"/>
  <c r="V623" i="1"/>
  <c r="X623" i="1"/>
  <c r="Z623" i="1" s="1"/>
  <c r="V624" i="1"/>
  <c r="X624" i="1"/>
  <c r="Z624" i="1" s="1"/>
  <c r="V625" i="1"/>
  <c r="X625" i="1"/>
  <c r="V626" i="1"/>
  <c r="X626" i="1"/>
  <c r="Z626" i="1" s="1"/>
  <c r="V627" i="1"/>
  <c r="X627" i="1"/>
  <c r="Z627" i="1" s="1"/>
  <c r="V628" i="1"/>
  <c r="X628" i="1"/>
  <c r="Z628" i="1" s="1"/>
  <c r="V629" i="1"/>
  <c r="X629" i="1"/>
  <c r="Z629" i="1" s="1"/>
  <c r="V630" i="1"/>
  <c r="X630" i="1"/>
  <c r="Z630" i="1" s="1"/>
  <c r="V631" i="1"/>
  <c r="X631" i="1"/>
  <c r="Z631" i="1" s="1"/>
  <c r="V632" i="1"/>
  <c r="X632" i="1"/>
  <c r="Z632" i="1" s="1"/>
  <c r="V633" i="1"/>
  <c r="X633" i="1"/>
  <c r="Z633" i="1" s="1"/>
  <c r="V634" i="1"/>
  <c r="X634" i="1"/>
  <c r="Z634" i="1" s="1"/>
  <c r="V635" i="1"/>
  <c r="X635" i="1"/>
  <c r="Z635" i="1" s="1"/>
  <c r="V636" i="1"/>
  <c r="X636" i="1"/>
  <c r="V637" i="1"/>
  <c r="X637" i="1"/>
  <c r="S637" i="1" s="1"/>
  <c r="V638" i="1"/>
  <c r="X638" i="1"/>
  <c r="S638" i="1" s="1"/>
  <c r="V639" i="1"/>
  <c r="X639" i="1"/>
  <c r="S639" i="1" s="1"/>
  <c r="X640" i="1"/>
  <c r="S640" i="1" s="1"/>
  <c r="V641" i="1"/>
  <c r="X641" i="1"/>
  <c r="S641" i="1" s="1"/>
  <c r="V642" i="1"/>
  <c r="X642" i="1"/>
  <c r="BN4" i="1"/>
  <c r="AA648" i="1" l="1"/>
  <c r="P858" i="1"/>
  <c r="AF858" i="1" s="1"/>
  <c r="T859" i="1"/>
  <c r="P859" i="1" s="1"/>
  <c r="AF859" i="1" s="1"/>
  <c r="T880" i="1"/>
  <c r="Q904" i="1"/>
  <c r="P904" i="1" s="1"/>
  <c r="AF904" i="1" s="1"/>
  <c r="R905" i="1"/>
  <c r="T905" i="1"/>
  <c r="Q879" i="1"/>
  <c r="P879" i="1" s="1"/>
  <c r="AF879" i="1" s="1"/>
  <c r="R880" i="1"/>
  <c r="Q816" i="1"/>
  <c r="R817" i="1"/>
  <c r="P815" i="1"/>
  <c r="AF815" i="1" s="1"/>
  <c r="T816" i="1"/>
  <c r="AA652" i="1"/>
  <c r="T794" i="1"/>
  <c r="Q791" i="1"/>
  <c r="P791" i="1" s="1"/>
  <c r="AF791" i="1" s="1"/>
  <c r="R792" i="1"/>
  <c r="AA656" i="1"/>
  <c r="AA650" i="1"/>
  <c r="AA643" i="1"/>
  <c r="AA654" i="1"/>
  <c r="AB656" i="1"/>
  <c r="AB653" i="1"/>
  <c r="AB664" i="1"/>
  <c r="AB657" i="1"/>
  <c r="AB655" i="1"/>
  <c r="AB659" i="1"/>
  <c r="AB661" i="1"/>
  <c r="AB645" i="1"/>
  <c r="AB646" i="1"/>
  <c r="AB675" i="1"/>
  <c r="AB658" i="1"/>
  <c r="AB663" i="1"/>
  <c r="AB654" i="1"/>
  <c r="AB668" i="1"/>
  <c r="AA647" i="1"/>
  <c r="AA669" i="1"/>
  <c r="AA646" i="1"/>
  <c r="AA651" i="1"/>
  <c r="AA661" i="1"/>
  <c r="AA676" i="1"/>
  <c r="AB666" i="1"/>
  <c r="AB672" i="1"/>
  <c r="AA645" i="1"/>
  <c r="AA655" i="1"/>
  <c r="AB676" i="1"/>
  <c r="AB648" i="1"/>
  <c r="AB649" i="1"/>
  <c r="AB671" i="1"/>
  <c r="AB670" i="1"/>
  <c r="AA649" i="1"/>
  <c r="AB667" i="1"/>
  <c r="AB660" i="1"/>
  <c r="AB644" i="1"/>
  <c r="AB652" i="1"/>
  <c r="AB650" i="1"/>
  <c r="AB662" i="1"/>
  <c r="AA653" i="1"/>
  <c r="AB674" i="1"/>
  <c r="AB665" i="1"/>
  <c r="AB673" i="1"/>
  <c r="AB669" i="1"/>
  <c r="Z636" i="1"/>
  <c r="S636" i="1"/>
  <c r="Z642" i="1"/>
  <c r="S642" i="1"/>
  <c r="BN5" i="1"/>
  <c r="BN6" i="1" s="1"/>
  <c r="BN7" i="1" s="1"/>
  <c r="BN8" i="1" s="1"/>
  <c r="BN9" i="1" s="1"/>
  <c r="BN10" i="1" s="1"/>
  <c r="BN11" i="1" s="1"/>
  <c r="BN12" i="1" s="1"/>
  <c r="BN13" i="1" s="1"/>
  <c r="BN14" i="1" s="1"/>
  <c r="BN15" i="1" s="1"/>
  <c r="BN16" i="1" s="1"/>
  <c r="BN17" i="1" s="1"/>
  <c r="BO4" i="1" s="1"/>
  <c r="BO5" i="1" s="1"/>
  <c r="BO6" i="1" s="1"/>
  <c r="BO7" i="1" s="1"/>
  <c r="BO8" i="1" s="1"/>
  <c r="BO9" i="1" s="1"/>
  <c r="BO10" i="1" s="1"/>
  <c r="BO11" i="1" s="1"/>
  <c r="BO12" i="1" s="1"/>
  <c r="BO13" i="1" s="1"/>
  <c r="BO14" i="1" s="1"/>
  <c r="BO15" i="1" s="1"/>
  <c r="BO16" i="1" s="1"/>
  <c r="BO17" i="1" s="1"/>
  <c r="Z596" i="1"/>
  <c r="Z638" i="1"/>
  <c r="O618" i="1"/>
  <c r="AB618" i="1" s="1"/>
  <c r="Z618" i="1"/>
  <c r="O614" i="1"/>
  <c r="AB614" i="1" s="1"/>
  <c r="Z614" i="1"/>
  <c r="O610" i="1"/>
  <c r="AB610" i="1" s="1"/>
  <c r="Z610" i="1"/>
  <c r="O606" i="1"/>
  <c r="AB606" i="1" s="1"/>
  <c r="Z606" i="1"/>
  <c r="O602" i="1"/>
  <c r="AB602" i="1" s="1"/>
  <c r="Z602" i="1"/>
  <c r="O598" i="1"/>
  <c r="AB598" i="1" s="1"/>
  <c r="Z598" i="1"/>
  <c r="Z604" i="1"/>
  <c r="Z641" i="1"/>
  <c r="O637" i="1"/>
  <c r="AB637" i="1" s="1"/>
  <c r="Z637" i="1"/>
  <c r="U625" i="1"/>
  <c r="Z625" i="1"/>
  <c r="O617" i="1"/>
  <c r="AB617" i="1" s="1"/>
  <c r="Z617" i="1"/>
  <c r="O613" i="1"/>
  <c r="AB613" i="1" s="1"/>
  <c r="Z613" i="1"/>
  <c r="O609" i="1"/>
  <c r="AB609" i="1" s="1"/>
  <c r="Z609" i="1"/>
  <c r="O605" i="1"/>
  <c r="AB605" i="1" s="1"/>
  <c r="Z605" i="1"/>
  <c r="O601" i="1"/>
  <c r="AB601" i="1" s="1"/>
  <c r="Z601" i="1"/>
  <c r="O597" i="1"/>
  <c r="AB597" i="1" s="1"/>
  <c r="Z597" i="1"/>
  <c r="Z620" i="1"/>
  <c r="Z640" i="1"/>
  <c r="O608" i="1"/>
  <c r="AB608" i="1" s="1"/>
  <c r="Z608" i="1"/>
  <c r="O600" i="1"/>
  <c r="Z600" i="1"/>
  <c r="Z639" i="1"/>
  <c r="O619" i="1"/>
  <c r="AB619" i="1" s="1"/>
  <c r="Z619" i="1"/>
  <c r="O615" i="1"/>
  <c r="AB615" i="1" s="1"/>
  <c r="Z615" i="1"/>
  <c r="O611" i="1"/>
  <c r="AB611" i="1" s="1"/>
  <c r="Z611" i="1"/>
  <c r="O607" i="1"/>
  <c r="AB607" i="1" s="1"/>
  <c r="Z607" i="1"/>
  <c r="O603" i="1"/>
  <c r="AB603" i="1" s="1"/>
  <c r="Z603" i="1"/>
  <c r="O599" i="1"/>
  <c r="AB599" i="1" s="1"/>
  <c r="Z599" i="1"/>
  <c r="O595" i="1"/>
  <c r="AB595" i="1" s="1"/>
  <c r="Z595" i="1"/>
  <c r="U597" i="1"/>
  <c r="S598" i="1"/>
  <c r="U603" i="1"/>
  <c r="U628" i="1"/>
  <c r="S620" i="1"/>
  <c r="S602" i="1"/>
  <c r="U615" i="1"/>
  <c r="S610" i="1"/>
  <c r="U618" i="1"/>
  <c r="S606" i="1"/>
  <c r="S603" i="1"/>
  <c r="U626" i="1"/>
  <c r="S611" i="1"/>
  <c r="U636" i="1"/>
  <c r="U630" i="1"/>
  <c r="U619" i="1"/>
  <c r="U614" i="1"/>
  <c r="U606" i="1"/>
  <c r="U632" i="1"/>
  <c r="S627" i="1"/>
  <c r="U604" i="1"/>
  <c r="U601" i="1"/>
  <c r="U596" i="1"/>
  <c r="S632" i="1"/>
  <c r="U611" i="1"/>
  <c r="S601" i="1"/>
  <c r="U599" i="1"/>
  <c r="U609" i="1"/>
  <c r="S607" i="1"/>
  <c r="S599" i="1"/>
  <c r="S609" i="1"/>
  <c r="U634" i="1"/>
  <c r="S623" i="1"/>
  <c r="S605" i="1"/>
  <c r="S600" i="1"/>
  <c r="S597" i="1"/>
  <c r="S624" i="1"/>
  <c r="U624" i="1"/>
  <c r="O616" i="1"/>
  <c r="AB616" i="1" s="1"/>
  <c r="S616" i="1"/>
  <c r="U616" i="1"/>
  <c r="U633" i="1"/>
  <c r="U622" i="1"/>
  <c r="O612" i="1"/>
  <c r="S612" i="1"/>
  <c r="U612" i="1"/>
  <c r="S635" i="1"/>
  <c r="S631" i="1"/>
  <c r="U620" i="1"/>
  <c r="S619" i="1"/>
  <c r="S615" i="1"/>
  <c r="U607" i="1"/>
  <c r="U602" i="1"/>
  <c r="U598" i="1"/>
  <c r="U595" i="1"/>
  <c r="U617" i="1"/>
  <c r="U613" i="1"/>
  <c r="U608" i="1"/>
  <c r="S595" i="1"/>
  <c r="S628" i="1"/>
  <c r="S617" i="1"/>
  <c r="S613" i="1"/>
  <c r="S608" i="1"/>
  <c r="S618" i="1"/>
  <c r="S614" i="1"/>
  <c r="U610" i="1"/>
  <c r="U605" i="1"/>
  <c r="S604" i="1"/>
  <c r="U600" i="1"/>
  <c r="S596" i="1"/>
  <c r="W642" i="1"/>
  <c r="O641" i="1"/>
  <c r="W639" i="1"/>
  <c r="O638" i="1"/>
  <c r="O629" i="1"/>
  <c r="W629" i="1"/>
  <c r="O621" i="1"/>
  <c r="W621" i="1"/>
  <c r="S634" i="1"/>
  <c r="S630" i="1"/>
  <c r="S626" i="1"/>
  <c r="S622" i="1"/>
  <c r="W641" i="1"/>
  <c r="O640" i="1"/>
  <c r="W638" i="1"/>
  <c r="U642" i="1"/>
  <c r="U641" i="1"/>
  <c r="U640" i="1"/>
  <c r="U639" i="1"/>
  <c r="U638" i="1"/>
  <c r="U637" i="1"/>
  <c r="O636" i="1"/>
  <c r="W636" i="1"/>
  <c r="O632" i="1"/>
  <c r="W632" i="1"/>
  <c r="AA632" i="1" s="1"/>
  <c r="U629" i="1"/>
  <c r="O628" i="1"/>
  <c r="W628" i="1"/>
  <c r="AA628" i="1" s="1"/>
  <c r="O624" i="1"/>
  <c r="W624" i="1"/>
  <c r="U621" i="1"/>
  <c r="O642" i="1"/>
  <c r="W640" i="1"/>
  <c r="O639" i="1"/>
  <c r="W637" i="1"/>
  <c r="O633" i="1"/>
  <c r="W633" i="1"/>
  <c r="O625" i="1"/>
  <c r="W625" i="1"/>
  <c r="S633" i="1"/>
  <c r="S629" i="1"/>
  <c r="S625" i="1"/>
  <c r="S621" i="1"/>
  <c r="O635" i="1"/>
  <c r="W635" i="1"/>
  <c r="AA635" i="1" s="1"/>
  <c r="O631" i="1"/>
  <c r="W631" i="1"/>
  <c r="AA631" i="1" s="1"/>
  <c r="O627" i="1"/>
  <c r="W627" i="1"/>
  <c r="AA627" i="1" s="1"/>
  <c r="O623" i="1"/>
  <c r="W623" i="1"/>
  <c r="AA623" i="1" s="1"/>
  <c r="U635" i="1"/>
  <c r="O634" i="1"/>
  <c r="W634" i="1"/>
  <c r="U631" i="1"/>
  <c r="O630" i="1"/>
  <c r="W630" i="1"/>
  <c r="AA630" i="1" s="1"/>
  <c r="U627" i="1"/>
  <c r="O626" i="1"/>
  <c r="W626" i="1"/>
  <c r="U623" i="1"/>
  <c r="O622" i="1"/>
  <c r="W622" i="1"/>
  <c r="AB596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BL16" i="1"/>
  <c r="BL10" i="1"/>
  <c r="BL5" i="1"/>
  <c r="BL9" i="1"/>
  <c r="BL8" i="1"/>
  <c r="BL14" i="1"/>
  <c r="BL13" i="1"/>
  <c r="BL7" i="1"/>
  <c r="BL4" i="1"/>
  <c r="BL12" i="1"/>
  <c r="BL6" i="1"/>
  <c r="BL15" i="1"/>
  <c r="BL17" i="1"/>
  <c r="BL11" i="1"/>
  <c r="T906" i="1" l="1"/>
  <c r="Q880" i="1"/>
  <c r="R881" i="1"/>
  <c r="Q905" i="1"/>
  <c r="P905" i="1" s="1"/>
  <c r="AF905" i="1" s="1"/>
  <c r="R906" i="1"/>
  <c r="P880" i="1"/>
  <c r="AF880" i="1" s="1"/>
  <c r="T881" i="1"/>
  <c r="P816" i="1"/>
  <c r="AF816" i="1" s="1"/>
  <c r="T817" i="1"/>
  <c r="Q817" i="1"/>
  <c r="R818" i="1"/>
  <c r="Q792" i="1"/>
  <c r="P792" i="1" s="1"/>
  <c r="AF792" i="1" s="1"/>
  <c r="R793" i="1"/>
  <c r="T795" i="1"/>
  <c r="AA599" i="1"/>
  <c r="AA611" i="1"/>
  <c r="AA610" i="1"/>
  <c r="AA607" i="1"/>
  <c r="AA598" i="1"/>
  <c r="AA617" i="1"/>
  <c r="AB600" i="1"/>
  <c r="AA609" i="1"/>
  <c r="AA633" i="1"/>
  <c r="AA612" i="1"/>
  <c r="AA620" i="1"/>
  <c r="AA621" i="1"/>
  <c r="AA639" i="1"/>
  <c r="AA637" i="1"/>
  <c r="AA636" i="1"/>
  <c r="AA618" i="1"/>
  <c r="AA641" i="1"/>
  <c r="AA624" i="1"/>
  <c r="AA638" i="1"/>
  <c r="AA600" i="1"/>
  <c r="AA608" i="1"/>
  <c r="AA625" i="1"/>
  <c r="AA602" i="1"/>
  <c r="AA603" i="1"/>
  <c r="AA634" i="1"/>
  <c r="AA604" i="1"/>
  <c r="AA615" i="1"/>
  <c r="AA597" i="1"/>
  <c r="AA605" i="1"/>
  <c r="AA614" i="1"/>
  <c r="AA640" i="1"/>
  <c r="AA616" i="1"/>
  <c r="AA619" i="1"/>
  <c r="AA613" i="1"/>
  <c r="AA606" i="1"/>
  <c r="AA626" i="1"/>
  <c r="AA601" i="1"/>
  <c r="AA642" i="1"/>
  <c r="AA595" i="1"/>
  <c r="AA622" i="1"/>
  <c r="AA629" i="1"/>
  <c r="AB612" i="1"/>
  <c r="AB624" i="1"/>
  <c r="AB638" i="1"/>
  <c r="AB625" i="1"/>
  <c r="AA596" i="1"/>
  <c r="AB622" i="1"/>
  <c r="AB630" i="1"/>
  <c r="AB633" i="1"/>
  <c r="AB628" i="1"/>
  <c r="AB623" i="1"/>
  <c r="AB631" i="1"/>
  <c r="AB639" i="1"/>
  <c r="AB635" i="1"/>
  <c r="AB629" i="1"/>
  <c r="AB627" i="1"/>
  <c r="AB636" i="1"/>
  <c r="AB640" i="1"/>
  <c r="AB621" i="1"/>
  <c r="AB641" i="1"/>
  <c r="AB626" i="1"/>
  <c r="AB634" i="1"/>
  <c r="AB642" i="1"/>
  <c r="AB632" i="1"/>
  <c r="BM4" i="1"/>
  <c r="T882" i="1" l="1"/>
  <c r="Q881" i="1"/>
  <c r="P881" i="1" s="1"/>
  <c r="AF881" i="1" s="1"/>
  <c r="R882" i="1"/>
  <c r="Q882" i="1" s="1"/>
  <c r="Q906" i="1"/>
  <c r="P906" i="1" s="1"/>
  <c r="AF906" i="1" s="1"/>
  <c r="R907" i="1"/>
  <c r="T907" i="1"/>
  <c r="Q818" i="1"/>
  <c r="R819" i="1"/>
  <c r="T818" i="1"/>
  <c r="P817" i="1"/>
  <c r="AF817" i="1" s="1"/>
  <c r="T796" i="1"/>
  <c r="T797" i="1" s="1"/>
  <c r="Q793" i="1"/>
  <c r="P793" i="1" s="1"/>
  <c r="AF793" i="1" s="1"/>
  <c r="R794" i="1"/>
  <c r="BM5" i="1"/>
  <c r="BM6" i="1" s="1"/>
  <c r="BM7" i="1" s="1"/>
  <c r="BM8" i="1" s="1"/>
  <c r="BM9" i="1" s="1"/>
  <c r="BM10" i="1" s="1"/>
  <c r="BM11" i="1" s="1"/>
  <c r="BM12" i="1" s="1"/>
  <c r="BM13" i="1" s="1"/>
  <c r="BM14" i="1" s="1"/>
  <c r="BM15" i="1" s="1"/>
  <c r="BM16" i="1" s="1"/>
  <c r="BM17" i="1" s="1"/>
  <c r="AV3" i="1"/>
  <c r="X529" i="1"/>
  <c r="Z529" i="1" s="1"/>
  <c r="X530" i="1"/>
  <c r="Z530" i="1" s="1"/>
  <c r="X531" i="1"/>
  <c r="Z531" i="1" s="1"/>
  <c r="X532" i="1"/>
  <c r="Z532" i="1" s="1"/>
  <c r="X533" i="1"/>
  <c r="Z533" i="1" s="1"/>
  <c r="X534" i="1"/>
  <c r="Z534" i="1" s="1"/>
  <c r="X535" i="1"/>
  <c r="Z535" i="1" s="1"/>
  <c r="X536" i="1"/>
  <c r="Z536" i="1" s="1"/>
  <c r="X537" i="1"/>
  <c r="Z537" i="1" s="1"/>
  <c r="X538" i="1"/>
  <c r="Z538" i="1" s="1"/>
  <c r="X539" i="1"/>
  <c r="Z539" i="1" s="1"/>
  <c r="X540" i="1"/>
  <c r="Z540" i="1" s="1"/>
  <c r="X541" i="1"/>
  <c r="X542" i="1"/>
  <c r="Z542" i="1" s="1"/>
  <c r="X543" i="1"/>
  <c r="Z543" i="1" s="1"/>
  <c r="X544" i="1"/>
  <c r="Z544" i="1" s="1"/>
  <c r="X545" i="1"/>
  <c r="Z545" i="1" s="1"/>
  <c r="X546" i="1"/>
  <c r="Z546" i="1" s="1"/>
  <c r="X547" i="1"/>
  <c r="Z547" i="1" s="1"/>
  <c r="X548" i="1"/>
  <c r="X549" i="1"/>
  <c r="Z549" i="1" s="1"/>
  <c r="X550" i="1"/>
  <c r="Z550" i="1" s="1"/>
  <c r="X551" i="1"/>
  <c r="Z551" i="1" s="1"/>
  <c r="X552" i="1"/>
  <c r="Z552" i="1" s="1"/>
  <c r="X553" i="1"/>
  <c r="Z553" i="1" s="1"/>
  <c r="X554" i="1"/>
  <c r="Z554" i="1" s="1"/>
  <c r="X555" i="1"/>
  <c r="Z555" i="1" s="1"/>
  <c r="X556" i="1"/>
  <c r="Z556" i="1" s="1"/>
  <c r="X557" i="1"/>
  <c r="Z557" i="1" s="1"/>
  <c r="X558" i="1"/>
  <c r="Z558" i="1" s="1"/>
  <c r="X559" i="1"/>
  <c r="Z559" i="1" s="1"/>
  <c r="X560" i="1"/>
  <c r="Z560" i="1" s="1"/>
  <c r="X561" i="1"/>
  <c r="Z561" i="1" s="1"/>
  <c r="X562" i="1"/>
  <c r="Z562" i="1" s="1"/>
  <c r="X563" i="1"/>
  <c r="Z563" i="1" s="1"/>
  <c r="X564" i="1"/>
  <c r="Z564" i="1" s="1"/>
  <c r="X565" i="1"/>
  <c r="Z565" i="1" s="1"/>
  <c r="X566" i="1"/>
  <c r="Z566" i="1" s="1"/>
  <c r="X567" i="1"/>
  <c r="Z567" i="1" s="1"/>
  <c r="X568" i="1"/>
  <c r="Z568" i="1" s="1"/>
  <c r="X569" i="1"/>
  <c r="Z569" i="1" s="1"/>
  <c r="X570" i="1"/>
  <c r="Z570" i="1" s="1"/>
  <c r="X571" i="1"/>
  <c r="X572" i="1"/>
  <c r="Z572" i="1" s="1"/>
  <c r="X573" i="1"/>
  <c r="Z573" i="1" s="1"/>
  <c r="X574" i="1"/>
  <c r="Z574" i="1" s="1"/>
  <c r="X575" i="1"/>
  <c r="Z575" i="1" s="1"/>
  <c r="X576" i="1"/>
  <c r="Z576" i="1" s="1"/>
  <c r="X577" i="1"/>
  <c r="Z577" i="1" s="1"/>
  <c r="X578" i="1"/>
  <c r="Z578" i="1" s="1"/>
  <c r="X579" i="1"/>
  <c r="Z579" i="1" s="1"/>
  <c r="X580" i="1"/>
  <c r="Z580" i="1" s="1"/>
  <c r="X581" i="1"/>
  <c r="Z581" i="1" s="1"/>
  <c r="X582" i="1"/>
  <c r="Z582" i="1" s="1"/>
  <c r="X583" i="1"/>
  <c r="Z583" i="1" s="1"/>
  <c r="X584" i="1"/>
  <c r="Z584" i="1" s="1"/>
  <c r="X585" i="1"/>
  <c r="Z585" i="1" s="1"/>
  <c r="X586" i="1"/>
  <c r="Z586" i="1" s="1"/>
  <c r="X587" i="1"/>
  <c r="Z587" i="1" s="1"/>
  <c r="X588" i="1"/>
  <c r="Z588" i="1" s="1"/>
  <c r="X589" i="1"/>
  <c r="Z589" i="1" s="1"/>
  <c r="X590" i="1"/>
  <c r="Z590" i="1" s="1"/>
  <c r="X591" i="1"/>
  <c r="Z591" i="1" s="1"/>
  <c r="X592" i="1"/>
  <c r="Z592" i="1" s="1"/>
  <c r="X593" i="1"/>
  <c r="Z593" i="1" s="1"/>
  <c r="X594" i="1"/>
  <c r="Z594" i="1" s="1"/>
  <c r="BW51" i="1" l="1"/>
  <c r="BX51" i="1" s="1"/>
  <c r="BW23" i="1"/>
  <c r="BX23" i="1" s="1"/>
  <c r="T908" i="1"/>
  <c r="Q907" i="1"/>
  <c r="P907" i="1" s="1"/>
  <c r="AF907" i="1" s="1"/>
  <c r="R908" i="1"/>
  <c r="P882" i="1"/>
  <c r="AF882" i="1" s="1"/>
  <c r="BW22" i="1"/>
  <c r="BW45" i="1"/>
  <c r="BX45" i="1" s="1"/>
  <c r="T819" i="1"/>
  <c r="P818" i="1"/>
  <c r="AF818" i="1" s="1"/>
  <c r="Q819" i="1"/>
  <c r="R820" i="1"/>
  <c r="R795" i="1"/>
  <c r="Q794" i="1"/>
  <c r="P794" i="1" s="1"/>
  <c r="AF794" i="1" s="1"/>
  <c r="AW3" i="1"/>
  <c r="Z541" i="1"/>
  <c r="Z571" i="1"/>
  <c r="Z548" i="1"/>
  <c r="U592" i="1"/>
  <c r="S556" i="1"/>
  <c r="W534" i="1"/>
  <c r="S591" i="1"/>
  <c r="U555" i="1"/>
  <c r="S541" i="1"/>
  <c r="S533" i="1"/>
  <c r="O590" i="1"/>
  <c r="AB590" i="1" s="1"/>
  <c r="U582" i="1"/>
  <c r="W562" i="1"/>
  <c r="W554" i="1"/>
  <c r="S540" i="1"/>
  <c r="S532" i="1"/>
  <c r="W546" i="1"/>
  <c r="U531" i="1"/>
  <c r="O588" i="1"/>
  <c r="AB588" i="1" s="1"/>
  <c r="O581" i="1"/>
  <c r="AB581" i="1" s="1"/>
  <c r="U560" i="1"/>
  <c r="W552" i="1"/>
  <c r="W538" i="1"/>
  <c r="W530" i="1"/>
  <c r="U584" i="1"/>
  <c r="S589" i="1"/>
  <c r="W587" i="1"/>
  <c r="O580" i="1"/>
  <c r="S565" i="1"/>
  <c r="W544" i="1"/>
  <c r="S570" i="1"/>
  <c r="S594" i="1"/>
  <c r="W536" i="1"/>
  <c r="O564" i="1"/>
  <c r="W586" i="1"/>
  <c r="O593" i="1"/>
  <c r="AB593" i="1" s="1"/>
  <c r="U578" i="1"/>
  <c r="W557" i="1"/>
  <c r="W542" i="1"/>
  <c r="O565" i="1"/>
  <c r="AB565" i="1" s="1"/>
  <c r="W564" i="1"/>
  <c r="AA564" i="1" s="1"/>
  <c r="U564" i="1"/>
  <c r="S580" i="1"/>
  <c r="S564" i="1"/>
  <c r="O578" i="1"/>
  <c r="AB578" i="1" s="1"/>
  <c r="U533" i="1"/>
  <c r="O533" i="1"/>
  <c r="AB533" i="1" s="1"/>
  <c r="S588" i="1"/>
  <c r="W533" i="1"/>
  <c r="S590" i="1"/>
  <c r="S578" i="1"/>
  <c r="U581" i="1"/>
  <c r="W540" i="1"/>
  <c r="O537" i="1"/>
  <c r="U590" i="1"/>
  <c r="U540" i="1"/>
  <c r="O540" i="1"/>
  <c r="AB540" i="1" s="1"/>
  <c r="W580" i="1"/>
  <c r="U539" i="1"/>
  <c r="O554" i="1"/>
  <c r="AB554" i="1" s="1"/>
  <c r="U588" i="1"/>
  <c r="U580" i="1"/>
  <c r="O571" i="1"/>
  <c r="AB571" i="1" s="1"/>
  <c r="U541" i="1"/>
  <c r="U563" i="1"/>
  <c r="S546" i="1"/>
  <c r="S593" i="1"/>
  <c r="O585" i="1"/>
  <c r="AB585" i="1" s="1"/>
  <c r="O577" i="1"/>
  <c r="AB577" i="1" s="1"/>
  <c r="U573" i="1"/>
  <c r="S572" i="1"/>
  <c r="O563" i="1"/>
  <c r="AB563" i="1" s="1"/>
  <c r="U557" i="1"/>
  <c r="S554" i="1"/>
  <c r="O549" i="1"/>
  <c r="AB549" i="1" s="1"/>
  <c r="O546" i="1"/>
  <c r="AB546" i="1" s="1"/>
  <c r="W541" i="1"/>
  <c r="S531" i="1"/>
  <c r="W593" i="1"/>
  <c r="W572" i="1"/>
  <c r="S573" i="1"/>
  <c r="S557" i="1"/>
  <c r="S530" i="1"/>
  <c r="U572" i="1"/>
  <c r="W565" i="1"/>
  <c r="O545" i="1"/>
  <c r="U565" i="1"/>
  <c r="O548" i="1"/>
  <c r="AB548" i="1" s="1"/>
  <c r="W532" i="1"/>
  <c r="O530" i="1"/>
  <c r="AB530" i="1" s="1"/>
  <c r="U585" i="1"/>
  <c r="W573" i="1"/>
  <c r="O572" i="1"/>
  <c r="O573" i="1"/>
  <c r="AB573" i="1" s="1"/>
  <c r="O569" i="1"/>
  <c r="AB569" i="1" s="1"/>
  <c r="O541" i="1"/>
  <c r="AB541" i="1" s="1"/>
  <c r="U571" i="1"/>
  <c r="U556" i="1"/>
  <c r="U532" i="1"/>
  <c r="O532" i="1"/>
  <c r="AB532" i="1" s="1"/>
  <c r="O592" i="1"/>
  <c r="U587" i="1"/>
  <c r="U576" i="1"/>
  <c r="W571" i="1"/>
  <c r="U569" i="1"/>
  <c r="W563" i="1"/>
  <c r="S562" i="1"/>
  <c r="O557" i="1"/>
  <c r="AB557" i="1" s="1"/>
  <c r="O556" i="1"/>
  <c r="O553" i="1"/>
  <c r="AB553" i="1" s="1"/>
  <c r="W549" i="1"/>
  <c r="AA549" i="1" s="1"/>
  <c r="W548" i="1"/>
  <c r="U547" i="1"/>
  <c r="U538" i="1"/>
  <c r="U536" i="1"/>
  <c r="O529" i="1"/>
  <c r="O591" i="1"/>
  <c r="AB591" i="1" s="1"/>
  <c r="O562" i="1"/>
  <c r="AB562" i="1" s="1"/>
  <c r="U549" i="1"/>
  <c r="U548" i="1"/>
  <c r="S547" i="1"/>
  <c r="S538" i="1"/>
  <c r="S587" i="1"/>
  <c r="W590" i="1"/>
  <c r="O587" i="1"/>
  <c r="AB587" i="1" s="1"/>
  <c r="W581" i="1"/>
  <c r="AA581" i="1" s="1"/>
  <c r="W575" i="1"/>
  <c r="S571" i="1"/>
  <c r="S563" i="1"/>
  <c r="U554" i="1"/>
  <c r="U552" i="1"/>
  <c r="S549" i="1"/>
  <c r="S548" i="1"/>
  <c r="O547" i="1"/>
  <c r="AB547" i="1" s="1"/>
  <c r="U545" i="1"/>
  <c r="W539" i="1"/>
  <c r="O538" i="1"/>
  <c r="AB538" i="1" s="1"/>
  <c r="U530" i="1"/>
  <c r="W591" i="1"/>
  <c r="S581" i="1"/>
  <c r="U561" i="1"/>
  <c r="W555" i="1"/>
  <c r="S539" i="1"/>
  <c r="W574" i="1"/>
  <c r="U591" i="1"/>
  <c r="U577" i="1"/>
  <c r="O561" i="1"/>
  <c r="AB561" i="1" s="1"/>
  <c r="W556" i="1"/>
  <c r="S555" i="1"/>
  <c r="U546" i="1"/>
  <c r="U544" i="1"/>
  <c r="O539" i="1"/>
  <c r="AB539" i="1" s="1"/>
  <c r="U537" i="1"/>
  <c r="W531" i="1"/>
  <c r="O555" i="1"/>
  <c r="AB555" i="1" s="1"/>
  <c r="O589" i="1"/>
  <c r="AB589" i="1" s="1"/>
  <c r="U562" i="1"/>
  <c r="U553" i="1"/>
  <c r="W547" i="1"/>
  <c r="O531" i="1"/>
  <c r="AB531" i="1" s="1"/>
  <c r="U529" i="1"/>
  <c r="U586" i="1"/>
  <c r="S592" i="1"/>
  <c r="O584" i="1"/>
  <c r="S584" i="1"/>
  <c r="O594" i="1"/>
  <c r="U593" i="1"/>
  <c r="W588" i="1"/>
  <c r="O586" i="1"/>
  <c r="W584" i="1"/>
  <c r="O582" i="1"/>
  <c r="S574" i="1"/>
  <c r="U583" i="1"/>
  <c r="O583" i="1"/>
  <c r="W568" i="1"/>
  <c r="O568" i="1"/>
  <c r="S568" i="1"/>
  <c r="W594" i="1"/>
  <c r="S551" i="1"/>
  <c r="U551" i="1"/>
  <c r="W551" i="1"/>
  <c r="O551" i="1"/>
  <c r="U594" i="1"/>
  <c r="U570" i="1"/>
  <c r="W592" i="1"/>
  <c r="U589" i="1"/>
  <c r="S583" i="1"/>
  <c r="W582" i="1"/>
  <c r="U579" i="1"/>
  <c r="W578" i="1"/>
  <c r="W583" i="1"/>
  <c r="W570" i="1"/>
  <c r="U568" i="1"/>
  <c r="S586" i="1"/>
  <c r="S579" i="1"/>
  <c r="S577" i="1"/>
  <c r="W577" i="1"/>
  <c r="W576" i="1"/>
  <c r="O576" i="1"/>
  <c r="S576" i="1"/>
  <c r="S575" i="1"/>
  <c r="U575" i="1"/>
  <c r="O575" i="1"/>
  <c r="O574" i="1"/>
  <c r="U574" i="1"/>
  <c r="W560" i="1"/>
  <c r="O560" i="1"/>
  <c r="S560" i="1"/>
  <c r="W550" i="1"/>
  <c r="O550" i="1"/>
  <c r="S550" i="1"/>
  <c r="U550" i="1"/>
  <c r="S543" i="1"/>
  <c r="U543" i="1"/>
  <c r="W543" i="1"/>
  <c r="O543" i="1"/>
  <c r="S535" i="1"/>
  <c r="U535" i="1"/>
  <c r="W535" i="1"/>
  <c r="O535" i="1"/>
  <c r="S559" i="1"/>
  <c r="U559" i="1"/>
  <c r="W559" i="1"/>
  <c r="O559" i="1"/>
  <c r="W589" i="1"/>
  <c r="W579" i="1"/>
  <c r="W566" i="1"/>
  <c r="O566" i="1"/>
  <c r="S566" i="1"/>
  <c r="U566" i="1"/>
  <c r="S585" i="1"/>
  <c r="W585" i="1"/>
  <c r="S582" i="1"/>
  <c r="O570" i="1"/>
  <c r="S567" i="1"/>
  <c r="U567" i="1"/>
  <c r="W567" i="1"/>
  <c r="O567" i="1"/>
  <c r="O579" i="1"/>
  <c r="W558" i="1"/>
  <c r="O558" i="1"/>
  <c r="S558" i="1"/>
  <c r="U558" i="1"/>
  <c r="W569" i="1"/>
  <c r="AA569" i="1" s="1"/>
  <c r="W561" i="1"/>
  <c r="W553" i="1"/>
  <c r="S552" i="1"/>
  <c r="W545" i="1"/>
  <c r="S544" i="1"/>
  <c r="U542" i="1"/>
  <c r="W537" i="1"/>
  <c r="S536" i="1"/>
  <c r="U534" i="1"/>
  <c r="W529" i="1"/>
  <c r="AA529" i="1" s="1"/>
  <c r="S542" i="1"/>
  <c r="S534" i="1"/>
  <c r="S569" i="1"/>
  <c r="S561" i="1"/>
  <c r="S553" i="1"/>
  <c r="O552" i="1"/>
  <c r="S545" i="1"/>
  <c r="O544" i="1"/>
  <c r="S537" i="1"/>
  <c r="O536" i="1"/>
  <c r="S529" i="1"/>
  <c r="O542" i="1"/>
  <c r="O534" i="1"/>
  <c r="Q908" i="1" l="1"/>
  <c r="P908" i="1" s="1"/>
  <c r="AF908" i="1" s="1"/>
  <c r="R909" i="1"/>
  <c r="T909" i="1"/>
  <c r="Q820" i="1"/>
  <c r="R821" i="1"/>
  <c r="P819" i="1"/>
  <c r="AF819" i="1" s="1"/>
  <c r="T820" i="1"/>
  <c r="Q795" i="1"/>
  <c r="P795" i="1" s="1"/>
  <c r="AF795" i="1" s="1"/>
  <c r="R796" i="1"/>
  <c r="R797" i="1" s="1"/>
  <c r="Q797" i="1" s="1"/>
  <c r="P797" i="1" s="1"/>
  <c r="AF797" i="1" s="1"/>
  <c r="BW21" i="1"/>
  <c r="BX22" i="1"/>
  <c r="BX21" i="1" s="1"/>
  <c r="AB545" i="1"/>
  <c r="AA554" i="1"/>
  <c r="AA544" i="1"/>
  <c r="AA562" i="1"/>
  <c r="AA552" i="1"/>
  <c r="AA540" i="1"/>
  <c r="AA546" i="1"/>
  <c r="AA574" i="1"/>
  <c r="AA531" i="1"/>
  <c r="AA579" i="1"/>
  <c r="AB580" i="1"/>
  <c r="AB564" i="1"/>
  <c r="AA538" i="1"/>
  <c r="AA561" i="1"/>
  <c r="AA592" i="1"/>
  <c r="AA536" i="1"/>
  <c r="AA558" i="1"/>
  <c r="AA583" i="1"/>
  <c r="AA534" i="1"/>
  <c r="AA545" i="1"/>
  <c r="AA547" i="1"/>
  <c r="AA565" i="1"/>
  <c r="AA563" i="1"/>
  <c r="AA542" i="1"/>
  <c r="AA576" i="1"/>
  <c r="AA575" i="1"/>
  <c r="AA530" i="1"/>
  <c r="AA537" i="1"/>
  <c r="AA577" i="1"/>
  <c r="AA586" i="1"/>
  <c r="AA573" i="1"/>
  <c r="AA539" i="1"/>
  <c r="N581" i="1"/>
  <c r="N582" i="1" s="1"/>
  <c r="N583" i="1" s="1"/>
  <c r="AA557" i="1"/>
  <c r="R530" i="1"/>
  <c r="R553" i="1"/>
  <c r="AA553" i="1"/>
  <c r="AA548" i="1"/>
  <c r="AA568" i="1"/>
  <c r="AA571" i="1"/>
  <c r="AB537" i="1"/>
  <c r="AA566" i="1"/>
  <c r="AA587" i="1"/>
  <c r="AA572" i="1"/>
  <c r="AA580" i="1"/>
  <c r="AA582" i="1"/>
  <c r="N565" i="1"/>
  <c r="N566" i="1" s="1"/>
  <c r="N567" i="1" s="1"/>
  <c r="T553" i="1"/>
  <c r="N593" i="1"/>
  <c r="N594" i="1" s="1"/>
  <c r="N595" i="1" s="1"/>
  <c r="N596" i="1" s="1"/>
  <c r="N597" i="1" s="1"/>
  <c r="N598" i="1" s="1"/>
  <c r="N599" i="1" s="1"/>
  <c r="N600" i="1" s="1"/>
  <c r="N601" i="1" s="1"/>
  <c r="N602" i="1" s="1"/>
  <c r="N603" i="1" s="1"/>
  <c r="N604" i="1" s="1"/>
  <c r="N605" i="1" s="1"/>
  <c r="N606" i="1" s="1"/>
  <c r="N607" i="1" s="1"/>
  <c r="N608" i="1" s="1"/>
  <c r="N609" i="1" s="1"/>
  <c r="N610" i="1" s="1"/>
  <c r="N611" i="1" s="1"/>
  <c r="N612" i="1" s="1"/>
  <c r="N613" i="1" s="1"/>
  <c r="N614" i="1" s="1"/>
  <c r="N615" i="1" s="1"/>
  <c r="N616" i="1" s="1"/>
  <c r="N617" i="1" s="1"/>
  <c r="N618" i="1" s="1"/>
  <c r="N619" i="1" s="1"/>
  <c r="N620" i="1" s="1"/>
  <c r="N621" i="1" s="1"/>
  <c r="N622" i="1" s="1"/>
  <c r="N623" i="1" s="1"/>
  <c r="N624" i="1" s="1"/>
  <c r="N625" i="1" s="1"/>
  <c r="N626" i="1" s="1"/>
  <c r="N627" i="1" s="1"/>
  <c r="N628" i="1" s="1"/>
  <c r="N629" i="1" s="1"/>
  <c r="N630" i="1" s="1"/>
  <c r="N631" i="1" s="1"/>
  <c r="N632" i="1" s="1"/>
  <c r="N633" i="1" s="1"/>
  <c r="N634" i="1" s="1"/>
  <c r="N635" i="1" s="1"/>
  <c r="N636" i="1" s="1"/>
  <c r="N637" i="1" s="1"/>
  <c r="N638" i="1" s="1"/>
  <c r="N639" i="1" s="1"/>
  <c r="N640" i="1" s="1"/>
  <c r="N641" i="1" s="1"/>
  <c r="N642" i="1" s="1"/>
  <c r="N643" i="1" s="1"/>
  <c r="N644" i="1" s="1"/>
  <c r="N645" i="1" s="1"/>
  <c r="N646" i="1" s="1"/>
  <c r="N647" i="1" s="1"/>
  <c r="N648" i="1" s="1"/>
  <c r="N649" i="1" s="1"/>
  <c r="N650" i="1" s="1"/>
  <c r="N651" i="1" s="1"/>
  <c r="N652" i="1" s="1"/>
  <c r="N653" i="1" s="1"/>
  <c r="N654" i="1" s="1"/>
  <c r="N655" i="1" s="1"/>
  <c r="N656" i="1" s="1"/>
  <c r="N657" i="1" s="1"/>
  <c r="N658" i="1" s="1"/>
  <c r="N659" i="1" s="1"/>
  <c r="N660" i="1" s="1"/>
  <c r="N661" i="1" s="1"/>
  <c r="N662" i="1" s="1"/>
  <c r="N663" i="1" s="1"/>
  <c r="N664" i="1" s="1"/>
  <c r="N665" i="1" s="1"/>
  <c r="N666" i="1" s="1"/>
  <c r="N667" i="1" s="1"/>
  <c r="N668" i="1" s="1"/>
  <c r="N669" i="1" s="1"/>
  <c r="N670" i="1" s="1"/>
  <c r="N671" i="1" s="1"/>
  <c r="N672" i="1" s="1"/>
  <c r="N673" i="1" s="1"/>
  <c r="N674" i="1" s="1"/>
  <c r="N675" i="1" s="1"/>
  <c r="N676" i="1" s="1"/>
  <c r="N677" i="1" s="1"/>
  <c r="N678" i="1" s="1"/>
  <c r="N679" i="1" s="1"/>
  <c r="N680" i="1" s="1"/>
  <c r="N681" i="1" s="1"/>
  <c r="N682" i="1" s="1"/>
  <c r="N683" i="1" s="1"/>
  <c r="N684" i="1" s="1"/>
  <c r="N685" i="1" s="1"/>
  <c r="N686" i="1" s="1"/>
  <c r="N687" i="1" s="1"/>
  <c r="N688" i="1" s="1"/>
  <c r="N689" i="1" s="1"/>
  <c r="N690" i="1" s="1"/>
  <c r="N691" i="1" s="1"/>
  <c r="N692" i="1" s="1"/>
  <c r="N693" i="1" s="1"/>
  <c r="N694" i="1" s="1"/>
  <c r="N695" i="1" s="1"/>
  <c r="N696" i="1" s="1"/>
  <c r="N697" i="1" s="1"/>
  <c r="N698" i="1" s="1"/>
  <c r="N699" i="1" s="1"/>
  <c r="N700" i="1" s="1"/>
  <c r="N701" i="1" s="1"/>
  <c r="N702" i="1" s="1"/>
  <c r="N703" i="1" s="1"/>
  <c r="N704" i="1" s="1"/>
  <c r="N705" i="1" s="1"/>
  <c r="N706" i="1" s="1"/>
  <c r="N707" i="1" s="1"/>
  <c r="N708" i="1" s="1"/>
  <c r="N709" i="1" s="1"/>
  <c r="N710" i="1" s="1"/>
  <c r="N711" i="1" s="1"/>
  <c r="N712" i="1" s="1"/>
  <c r="N713" i="1" s="1"/>
  <c r="N714" i="1" s="1"/>
  <c r="N715" i="1" s="1"/>
  <c r="N716" i="1" s="1"/>
  <c r="N717" i="1" s="1"/>
  <c r="N718" i="1" s="1"/>
  <c r="N719" i="1" s="1"/>
  <c r="N720" i="1" s="1"/>
  <c r="N721" i="1" s="1"/>
  <c r="N722" i="1" s="1"/>
  <c r="N723" i="1" s="1"/>
  <c r="N724" i="1" s="1"/>
  <c r="N725" i="1" s="1"/>
  <c r="N726" i="1" s="1"/>
  <c r="N727" i="1" s="1"/>
  <c r="N728" i="1" s="1"/>
  <c r="N729" i="1" s="1"/>
  <c r="N730" i="1" s="1"/>
  <c r="N731" i="1" s="1"/>
  <c r="N732" i="1" s="1"/>
  <c r="N733" i="1" s="1"/>
  <c r="N734" i="1" s="1"/>
  <c r="N735" i="1" s="1"/>
  <c r="N736" i="1" s="1"/>
  <c r="N737" i="1" s="1"/>
  <c r="N738" i="1" s="1"/>
  <c r="N739" i="1" s="1"/>
  <c r="N740" i="1" s="1"/>
  <c r="N741" i="1" s="1"/>
  <c r="N742" i="1" s="1"/>
  <c r="N743" i="1" s="1"/>
  <c r="N744" i="1" s="1"/>
  <c r="N745" i="1" s="1"/>
  <c r="N746" i="1" s="1"/>
  <c r="N747" i="1" s="1"/>
  <c r="N748" i="1" s="1"/>
  <c r="N749" i="1" s="1"/>
  <c r="N750" i="1" s="1"/>
  <c r="N751" i="1" s="1"/>
  <c r="N752" i="1" s="1"/>
  <c r="N753" i="1" s="1"/>
  <c r="N754" i="1" s="1"/>
  <c r="N755" i="1" s="1"/>
  <c r="N756" i="1" s="1"/>
  <c r="N757" i="1" s="1"/>
  <c r="N758" i="1" s="1"/>
  <c r="N759" i="1" s="1"/>
  <c r="N760" i="1" s="1"/>
  <c r="N761" i="1" s="1"/>
  <c r="N762" i="1" s="1"/>
  <c r="N763" i="1" s="1"/>
  <c r="N764" i="1" s="1"/>
  <c r="N765" i="1" s="1"/>
  <c r="N766" i="1" s="1"/>
  <c r="N767" i="1" s="1"/>
  <c r="N768" i="1" s="1"/>
  <c r="N769" i="1" s="1"/>
  <c r="N770" i="1" s="1"/>
  <c r="N771" i="1" s="1"/>
  <c r="N772" i="1" s="1"/>
  <c r="N773" i="1" s="1"/>
  <c r="N774" i="1" s="1"/>
  <c r="N775" i="1" s="1"/>
  <c r="N776" i="1" s="1"/>
  <c r="N777" i="1" s="1"/>
  <c r="N778" i="1" s="1"/>
  <c r="N779" i="1" s="1"/>
  <c r="N780" i="1" s="1"/>
  <c r="N781" i="1" s="1"/>
  <c r="N782" i="1" s="1"/>
  <c r="N783" i="1" s="1"/>
  <c r="N784" i="1" s="1"/>
  <c r="N785" i="1" s="1"/>
  <c r="N786" i="1" s="1"/>
  <c r="N787" i="1" s="1"/>
  <c r="N788" i="1" s="1"/>
  <c r="N789" i="1" s="1"/>
  <c r="N790" i="1" s="1"/>
  <c r="N791" i="1" s="1"/>
  <c r="N792" i="1" s="1"/>
  <c r="N793" i="1" s="1"/>
  <c r="N794" i="1" s="1"/>
  <c r="N795" i="1" s="1"/>
  <c r="N796" i="1" s="1"/>
  <c r="N797" i="1" s="1"/>
  <c r="AA533" i="1"/>
  <c r="AB529" i="1"/>
  <c r="AA555" i="1"/>
  <c r="N538" i="1"/>
  <c r="N539" i="1" s="1"/>
  <c r="N540" i="1" s="1"/>
  <c r="N541" i="1" s="1"/>
  <c r="N542" i="1" s="1"/>
  <c r="N543" i="1" s="1"/>
  <c r="N544" i="1" s="1"/>
  <c r="N545" i="1" s="1"/>
  <c r="AB572" i="1"/>
  <c r="AA556" i="1"/>
  <c r="AA541" i="1"/>
  <c r="N573" i="1"/>
  <c r="N574" i="1" s="1"/>
  <c r="N575" i="1" s="1"/>
  <c r="AA532" i="1"/>
  <c r="N546" i="1"/>
  <c r="N547" i="1" s="1"/>
  <c r="N548" i="1" s="1"/>
  <c r="N549" i="1" s="1"/>
  <c r="N550" i="1" s="1"/>
  <c r="N551" i="1" s="1"/>
  <c r="N552" i="1" s="1"/>
  <c r="N553" i="1" s="1"/>
  <c r="N554" i="1" s="1"/>
  <c r="N555" i="1" s="1"/>
  <c r="N556" i="1" s="1"/>
  <c r="N557" i="1" s="1"/>
  <c r="N558" i="1" s="1"/>
  <c r="N559" i="1" s="1"/>
  <c r="N560" i="1" s="1"/>
  <c r="N561" i="1" s="1"/>
  <c r="N562" i="1" s="1"/>
  <c r="N563" i="1" s="1"/>
  <c r="N564" i="1" s="1"/>
  <c r="AA570" i="1"/>
  <c r="AA593" i="1"/>
  <c r="AA559" i="1"/>
  <c r="N530" i="1"/>
  <c r="N531" i="1" s="1"/>
  <c r="N532" i="1" s="1"/>
  <c r="N533" i="1" s="1"/>
  <c r="N534" i="1" s="1"/>
  <c r="N535" i="1" s="1"/>
  <c r="N536" i="1" s="1"/>
  <c r="N537" i="1" s="1"/>
  <c r="AA591" i="1"/>
  <c r="AA543" i="1"/>
  <c r="AA560" i="1"/>
  <c r="AA578" i="1"/>
  <c r="AB556" i="1"/>
  <c r="AA589" i="1"/>
  <c r="AA590" i="1"/>
  <c r="AB592" i="1"/>
  <c r="AA588" i="1"/>
  <c r="AA594" i="1"/>
  <c r="T530" i="1"/>
  <c r="AB583" i="1"/>
  <c r="AB567" i="1"/>
  <c r="AB535" i="1"/>
  <c r="AB550" i="1"/>
  <c r="AB534" i="1"/>
  <c r="AB551" i="1"/>
  <c r="AB558" i="1"/>
  <c r="AA584" i="1"/>
  <c r="AB582" i="1"/>
  <c r="AB575" i="1"/>
  <c r="AA567" i="1"/>
  <c r="AB566" i="1"/>
  <c r="AA535" i="1"/>
  <c r="AB594" i="1"/>
  <c r="AB544" i="1"/>
  <c r="AB542" i="1"/>
  <c r="AB536" i="1"/>
  <c r="AB559" i="1"/>
  <c r="AA585" i="1"/>
  <c r="AB568" i="1"/>
  <c r="N568" i="1"/>
  <c r="N569" i="1" s="1"/>
  <c r="N570" i="1" s="1"/>
  <c r="N571" i="1" s="1"/>
  <c r="N572" i="1" s="1"/>
  <c r="AB586" i="1"/>
  <c r="AB552" i="1"/>
  <c r="AB579" i="1"/>
  <c r="AB576" i="1"/>
  <c r="N576" i="1"/>
  <c r="N577" i="1" s="1"/>
  <c r="N578" i="1" s="1"/>
  <c r="N579" i="1" s="1"/>
  <c r="N580" i="1" s="1"/>
  <c r="AA551" i="1"/>
  <c r="AB584" i="1"/>
  <c r="N584" i="1"/>
  <c r="N585" i="1" s="1"/>
  <c r="N586" i="1" s="1"/>
  <c r="N587" i="1" s="1"/>
  <c r="N588" i="1" s="1"/>
  <c r="N589" i="1" s="1"/>
  <c r="N590" i="1" s="1"/>
  <c r="N591" i="1" s="1"/>
  <c r="N592" i="1" s="1"/>
  <c r="AB570" i="1"/>
  <c r="AB543" i="1"/>
  <c r="AA550" i="1"/>
  <c r="AB560" i="1"/>
  <c r="AB574" i="1"/>
  <c r="T910" i="1" l="1"/>
  <c r="Q909" i="1"/>
  <c r="P909" i="1" s="1"/>
  <c r="AF909" i="1" s="1"/>
  <c r="R910" i="1"/>
  <c r="P820" i="1"/>
  <c r="AF820" i="1" s="1"/>
  <c r="T821" i="1"/>
  <c r="R822" i="1"/>
  <c r="Q821" i="1"/>
  <c r="Q796" i="1"/>
  <c r="P796" i="1" s="1"/>
  <c r="AF796" i="1" s="1"/>
  <c r="T554" i="1"/>
  <c r="R531" i="1"/>
  <c r="Q530" i="1"/>
  <c r="T531" i="1"/>
  <c r="R554" i="1"/>
  <c r="Q553" i="1"/>
  <c r="X493" i="1"/>
  <c r="Z493" i="1" s="1"/>
  <c r="X494" i="1"/>
  <c r="X495" i="1"/>
  <c r="Z495" i="1" s="1"/>
  <c r="X496" i="1"/>
  <c r="Z496" i="1" s="1"/>
  <c r="X497" i="1"/>
  <c r="Z497" i="1" s="1"/>
  <c r="X498" i="1"/>
  <c r="Z498" i="1" s="1"/>
  <c r="X499" i="1"/>
  <c r="Z499" i="1" s="1"/>
  <c r="X500" i="1"/>
  <c r="Z500" i="1" s="1"/>
  <c r="X501" i="1"/>
  <c r="Z501" i="1" s="1"/>
  <c r="X502" i="1"/>
  <c r="Z502" i="1" s="1"/>
  <c r="X503" i="1"/>
  <c r="Z503" i="1" s="1"/>
  <c r="X504" i="1"/>
  <c r="Z504" i="1" s="1"/>
  <c r="X505" i="1"/>
  <c r="Z505" i="1" s="1"/>
  <c r="X506" i="1"/>
  <c r="Z506" i="1" s="1"/>
  <c r="X507" i="1"/>
  <c r="Z507" i="1" s="1"/>
  <c r="X508" i="1"/>
  <c r="Z508" i="1" s="1"/>
  <c r="X509" i="1"/>
  <c r="Z509" i="1" s="1"/>
  <c r="X510" i="1"/>
  <c r="Z510" i="1" s="1"/>
  <c r="X511" i="1"/>
  <c r="Z511" i="1" s="1"/>
  <c r="X512" i="1"/>
  <c r="Z512" i="1" s="1"/>
  <c r="X513" i="1"/>
  <c r="Z513" i="1" s="1"/>
  <c r="X514" i="1"/>
  <c r="Z514" i="1" s="1"/>
  <c r="X515" i="1"/>
  <c r="Z515" i="1" s="1"/>
  <c r="X516" i="1"/>
  <c r="Z516" i="1" s="1"/>
  <c r="X517" i="1"/>
  <c r="Z517" i="1" s="1"/>
  <c r="X518" i="1"/>
  <c r="Z518" i="1" s="1"/>
  <c r="X519" i="1"/>
  <c r="Z519" i="1" s="1"/>
  <c r="X520" i="1"/>
  <c r="Z520" i="1" s="1"/>
  <c r="X521" i="1"/>
  <c r="Z521" i="1" s="1"/>
  <c r="X522" i="1"/>
  <c r="Z522" i="1" s="1"/>
  <c r="X523" i="1"/>
  <c r="Z523" i="1" s="1"/>
  <c r="X524" i="1"/>
  <c r="Z524" i="1" s="1"/>
  <c r="X525" i="1"/>
  <c r="Z525" i="1" s="1"/>
  <c r="X526" i="1"/>
  <c r="Z526" i="1" s="1"/>
  <c r="X527" i="1"/>
  <c r="Z527" i="1" s="1"/>
  <c r="X528" i="1"/>
  <c r="Z528" i="1" s="1"/>
  <c r="X492" i="1"/>
  <c r="Z492" i="1" s="1"/>
  <c r="T911" i="1" l="1"/>
  <c r="Q910" i="1"/>
  <c r="P910" i="1" s="1"/>
  <c r="AF910" i="1" s="1"/>
  <c r="R911" i="1"/>
  <c r="Z494" i="1"/>
  <c r="Q822" i="1"/>
  <c r="R823" i="1"/>
  <c r="P821" i="1"/>
  <c r="AF821" i="1" s="1"/>
  <c r="T822" i="1"/>
  <c r="P530" i="1"/>
  <c r="AF530" i="1" s="1"/>
  <c r="P553" i="1"/>
  <c r="AF553" i="1" s="1"/>
  <c r="T532" i="1"/>
  <c r="R555" i="1"/>
  <c r="Q554" i="1"/>
  <c r="R532" i="1"/>
  <c r="Q531" i="1"/>
  <c r="T555" i="1"/>
  <c r="U508" i="1"/>
  <c r="O500" i="1"/>
  <c r="AB500" i="1" s="1"/>
  <c r="U514" i="1"/>
  <c r="U513" i="1"/>
  <c r="U512" i="1"/>
  <c r="U511" i="1"/>
  <c r="U503" i="1"/>
  <c r="O508" i="1"/>
  <c r="AB508" i="1" s="1"/>
  <c r="W505" i="1"/>
  <c r="S520" i="1"/>
  <c r="W524" i="1"/>
  <c r="S524" i="1"/>
  <c r="S519" i="1"/>
  <c r="O516" i="1"/>
  <c r="AB516" i="1" s="1"/>
  <c r="S497" i="1"/>
  <c r="S515" i="1"/>
  <c r="W522" i="1"/>
  <c r="S522" i="1"/>
  <c r="U519" i="1"/>
  <c r="U515" i="1"/>
  <c r="W511" i="1"/>
  <c r="S507" i="1"/>
  <c r="U500" i="1"/>
  <c r="S496" i="1"/>
  <c r="O492" i="1"/>
  <c r="S492" i="1"/>
  <c r="O522" i="1"/>
  <c r="O518" i="1"/>
  <c r="S518" i="1"/>
  <c r="W514" i="1"/>
  <c r="S514" i="1"/>
  <c r="W507" i="1"/>
  <c r="S503" i="1"/>
  <c r="U496" i="1"/>
  <c r="U523" i="1"/>
  <c r="S523" i="1"/>
  <c r="W519" i="1"/>
  <c r="S511" i="1"/>
  <c r="S504" i="1"/>
  <c r="W500" i="1"/>
  <c r="S500" i="1"/>
  <c r="U497" i="1"/>
  <c r="S528" i="1"/>
  <c r="S521" i="1"/>
  <c r="O517" i="1"/>
  <c r="AB517" i="1" s="1"/>
  <c r="S517" i="1"/>
  <c r="S510" i="1"/>
  <c r="W506" i="1"/>
  <c r="S506" i="1"/>
  <c r="S499" i="1"/>
  <c r="S495" i="1"/>
  <c r="S527" i="1"/>
  <c r="W521" i="1"/>
  <c r="S513" i="1"/>
  <c r="O509" i="1"/>
  <c r="AB509" i="1" s="1"/>
  <c r="S509" i="1"/>
  <c r="O506" i="1"/>
  <c r="S502" i="1"/>
  <c r="U499" i="1"/>
  <c r="U495" i="1"/>
  <c r="O526" i="1"/>
  <c r="S526" i="1"/>
  <c r="W516" i="1"/>
  <c r="S516" i="1"/>
  <c r="O501" i="1"/>
  <c r="AB501" i="1" s="1"/>
  <c r="S501" i="1"/>
  <c r="S498" i="1"/>
  <c r="S494" i="1"/>
  <c r="O525" i="1"/>
  <c r="AB525" i="1" s="1"/>
  <c r="S525" i="1"/>
  <c r="U516" i="1"/>
  <c r="S512" i="1"/>
  <c r="W508" i="1"/>
  <c r="S508" i="1"/>
  <c r="S505" i="1"/>
  <c r="W498" i="1"/>
  <c r="O493" i="1"/>
  <c r="AB493" i="1" s="1"/>
  <c r="S493" i="1"/>
  <c r="U527" i="1"/>
  <c r="W503" i="1"/>
  <c r="U528" i="1"/>
  <c r="W523" i="1"/>
  <c r="U521" i="1"/>
  <c r="O514" i="1"/>
  <c r="U507" i="1"/>
  <c r="U505" i="1"/>
  <c r="U498" i="1"/>
  <c r="O523" i="1"/>
  <c r="O521" i="1"/>
  <c r="AB521" i="1" s="1"/>
  <c r="O507" i="1"/>
  <c r="O505" i="1"/>
  <c r="AB505" i="1" s="1"/>
  <c r="O498" i="1"/>
  <c r="W495" i="1"/>
  <c r="W527" i="1"/>
  <c r="U524" i="1"/>
  <c r="U522" i="1"/>
  <c r="U520" i="1"/>
  <c r="W515" i="1"/>
  <c r="W513" i="1"/>
  <c r="U506" i="1"/>
  <c r="U504" i="1"/>
  <c r="W499" i="1"/>
  <c r="W497" i="1"/>
  <c r="O524" i="1"/>
  <c r="AB524" i="1" s="1"/>
  <c r="O515" i="1"/>
  <c r="AB515" i="1" s="1"/>
  <c r="O513" i="1"/>
  <c r="AB513" i="1" s="1"/>
  <c r="O499" i="1"/>
  <c r="AB499" i="1" s="1"/>
  <c r="O497" i="1"/>
  <c r="AB497" i="1" s="1"/>
  <c r="W528" i="1"/>
  <c r="W520" i="1"/>
  <c r="W512" i="1"/>
  <c r="W504" i="1"/>
  <c r="W496" i="1"/>
  <c r="W526" i="1"/>
  <c r="W510" i="1"/>
  <c r="W502" i="1"/>
  <c r="W494" i="1"/>
  <c r="O528" i="1"/>
  <c r="AB528" i="1" s="1"/>
  <c r="U526" i="1"/>
  <c r="W525" i="1"/>
  <c r="O520" i="1"/>
  <c r="AB520" i="1" s="1"/>
  <c r="U518" i="1"/>
  <c r="W517" i="1"/>
  <c r="O512" i="1"/>
  <c r="AB512" i="1" s="1"/>
  <c r="U510" i="1"/>
  <c r="W509" i="1"/>
  <c r="O504" i="1"/>
  <c r="AB504" i="1" s="1"/>
  <c r="U502" i="1"/>
  <c r="W501" i="1"/>
  <c r="O496" i="1"/>
  <c r="AB496" i="1" s="1"/>
  <c r="U494" i="1"/>
  <c r="W493" i="1"/>
  <c r="W518" i="1"/>
  <c r="O527" i="1"/>
  <c r="AB527" i="1" s="1"/>
  <c r="U525" i="1"/>
  <c r="O519" i="1"/>
  <c r="U517" i="1"/>
  <c r="O511" i="1"/>
  <c r="AB511" i="1" s="1"/>
  <c r="U509" i="1"/>
  <c r="O503" i="1"/>
  <c r="AB503" i="1" s="1"/>
  <c r="U501" i="1"/>
  <c r="O495" i="1"/>
  <c r="AB495" i="1" s="1"/>
  <c r="U493" i="1"/>
  <c r="O510" i="1"/>
  <c r="O502" i="1"/>
  <c r="O494" i="1"/>
  <c r="W492" i="1"/>
  <c r="U492" i="1"/>
  <c r="Q911" i="1" l="1"/>
  <c r="P911" i="1" s="1"/>
  <c r="AF911" i="1" s="1"/>
  <c r="R912" i="1"/>
  <c r="T912" i="1"/>
  <c r="P822" i="1"/>
  <c r="AF822" i="1" s="1"/>
  <c r="T823" i="1"/>
  <c r="Q823" i="1"/>
  <c r="R824" i="1"/>
  <c r="P554" i="1"/>
  <c r="AF554" i="1" s="1"/>
  <c r="P531" i="1"/>
  <c r="AF531" i="1" s="1"/>
  <c r="AA505" i="1"/>
  <c r="AA496" i="1"/>
  <c r="AA492" i="1"/>
  <c r="AA498" i="1"/>
  <c r="R495" i="1"/>
  <c r="R533" i="1"/>
  <c r="Q532" i="1"/>
  <c r="P532" i="1" s="1"/>
  <c r="R556" i="1"/>
  <c r="Q555" i="1"/>
  <c r="T556" i="1"/>
  <c r="T533" i="1"/>
  <c r="AA494" i="1"/>
  <c r="AA527" i="1"/>
  <c r="AA506" i="1"/>
  <c r="AA511" i="1"/>
  <c r="AA524" i="1"/>
  <c r="AA522" i="1"/>
  <c r="AA508" i="1"/>
  <c r="AA521" i="1"/>
  <c r="AA507" i="1"/>
  <c r="AA502" i="1"/>
  <c r="AB498" i="1"/>
  <c r="AB523" i="1"/>
  <c r="AB514" i="1"/>
  <c r="N492" i="1"/>
  <c r="N493" i="1" s="1"/>
  <c r="AB492" i="1"/>
  <c r="AA495" i="1"/>
  <c r="AA516" i="1"/>
  <c r="AB526" i="1"/>
  <c r="AB507" i="1"/>
  <c r="N494" i="1"/>
  <c r="N495" i="1" s="1"/>
  <c r="N496" i="1" s="1"/>
  <c r="N497" i="1" s="1"/>
  <c r="N498" i="1" s="1"/>
  <c r="N499" i="1" s="1"/>
  <c r="N500" i="1" s="1"/>
  <c r="N501" i="1" s="1"/>
  <c r="N502" i="1" s="1"/>
  <c r="N503" i="1" s="1"/>
  <c r="N504" i="1" s="1"/>
  <c r="N505" i="1" s="1"/>
  <c r="N506" i="1" s="1"/>
  <c r="N507" i="1" s="1"/>
  <c r="N508" i="1" s="1"/>
  <c r="N509" i="1" s="1"/>
  <c r="N510" i="1" s="1"/>
  <c r="N511" i="1" s="1"/>
  <c r="N512" i="1" s="1"/>
  <c r="N513" i="1" s="1"/>
  <c r="N514" i="1" s="1"/>
  <c r="N515" i="1" s="1"/>
  <c r="N516" i="1" s="1"/>
  <c r="N517" i="1" s="1"/>
  <c r="N518" i="1" s="1"/>
  <c r="N519" i="1" s="1"/>
  <c r="N520" i="1" s="1"/>
  <c r="N521" i="1" s="1"/>
  <c r="N522" i="1" s="1"/>
  <c r="N523" i="1" s="1"/>
  <c r="N524" i="1" s="1"/>
  <c r="N525" i="1" s="1"/>
  <c r="N526" i="1" s="1"/>
  <c r="N527" i="1" s="1"/>
  <c r="N528" i="1" s="1"/>
  <c r="N529" i="1" s="1"/>
  <c r="AB494" i="1"/>
  <c r="AB519" i="1"/>
  <c r="AA514" i="1"/>
  <c r="AB502" i="1"/>
  <c r="AB518" i="1"/>
  <c r="AB506" i="1"/>
  <c r="AB522" i="1"/>
  <c r="AB510" i="1"/>
  <c r="AA519" i="1"/>
  <c r="AA512" i="1"/>
  <c r="AA503" i="1"/>
  <c r="AA500" i="1"/>
  <c r="AA510" i="1"/>
  <c r="AA520" i="1"/>
  <c r="T495" i="1"/>
  <c r="AA513" i="1"/>
  <c r="AA515" i="1"/>
  <c r="AA509" i="1"/>
  <c r="AA499" i="1"/>
  <c r="AA517" i="1"/>
  <c r="AA523" i="1"/>
  <c r="AA497" i="1"/>
  <c r="AA501" i="1"/>
  <c r="AA504" i="1"/>
  <c r="AA525" i="1"/>
  <c r="AA518" i="1"/>
  <c r="AA528" i="1"/>
  <c r="AA493" i="1"/>
  <c r="AA526" i="1"/>
  <c r="X435" i="1"/>
  <c r="Z435" i="1" s="1"/>
  <c r="X436" i="1"/>
  <c r="Z436" i="1" s="1"/>
  <c r="X437" i="1"/>
  <c r="Z437" i="1" s="1"/>
  <c r="X438" i="1"/>
  <c r="Z438" i="1" s="1"/>
  <c r="X439" i="1"/>
  <c r="Z439" i="1" s="1"/>
  <c r="X440" i="1"/>
  <c r="Z440" i="1" s="1"/>
  <c r="X441" i="1"/>
  <c r="Z441" i="1" s="1"/>
  <c r="X442" i="1"/>
  <c r="Z442" i="1" s="1"/>
  <c r="X443" i="1"/>
  <c r="Z443" i="1" s="1"/>
  <c r="X444" i="1"/>
  <c r="Z444" i="1" s="1"/>
  <c r="X445" i="1"/>
  <c r="Z445" i="1" s="1"/>
  <c r="X446" i="1"/>
  <c r="Z446" i="1" s="1"/>
  <c r="X447" i="1"/>
  <c r="Z447" i="1" s="1"/>
  <c r="X448" i="1"/>
  <c r="Z448" i="1" s="1"/>
  <c r="X449" i="1"/>
  <c r="Z449" i="1" s="1"/>
  <c r="X450" i="1"/>
  <c r="Z450" i="1" s="1"/>
  <c r="X451" i="1"/>
  <c r="Z451" i="1" s="1"/>
  <c r="X452" i="1"/>
  <c r="Z452" i="1" s="1"/>
  <c r="X453" i="1"/>
  <c r="Z453" i="1" s="1"/>
  <c r="X454" i="1"/>
  <c r="Z454" i="1" s="1"/>
  <c r="X455" i="1"/>
  <c r="Z455" i="1" s="1"/>
  <c r="X456" i="1"/>
  <c r="Z456" i="1" s="1"/>
  <c r="X457" i="1"/>
  <c r="Z457" i="1" s="1"/>
  <c r="X458" i="1"/>
  <c r="Z458" i="1" s="1"/>
  <c r="X459" i="1"/>
  <c r="Z459" i="1" s="1"/>
  <c r="X460" i="1"/>
  <c r="Z460" i="1" s="1"/>
  <c r="X461" i="1"/>
  <c r="Z461" i="1" s="1"/>
  <c r="X462" i="1"/>
  <c r="Z462" i="1" s="1"/>
  <c r="X463" i="1"/>
  <c r="Z463" i="1" s="1"/>
  <c r="X464" i="1"/>
  <c r="Z464" i="1" s="1"/>
  <c r="X465" i="1"/>
  <c r="Z465" i="1" s="1"/>
  <c r="X466" i="1"/>
  <c r="Z466" i="1" s="1"/>
  <c r="X467" i="1"/>
  <c r="Z467" i="1" s="1"/>
  <c r="X468" i="1"/>
  <c r="Z468" i="1" s="1"/>
  <c r="X469" i="1"/>
  <c r="Z469" i="1" s="1"/>
  <c r="X470" i="1"/>
  <c r="Z470" i="1" s="1"/>
  <c r="X471" i="1"/>
  <c r="Z471" i="1" s="1"/>
  <c r="X472" i="1"/>
  <c r="Z472" i="1" s="1"/>
  <c r="X473" i="1"/>
  <c r="Z473" i="1" s="1"/>
  <c r="X474" i="1"/>
  <c r="Z474" i="1" s="1"/>
  <c r="X475" i="1"/>
  <c r="Z475" i="1" s="1"/>
  <c r="X476" i="1"/>
  <c r="Z476" i="1" s="1"/>
  <c r="X477" i="1"/>
  <c r="Z477" i="1" s="1"/>
  <c r="X478" i="1"/>
  <c r="Z478" i="1" s="1"/>
  <c r="X479" i="1"/>
  <c r="Z479" i="1" s="1"/>
  <c r="X480" i="1"/>
  <c r="Z480" i="1" s="1"/>
  <c r="X481" i="1"/>
  <c r="Z481" i="1" s="1"/>
  <c r="X482" i="1"/>
  <c r="Z482" i="1" s="1"/>
  <c r="X483" i="1"/>
  <c r="Z483" i="1" s="1"/>
  <c r="X484" i="1"/>
  <c r="Z484" i="1" s="1"/>
  <c r="X485" i="1"/>
  <c r="Z485" i="1" s="1"/>
  <c r="X486" i="1"/>
  <c r="Z486" i="1" s="1"/>
  <c r="X487" i="1"/>
  <c r="Z487" i="1" s="1"/>
  <c r="X488" i="1"/>
  <c r="Z488" i="1" s="1"/>
  <c r="X489" i="1"/>
  <c r="Z489" i="1" s="1"/>
  <c r="X490" i="1"/>
  <c r="Z490" i="1" s="1"/>
  <c r="X491" i="1"/>
  <c r="Z491" i="1" s="1"/>
  <c r="T913" i="1" l="1"/>
  <c r="R913" i="1"/>
  <c r="Q912" i="1"/>
  <c r="P912" i="1" s="1"/>
  <c r="AF912" i="1" s="1"/>
  <c r="Q824" i="1"/>
  <c r="R825" i="1"/>
  <c r="P823" i="1"/>
  <c r="AF823" i="1" s="1"/>
  <c r="T824" i="1"/>
  <c r="AF532" i="1"/>
  <c r="P555" i="1"/>
  <c r="AF555" i="1" s="1"/>
  <c r="R557" i="1"/>
  <c r="Q556" i="1"/>
  <c r="T534" i="1"/>
  <c r="R534" i="1"/>
  <c r="Q533" i="1"/>
  <c r="T557" i="1"/>
  <c r="R496" i="1"/>
  <c r="Q495" i="1"/>
  <c r="P495" i="1" s="1"/>
  <c r="S482" i="1"/>
  <c r="S490" i="1"/>
  <c r="S450" i="1"/>
  <c r="S489" i="1"/>
  <c r="S481" i="1"/>
  <c r="S473" i="1"/>
  <c r="S465" i="1"/>
  <c r="S457" i="1"/>
  <c r="S449" i="1"/>
  <c r="S441" i="1"/>
  <c r="S491" i="1"/>
  <c r="S479" i="1"/>
  <c r="U471" i="1"/>
  <c r="S463" i="1"/>
  <c r="S447" i="1"/>
  <c r="S467" i="1"/>
  <c r="S440" i="1"/>
  <c r="S462" i="1"/>
  <c r="S448" i="1"/>
  <c r="S485" i="1"/>
  <c r="S477" i="1"/>
  <c r="S469" i="1"/>
  <c r="S461" i="1"/>
  <c r="S453" i="1"/>
  <c r="S445" i="1"/>
  <c r="S437" i="1"/>
  <c r="S459" i="1"/>
  <c r="S480" i="1"/>
  <c r="S484" i="1"/>
  <c r="S468" i="1"/>
  <c r="S452" i="1"/>
  <c r="S436" i="1"/>
  <c r="R436" i="1" s="1"/>
  <c r="U448" i="1"/>
  <c r="U491" i="1"/>
  <c r="S438" i="1"/>
  <c r="U480" i="1"/>
  <c r="S458" i="1"/>
  <c r="U444" i="1"/>
  <c r="S444" i="1"/>
  <c r="U476" i="1"/>
  <c r="S476" i="1"/>
  <c r="S470" i="1"/>
  <c r="S439" i="1"/>
  <c r="U488" i="1"/>
  <c r="S488" i="1"/>
  <c r="S451" i="1"/>
  <c r="S487" i="1"/>
  <c r="S474" i="1"/>
  <c r="S486" i="1"/>
  <c r="U443" i="1"/>
  <c r="S443" i="1"/>
  <c r="T496" i="1"/>
  <c r="U472" i="1"/>
  <c r="S472" i="1"/>
  <c r="S466" i="1"/>
  <c r="U456" i="1"/>
  <c r="S456" i="1"/>
  <c r="S442" i="1"/>
  <c r="S435" i="1"/>
  <c r="S478" i="1"/>
  <c r="U460" i="1"/>
  <c r="S460" i="1"/>
  <c r="U455" i="1"/>
  <c r="S455" i="1"/>
  <c r="S483" i="1"/>
  <c r="U464" i="1"/>
  <c r="S464" i="1"/>
  <c r="S454" i="1"/>
  <c r="S471" i="1"/>
  <c r="S475" i="1"/>
  <c r="U459" i="1"/>
  <c r="S446" i="1"/>
  <c r="U439" i="1"/>
  <c r="U475" i="1"/>
  <c r="U482" i="1"/>
  <c r="O482" i="1"/>
  <c r="AB482" i="1" s="1"/>
  <c r="W467" i="1"/>
  <c r="O467" i="1"/>
  <c r="AB467" i="1" s="1"/>
  <c r="O453" i="1"/>
  <c r="AB453" i="1" s="1"/>
  <c r="U450" i="1"/>
  <c r="O450" i="1"/>
  <c r="AB450" i="1" s="1"/>
  <c r="W484" i="1"/>
  <c r="O484" i="1"/>
  <c r="O481" i="1"/>
  <c r="AB481" i="1" s="1"/>
  <c r="U478" i="1"/>
  <c r="O478" i="1"/>
  <c r="AB478" i="1" s="1"/>
  <c r="U467" i="1"/>
  <c r="W463" i="1"/>
  <c r="AA463" i="1" s="1"/>
  <c r="O463" i="1"/>
  <c r="AB463" i="1" s="1"/>
  <c r="W452" i="1"/>
  <c r="O452" i="1"/>
  <c r="O449" i="1"/>
  <c r="AB449" i="1" s="1"/>
  <c r="U446" i="1"/>
  <c r="O446" i="1"/>
  <c r="AB446" i="1" s="1"/>
  <c r="U435" i="1"/>
  <c r="W491" i="1"/>
  <c r="O491" i="1"/>
  <c r="AB491" i="1" s="1"/>
  <c r="U484" i="1"/>
  <c r="W480" i="1"/>
  <c r="O480" i="1"/>
  <c r="O477" i="1"/>
  <c r="AB477" i="1" s="1"/>
  <c r="U474" i="1"/>
  <c r="O474" i="1"/>
  <c r="AB474" i="1" s="1"/>
  <c r="U463" i="1"/>
  <c r="W459" i="1"/>
  <c r="O459" i="1"/>
  <c r="AB459" i="1" s="1"/>
  <c r="U452" i="1"/>
  <c r="W448" i="1"/>
  <c r="O448" i="1"/>
  <c r="O445" i="1"/>
  <c r="AB445" i="1" s="1"/>
  <c r="U442" i="1"/>
  <c r="O442" i="1"/>
  <c r="AB442" i="1" s="1"/>
  <c r="W487" i="1"/>
  <c r="O487" i="1"/>
  <c r="AB487" i="1" s="1"/>
  <c r="O473" i="1"/>
  <c r="AB473" i="1" s="1"/>
  <c r="W483" i="1"/>
  <c r="O483" i="1"/>
  <c r="AB483" i="1" s="1"/>
  <c r="O469" i="1"/>
  <c r="AB469" i="1" s="1"/>
  <c r="U466" i="1"/>
  <c r="O466" i="1"/>
  <c r="AB466" i="1" s="1"/>
  <c r="W440" i="1"/>
  <c r="O440" i="1"/>
  <c r="O437" i="1"/>
  <c r="AB437" i="1" s="1"/>
  <c r="W479" i="1"/>
  <c r="O479" i="1"/>
  <c r="AB479" i="1" s="1"/>
  <c r="U440" i="1"/>
  <c r="W436" i="1"/>
  <c r="O436" i="1"/>
  <c r="W488" i="1"/>
  <c r="O488" i="1"/>
  <c r="W476" i="1"/>
  <c r="O476" i="1"/>
  <c r="U470" i="1"/>
  <c r="O470" i="1"/>
  <c r="AB470" i="1" s="1"/>
  <c r="O441" i="1"/>
  <c r="AB441" i="1" s="1"/>
  <c r="W451" i="1"/>
  <c r="O451" i="1"/>
  <c r="AB451" i="1" s="1"/>
  <c r="W468" i="1"/>
  <c r="O468" i="1"/>
  <c r="O465" i="1"/>
  <c r="AB465" i="1" s="1"/>
  <c r="U462" i="1"/>
  <c r="O462" i="1"/>
  <c r="AB462" i="1" s="1"/>
  <c r="U451" i="1"/>
  <c r="W447" i="1"/>
  <c r="AA447" i="1" s="1"/>
  <c r="O447" i="1"/>
  <c r="AB447" i="1" s="1"/>
  <c r="U490" i="1"/>
  <c r="O490" i="1"/>
  <c r="AB490" i="1" s="1"/>
  <c r="U479" i="1"/>
  <c r="W475" i="1"/>
  <c r="O475" i="1"/>
  <c r="AB475" i="1" s="1"/>
  <c r="U468" i="1"/>
  <c r="W464" i="1"/>
  <c r="O464" i="1"/>
  <c r="O461" i="1"/>
  <c r="AB461" i="1" s="1"/>
  <c r="U458" i="1"/>
  <c r="O458" i="1"/>
  <c r="AB458" i="1" s="1"/>
  <c r="U447" i="1"/>
  <c r="W443" i="1"/>
  <c r="O443" i="1"/>
  <c r="AB443" i="1" s="1"/>
  <c r="U436" i="1"/>
  <c r="T436" i="1" s="1"/>
  <c r="O485" i="1"/>
  <c r="AB485" i="1" s="1"/>
  <c r="W455" i="1"/>
  <c r="O455" i="1"/>
  <c r="AB455" i="1" s="1"/>
  <c r="W444" i="1"/>
  <c r="O444" i="1"/>
  <c r="U438" i="1"/>
  <c r="O438" i="1"/>
  <c r="AB438" i="1" s="1"/>
  <c r="U487" i="1"/>
  <c r="W472" i="1"/>
  <c r="O472" i="1"/>
  <c r="U483" i="1"/>
  <c r="O489" i="1"/>
  <c r="AB489" i="1" s="1"/>
  <c r="U486" i="1"/>
  <c r="O486" i="1"/>
  <c r="AB486" i="1" s="1"/>
  <c r="W471" i="1"/>
  <c r="O471" i="1"/>
  <c r="AB471" i="1" s="1"/>
  <c r="W460" i="1"/>
  <c r="O460" i="1"/>
  <c r="O457" i="1"/>
  <c r="AB457" i="1" s="1"/>
  <c r="U454" i="1"/>
  <c r="O454" i="1"/>
  <c r="AB454" i="1" s="1"/>
  <c r="W439" i="1"/>
  <c r="O439" i="1"/>
  <c r="AB439" i="1" s="1"/>
  <c r="W456" i="1"/>
  <c r="O456" i="1"/>
  <c r="W435" i="1"/>
  <c r="O435" i="1"/>
  <c r="AB435" i="1" s="1"/>
  <c r="W449" i="1"/>
  <c r="W441" i="1"/>
  <c r="W437" i="1"/>
  <c r="U485" i="1"/>
  <c r="U477" i="1"/>
  <c r="U465" i="1"/>
  <c r="U461" i="1"/>
  <c r="U453" i="1"/>
  <c r="U445" i="1"/>
  <c r="U441" i="1"/>
  <c r="U437" i="1"/>
  <c r="W490" i="1"/>
  <c r="W486" i="1"/>
  <c r="W482" i="1"/>
  <c r="W478" i="1"/>
  <c r="W474" i="1"/>
  <c r="AA474" i="1" s="1"/>
  <c r="W470" i="1"/>
  <c r="W466" i="1"/>
  <c r="W462" i="1"/>
  <c r="W458" i="1"/>
  <c r="W454" i="1"/>
  <c r="W450" i="1"/>
  <c r="W446" i="1"/>
  <c r="W442" i="1"/>
  <c r="W438" i="1"/>
  <c r="W489" i="1"/>
  <c r="W485" i="1"/>
  <c r="W473" i="1"/>
  <c r="W445" i="1"/>
  <c r="U473" i="1"/>
  <c r="U469" i="1"/>
  <c r="W477" i="1"/>
  <c r="W469" i="1"/>
  <c r="W465" i="1"/>
  <c r="W461" i="1"/>
  <c r="W457" i="1"/>
  <c r="W453" i="1"/>
  <c r="U489" i="1"/>
  <c r="U481" i="1"/>
  <c r="U457" i="1"/>
  <c r="U449" i="1"/>
  <c r="W481" i="1"/>
  <c r="X425" i="1"/>
  <c r="Z425" i="1" s="1"/>
  <c r="X426" i="1"/>
  <c r="Z426" i="1" s="1"/>
  <c r="X427" i="1"/>
  <c r="Z427" i="1" s="1"/>
  <c r="X428" i="1"/>
  <c r="Z428" i="1" s="1"/>
  <c r="X429" i="1"/>
  <c r="Z429" i="1" s="1"/>
  <c r="X430" i="1"/>
  <c r="Z430" i="1" s="1"/>
  <c r="X431" i="1"/>
  <c r="Z431" i="1" s="1"/>
  <c r="X432" i="1"/>
  <c r="Z432" i="1" s="1"/>
  <c r="X433" i="1"/>
  <c r="Z433" i="1" s="1"/>
  <c r="X434" i="1"/>
  <c r="AJ21" i="1"/>
  <c r="Q913" i="1" l="1"/>
  <c r="P913" i="1" s="1"/>
  <c r="AF913" i="1" s="1"/>
  <c r="R914" i="1"/>
  <c r="T914" i="1"/>
  <c r="P824" i="1"/>
  <c r="AF824" i="1" s="1"/>
  <c r="T825" i="1"/>
  <c r="Q825" i="1"/>
  <c r="R826" i="1"/>
  <c r="AF495" i="1"/>
  <c r="P556" i="1"/>
  <c r="AF556" i="1" s="1"/>
  <c r="P533" i="1"/>
  <c r="AF533" i="1" s="1"/>
  <c r="AA437" i="1"/>
  <c r="AA441" i="1"/>
  <c r="AA467" i="1"/>
  <c r="AA466" i="1"/>
  <c r="AA471" i="1"/>
  <c r="AA454" i="1"/>
  <c r="AA442" i="1"/>
  <c r="AA488" i="1"/>
  <c r="AA458" i="1"/>
  <c r="R535" i="1"/>
  <c r="Q534" i="1"/>
  <c r="P534" i="1" s="1"/>
  <c r="T535" i="1"/>
  <c r="R437" i="1"/>
  <c r="Q436" i="1"/>
  <c r="P436" i="1" s="1"/>
  <c r="R497" i="1"/>
  <c r="Q496" i="1"/>
  <c r="T558" i="1"/>
  <c r="R558" i="1"/>
  <c r="Q557" i="1"/>
  <c r="P557" i="1" s="1"/>
  <c r="AA487" i="1"/>
  <c r="S426" i="1"/>
  <c r="S431" i="1"/>
  <c r="S430" i="1"/>
  <c r="S428" i="1"/>
  <c r="AA480" i="1"/>
  <c r="AA475" i="1"/>
  <c r="S434" i="1"/>
  <c r="S427" i="1"/>
  <c r="AA490" i="1"/>
  <c r="AA483" i="1"/>
  <c r="N472" i="1"/>
  <c r="N473" i="1" s="1"/>
  <c r="N474" i="1" s="1"/>
  <c r="N475" i="1" s="1"/>
  <c r="AB472" i="1"/>
  <c r="N436" i="1"/>
  <c r="N437" i="1" s="1"/>
  <c r="N438" i="1" s="1"/>
  <c r="N439" i="1" s="1"/>
  <c r="AB436" i="1"/>
  <c r="AA484" i="1"/>
  <c r="N480" i="1"/>
  <c r="N481" i="1" s="1"/>
  <c r="N482" i="1" s="1"/>
  <c r="N483" i="1" s="1"/>
  <c r="AB480" i="1"/>
  <c r="N456" i="1"/>
  <c r="N457" i="1" s="1"/>
  <c r="N458" i="1" s="1"/>
  <c r="N459" i="1" s="1"/>
  <c r="AB456" i="1"/>
  <c r="AA452" i="1"/>
  <c r="N460" i="1"/>
  <c r="N461" i="1" s="1"/>
  <c r="N462" i="1" s="1"/>
  <c r="N463" i="1" s="1"/>
  <c r="AB460" i="1"/>
  <c r="N464" i="1"/>
  <c r="N465" i="1" s="1"/>
  <c r="N466" i="1" s="1"/>
  <c r="N467" i="1" s="1"/>
  <c r="AB464" i="1"/>
  <c r="N468" i="1"/>
  <c r="N469" i="1" s="1"/>
  <c r="N470" i="1" s="1"/>
  <c r="N471" i="1" s="1"/>
  <c r="AB468" i="1"/>
  <c r="N476" i="1"/>
  <c r="N477" i="1" s="1"/>
  <c r="N478" i="1" s="1"/>
  <c r="N479" i="1" s="1"/>
  <c r="AB476" i="1"/>
  <c r="AA462" i="1"/>
  <c r="AA439" i="1"/>
  <c r="N444" i="1"/>
  <c r="N445" i="1" s="1"/>
  <c r="N446" i="1" s="1"/>
  <c r="N447" i="1" s="1"/>
  <c r="AB444" i="1"/>
  <c r="N452" i="1"/>
  <c r="N453" i="1" s="1"/>
  <c r="N454" i="1" s="1"/>
  <c r="N455" i="1" s="1"/>
  <c r="AB452" i="1"/>
  <c r="AA491" i="1"/>
  <c r="N488" i="1"/>
  <c r="N489" i="1" s="1"/>
  <c r="N490" i="1" s="1"/>
  <c r="N491" i="1" s="1"/>
  <c r="AB488" i="1"/>
  <c r="N440" i="1"/>
  <c r="N441" i="1" s="1"/>
  <c r="N442" i="1" s="1"/>
  <c r="N443" i="1" s="1"/>
  <c r="AB440" i="1"/>
  <c r="N448" i="1"/>
  <c r="N449" i="1" s="1"/>
  <c r="N450" i="1" s="1"/>
  <c r="N451" i="1" s="1"/>
  <c r="AB448" i="1"/>
  <c r="N484" i="1"/>
  <c r="N485" i="1" s="1"/>
  <c r="N486" i="1" s="1"/>
  <c r="N487" i="1" s="1"/>
  <c r="AB484" i="1"/>
  <c r="AA472" i="1"/>
  <c r="AL24" i="1"/>
  <c r="AA485" i="1"/>
  <c r="AA486" i="1"/>
  <c r="AA435" i="1"/>
  <c r="AA455" i="1"/>
  <c r="AA444" i="1"/>
  <c r="AA451" i="1"/>
  <c r="S433" i="1"/>
  <c r="S432" i="1"/>
  <c r="S425" i="1"/>
  <c r="AA461" i="1"/>
  <c r="T497" i="1"/>
  <c r="S429" i="1"/>
  <c r="R429" i="1" s="1"/>
  <c r="AA443" i="1"/>
  <c r="AA479" i="1"/>
  <c r="AA459" i="1"/>
  <c r="AA473" i="1"/>
  <c r="AA446" i="1"/>
  <c r="AA445" i="1"/>
  <c r="AA453" i="1"/>
  <c r="AA456" i="1"/>
  <c r="AA457" i="1"/>
  <c r="AA489" i="1"/>
  <c r="AA440" i="1"/>
  <c r="AA478" i="1"/>
  <c r="AA436" i="1"/>
  <c r="AA482" i="1"/>
  <c r="U428" i="1"/>
  <c r="O428" i="1"/>
  <c r="AB428" i="1" s="1"/>
  <c r="U432" i="1"/>
  <c r="O432" i="1"/>
  <c r="AB432" i="1" s="1"/>
  <c r="O431" i="1"/>
  <c r="AB431" i="1" s="1"/>
  <c r="O427" i="1"/>
  <c r="AB427" i="1" s="1"/>
  <c r="AA465" i="1"/>
  <c r="AA448" i="1"/>
  <c r="AA470" i="1"/>
  <c r="AA469" i="1"/>
  <c r="W434" i="1"/>
  <c r="AA434" i="1" s="1"/>
  <c r="O434" i="1"/>
  <c r="AB434" i="1" s="1"/>
  <c r="W430" i="1"/>
  <c r="O430" i="1"/>
  <c r="AB430" i="1" s="1"/>
  <c r="W426" i="1"/>
  <c r="O426" i="1"/>
  <c r="AA460" i="1"/>
  <c r="U434" i="1"/>
  <c r="U430" i="1"/>
  <c r="U426" i="1"/>
  <c r="AA477" i="1"/>
  <c r="AA464" i="1"/>
  <c r="AA468" i="1"/>
  <c r="T437" i="1"/>
  <c r="AA450" i="1"/>
  <c r="AA449" i="1"/>
  <c r="AA481" i="1"/>
  <c r="AA476" i="1"/>
  <c r="U433" i="1"/>
  <c r="O433" i="1"/>
  <c r="U429" i="1"/>
  <c r="T429" i="1" s="1"/>
  <c r="O429" i="1"/>
  <c r="U425" i="1"/>
  <c r="O425" i="1"/>
  <c r="AB425" i="1" s="1"/>
  <c r="AA438" i="1"/>
  <c r="W431" i="1"/>
  <c r="W427" i="1"/>
  <c r="W432" i="1"/>
  <c r="W428" i="1"/>
  <c r="U427" i="1"/>
  <c r="W433" i="1"/>
  <c r="W429" i="1"/>
  <c r="W425" i="1"/>
  <c r="U431" i="1"/>
  <c r="X412" i="1"/>
  <c r="Z412" i="1" s="1"/>
  <c r="X413" i="1"/>
  <c r="Z413" i="1" s="1"/>
  <c r="X414" i="1"/>
  <c r="Z414" i="1" s="1"/>
  <c r="X415" i="1"/>
  <c r="Z415" i="1" s="1"/>
  <c r="X416" i="1"/>
  <c r="Z416" i="1" s="1"/>
  <c r="X417" i="1"/>
  <c r="Z417" i="1" s="1"/>
  <c r="X418" i="1"/>
  <c r="Z418" i="1" s="1"/>
  <c r="X419" i="1"/>
  <c r="Z419" i="1" s="1"/>
  <c r="X420" i="1"/>
  <c r="Z420" i="1" s="1"/>
  <c r="X421" i="1"/>
  <c r="Z421" i="1" s="1"/>
  <c r="X422" i="1"/>
  <c r="Z422" i="1" s="1"/>
  <c r="X423" i="1"/>
  <c r="Z423" i="1" s="1"/>
  <c r="X424" i="1"/>
  <c r="Z424" i="1" s="1"/>
  <c r="T915" i="1" l="1"/>
  <c r="Q914" i="1"/>
  <c r="P914" i="1" s="1"/>
  <c r="AF914" i="1" s="1"/>
  <c r="R915" i="1"/>
  <c r="Q826" i="1"/>
  <c r="R827" i="1"/>
  <c r="P825" i="1"/>
  <c r="AF825" i="1" s="1"/>
  <c r="T826" i="1"/>
  <c r="AF436" i="1"/>
  <c r="AF557" i="1"/>
  <c r="AF534" i="1"/>
  <c r="P496" i="1"/>
  <c r="AF496" i="1" s="1"/>
  <c r="R559" i="1"/>
  <c r="Q558" i="1"/>
  <c r="T559" i="1"/>
  <c r="T536" i="1"/>
  <c r="R498" i="1"/>
  <c r="Q497" i="1"/>
  <c r="R430" i="1"/>
  <c r="Q429" i="1"/>
  <c r="R536" i="1"/>
  <c r="Q535" i="1"/>
  <c r="R438" i="1"/>
  <c r="Q437" i="1"/>
  <c r="P437" i="1" s="1"/>
  <c r="S416" i="1"/>
  <c r="S415" i="1"/>
  <c r="S424" i="1"/>
  <c r="S414" i="1"/>
  <c r="U419" i="1"/>
  <c r="S412" i="1"/>
  <c r="S418" i="1"/>
  <c r="AA426" i="1"/>
  <c r="S420" i="1"/>
  <c r="AA433" i="1"/>
  <c r="AA430" i="1"/>
  <c r="AA429" i="1"/>
  <c r="AA432" i="1"/>
  <c r="N429" i="1"/>
  <c r="N430" i="1" s="1"/>
  <c r="N431" i="1" s="1"/>
  <c r="N432" i="1" s="1"/>
  <c r="AB429" i="1"/>
  <c r="N433" i="1"/>
  <c r="N434" i="1" s="1"/>
  <c r="N435" i="1" s="1"/>
  <c r="AB433" i="1"/>
  <c r="AA428" i="1"/>
  <c r="N426" i="1"/>
  <c r="N427" i="1" s="1"/>
  <c r="N428" i="1" s="1"/>
  <c r="AB426" i="1"/>
  <c r="W413" i="1"/>
  <c r="S413" i="1"/>
  <c r="W417" i="1"/>
  <c r="S417" i="1"/>
  <c r="AA427" i="1"/>
  <c r="T438" i="1"/>
  <c r="S419" i="1"/>
  <c r="S423" i="1"/>
  <c r="S422" i="1"/>
  <c r="T498" i="1"/>
  <c r="U421" i="1"/>
  <c r="S421" i="1"/>
  <c r="AA425" i="1"/>
  <c r="U423" i="1"/>
  <c r="T430" i="1"/>
  <c r="AA431" i="1"/>
  <c r="W415" i="1"/>
  <c r="O415" i="1"/>
  <c r="AB415" i="1" s="1"/>
  <c r="W421" i="1"/>
  <c r="U424" i="1"/>
  <c r="O424" i="1"/>
  <c r="AB424" i="1" s="1"/>
  <c r="O418" i="1"/>
  <c r="O417" i="1"/>
  <c r="AB417" i="1" s="1"/>
  <c r="U414" i="1"/>
  <c r="O414" i="1"/>
  <c r="W414" i="1"/>
  <c r="U420" i="1"/>
  <c r="O420" i="1"/>
  <c r="AB420" i="1" s="1"/>
  <c r="U417" i="1"/>
  <c r="O413" i="1"/>
  <c r="AB413" i="1" s="1"/>
  <c r="W423" i="1"/>
  <c r="O423" i="1"/>
  <c r="AB423" i="1" s="1"/>
  <c r="U416" i="1"/>
  <c r="O416" i="1"/>
  <c r="AB416" i="1" s="1"/>
  <c r="O422" i="1"/>
  <c r="U415" i="1"/>
  <c r="O421" i="1"/>
  <c r="AB421" i="1" s="1"/>
  <c r="W419" i="1"/>
  <c r="O419" i="1"/>
  <c r="AB419" i="1" s="1"/>
  <c r="U412" i="1"/>
  <c r="O412" i="1"/>
  <c r="AB412" i="1" s="1"/>
  <c r="U413" i="1"/>
  <c r="W422" i="1"/>
  <c r="W418" i="1"/>
  <c r="U422" i="1"/>
  <c r="U418" i="1"/>
  <c r="W424" i="1"/>
  <c r="W420" i="1"/>
  <c r="W416" i="1"/>
  <c r="W412" i="1"/>
  <c r="X260" i="1"/>
  <c r="Z260" i="1" s="1"/>
  <c r="X261" i="1"/>
  <c r="Z261" i="1" s="1"/>
  <c r="X262" i="1"/>
  <c r="Z262" i="1" s="1"/>
  <c r="X263" i="1"/>
  <c r="Z263" i="1" s="1"/>
  <c r="X264" i="1"/>
  <c r="Z264" i="1" s="1"/>
  <c r="X265" i="1"/>
  <c r="Z265" i="1" s="1"/>
  <c r="X266" i="1"/>
  <c r="Z266" i="1" s="1"/>
  <c r="X267" i="1"/>
  <c r="Z267" i="1" s="1"/>
  <c r="X268" i="1"/>
  <c r="Z268" i="1" s="1"/>
  <c r="X269" i="1"/>
  <c r="Z269" i="1" s="1"/>
  <c r="X270" i="1"/>
  <c r="Z270" i="1" s="1"/>
  <c r="X271" i="1"/>
  <c r="Z271" i="1" s="1"/>
  <c r="X272" i="1"/>
  <c r="Z272" i="1" s="1"/>
  <c r="X273" i="1"/>
  <c r="Z273" i="1" s="1"/>
  <c r="X274" i="1"/>
  <c r="Z274" i="1" s="1"/>
  <c r="X275" i="1"/>
  <c r="Z275" i="1" s="1"/>
  <c r="X276" i="1"/>
  <c r="Z276" i="1" s="1"/>
  <c r="X277" i="1"/>
  <c r="Z277" i="1" s="1"/>
  <c r="X278" i="1"/>
  <c r="Z278" i="1" s="1"/>
  <c r="X279" i="1"/>
  <c r="Z279" i="1" s="1"/>
  <c r="X280" i="1"/>
  <c r="Z280" i="1" s="1"/>
  <c r="X281" i="1"/>
  <c r="Z281" i="1" s="1"/>
  <c r="X282" i="1"/>
  <c r="Z282" i="1" s="1"/>
  <c r="X283" i="1"/>
  <c r="Z283" i="1" s="1"/>
  <c r="X284" i="1"/>
  <c r="Z284" i="1" s="1"/>
  <c r="X285" i="1"/>
  <c r="Z285" i="1" s="1"/>
  <c r="X286" i="1"/>
  <c r="Z286" i="1" s="1"/>
  <c r="X287" i="1"/>
  <c r="Z287" i="1" s="1"/>
  <c r="X288" i="1"/>
  <c r="Z288" i="1" s="1"/>
  <c r="X289" i="1"/>
  <c r="Z289" i="1" s="1"/>
  <c r="X290" i="1"/>
  <c r="Z290" i="1" s="1"/>
  <c r="X291" i="1"/>
  <c r="Z291" i="1" s="1"/>
  <c r="X292" i="1"/>
  <c r="Z292" i="1" s="1"/>
  <c r="X293" i="1"/>
  <c r="Z293" i="1" s="1"/>
  <c r="X294" i="1"/>
  <c r="Z294" i="1" s="1"/>
  <c r="X295" i="1"/>
  <c r="Z295" i="1" s="1"/>
  <c r="X296" i="1"/>
  <c r="Z296" i="1" s="1"/>
  <c r="X297" i="1"/>
  <c r="Z297" i="1" s="1"/>
  <c r="X298" i="1"/>
  <c r="Z298" i="1" s="1"/>
  <c r="X299" i="1"/>
  <c r="Z299" i="1" s="1"/>
  <c r="X300" i="1"/>
  <c r="Z300" i="1" s="1"/>
  <c r="X301" i="1"/>
  <c r="Z301" i="1" s="1"/>
  <c r="X302" i="1"/>
  <c r="Z302" i="1" s="1"/>
  <c r="X303" i="1"/>
  <c r="Z303" i="1" s="1"/>
  <c r="X304" i="1"/>
  <c r="Z304" i="1" s="1"/>
  <c r="X305" i="1"/>
  <c r="Z305" i="1" s="1"/>
  <c r="X306" i="1"/>
  <c r="Z306" i="1" s="1"/>
  <c r="X307" i="1"/>
  <c r="Z307" i="1" s="1"/>
  <c r="X308" i="1"/>
  <c r="Z308" i="1" s="1"/>
  <c r="X309" i="1"/>
  <c r="Z309" i="1" s="1"/>
  <c r="X310" i="1"/>
  <c r="Z310" i="1" s="1"/>
  <c r="X311" i="1"/>
  <c r="Z311" i="1" s="1"/>
  <c r="X312" i="1"/>
  <c r="Z312" i="1" s="1"/>
  <c r="X313" i="1"/>
  <c r="Z313" i="1" s="1"/>
  <c r="X314" i="1"/>
  <c r="Z314" i="1" s="1"/>
  <c r="X315" i="1"/>
  <c r="Z315" i="1" s="1"/>
  <c r="X316" i="1"/>
  <c r="Z316" i="1" s="1"/>
  <c r="X317" i="1"/>
  <c r="Z317" i="1" s="1"/>
  <c r="X318" i="1"/>
  <c r="Z318" i="1" s="1"/>
  <c r="X319" i="1"/>
  <c r="Z319" i="1" s="1"/>
  <c r="X320" i="1"/>
  <c r="Z320" i="1" s="1"/>
  <c r="X321" i="1"/>
  <c r="Z321" i="1" s="1"/>
  <c r="X322" i="1"/>
  <c r="Z322" i="1" s="1"/>
  <c r="X323" i="1"/>
  <c r="Z323" i="1" s="1"/>
  <c r="X324" i="1"/>
  <c r="Z324" i="1" s="1"/>
  <c r="X325" i="1"/>
  <c r="Z325" i="1" s="1"/>
  <c r="X326" i="1"/>
  <c r="Z326" i="1" s="1"/>
  <c r="X327" i="1"/>
  <c r="Z327" i="1" s="1"/>
  <c r="X328" i="1"/>
  <c r="Z328" i="1" s="1"/>
  <c r="X329" i="1"/>
  <c r="Z329" i="1" s="1"/>
  <c r="X330" i="1"/>
  <c r="Z330" i="1" s="1"/>
  <c r="X331" i="1"/>
  <c r="Z331" i="1" s="1"/>
  <c r="X332" i="1"/>
  <c r="Z332" i="1" s="1"/>
  <c r="X333" i="1"/>
  <c r="Z333" i="1" s="1"/>
  <c r="X334" i="1"/>
  <c r="Z334" i="1" s="1"/>
  <c r="X335" i="1"/>
  <c r="Z335" i="1" s="1"/>
  <c r="X336" i="1"/>
  <c r="Z336" i="1" s="1"/>
  <c r="X337" i="1"/>
  <c r="Z337" i="1" s="1"/>
  <c r="X338" i="1"/>
  <c r="Z338" i="1" s="1"/>
  <c r="X339" i="1"/>
  <c r="Z339" i="1" s="1"/>
  <c r="X340" i="1"/>
  <c r="Z340" i="1" s="1"/>
  <c r="X341" i="1"/>
  <c r="Z341" i="1" s="1"/>
  <c r="X342" i="1"/>
  <c r="Z342" i="1" s="1"/>
  <c r="X343" i="1"/>
  <c r="Z343" i="1" s="1"/>
  <c r="X344" i="1"/>
  <c r="Z344" i="1" s="1"/>
  <c r="X345" i="1"/>
  <c r="Z345" i="1" s="1"/>
  <c r="X346" i="1"/>
  <c r="Z346" i="1" s="1"/>
  <c r="X347" i="1"/>
  <c r="Z347" i="1" s="1"/>
  <c r="X348" i="1"/>
  <c r="Z348" i="1" s="1"/>
  <c r="X349" i="1"/>
  <c r="Z349" i="1" s="1"/>
  <c r="X350" i="1"/>
  <c r="Z350" i="1" s="1"/>
  <c r="X351" i="1"/>
  <c r="Z351" i="1" s="1"/>
  <c r="X352" i="1"/>
  <c r="Z352" i="1" s="1"/>
  <c r="X353" i="1"/>
  <c r="Z353" i="1" s="1"/>
  <c r="X354" i="1"/>
  <c r="Z354" i="1" s="1"/>
  <c r="X355" i="1"/>
  <c r="Z355" i="1" s="1"/>
  <c r="X356" i="1"/>
  <c r="Z356" i="1" s="1"/>
  <c r="X357" i="1"/>
  <c r="Z357" i="1" s="1"/>
  <c r="X358" i="1"/>
  <c r="Z358" i="1" s="1"/>
  <c r="X359" i="1"/>
  <c r="Z359" i="1" s="1"/>
  <c r="X360" i="1"/>
  <c r="Z360" i="1" s="1"/>
  <c r="X361" i="1"/>
  <c r="Z361" i="1" s="1"/>
  <c r="X362" i="1"/>
  <c r="Z362" i="1" s="1"/>
  <c r="X363" i="1"/>
  <c r="Z363" i="1" s="1"/>
  <c r="X364" i="1"/>
  <c r="Z364" i="1" s="1"/>
  <c r="X365" i="1"/>
  <c r="Z365" i="1" s="1"/>
  <c r="X366" i="1"/>
  <c r="Z366" i="1" s="1"/>
  <c r="X367" i="1"/>
  <c r="Z367" i="1" s="1"/>
  <c r="X368" i="1"/>
  <c r="Z368" i="1" s="1"/>
  <c r="X369" i="1"/>
  <c r="Z369" i="1" s="1"/>
  <c r="X370" i="1"/>
  <c r="Z370" i="1" s="1"/>
  <c r="X371" i="1"/>
  <c r="Z371" i="1" s="1"/>
  <c r="X372" i="1"/>
  <c r="Z372" i="1" s="1"/>
  <c r="X373" i="1"/>
  <c r="Z373" i="1" s="1"/>
  <c r="X374" i="1"/>
  <c r="Z374" i="1" s="1"/>
  <c r="X375" i="1"/>
  <c r="Z375" i="1" s="1"/>
  <c r="X376" i="1"/>
  <c r="Z376" i="1" s="1"/>
  <c r="X377" i="1"/>
  <c r="Z377" i="1" s="1"/>
  <c r="X378" i="1"/>
  <c r="Z378" i="1" s="1"/>
  <c r="X379" i="1"/>
  <c r="Z379" i="1" s="1"/>
  <c r="X380" i="1"/>
  <c r="Z380" i="1" s="1"/>
  <c r="X381" i="1"/>
  <c r="Z381" i="1" s="1"/>
  <c r="X382" i="1"/>
  <c r="Z382" i="1" s="1"/>
  <c r="X383" i="1"/>
  <c r="Z383" i="1" s="1"/>
  <c r="X384" i="1"/>
  <c r="Z384" i="1" s="1"/>
  <c r="X385" i="1"/>
  <c r="Z385" i="1" s="1"/>
  <c r="X386" i="1"/>
  <c r="Z386" i="1" s="1"/>
  <c r="X387" i="1"/>
  <c r="Z387" i="1" s="1"/>
  <c r="X388" i="1"/>
  <c r="Z388" i="1" s="1"/>
  <c r="X389" i="1"/>
  <c r="Z389" i="1" s="1"/>
  <c r="X390" i="1"/>
  <c r="Z390" i="1" s="1"/>
  <c r="X391" i="1"/>
  <c r="Z391" i="1" s="1"/>
  <c r="X392" i="1"/>
  <c r="Z392" i="1" s="1"/>
  <c r="X393" i="1"/>
  <c r="Z393" i="1" s="1"/>
  <c r="X394" i="1"/>
  <c r="Z394" i="1" s="1"/>
  <c r="X395" i="1"/>
  <c r="Z395" i="1" s="1"/>
  <c r="X396" i="1"/>
  <c r="Z396" i="1" s="1"/>
  <c r="X397" i="1"/>
  <c r="Z397" i="1" s="1"/>
  <c r="X398" i="1"/>
  <c r="Z398" i="1" s="1"/>
  <c r="X399" i="1"/>
  <c r="Z399" i="1" s="1"/>
  <c r="X400" i="1"/>
  <c r="Z400" i="1" s="1"/>
  <c r="X401" i="1"/>
  <c r="Z401" i="1" s="1"/>
  <c r="X402" i="1"/>
  <c r="Z402" i="1" s="1"/>
  <c r="X403" i="1"/>
  <c r="Z403" i="1" s="1"/>
  <c r="X404" i="1"/>
  <c r="X405" i="1"/>
  <c r="Z405" i="1" s="1"/>
  <c r="X406" i="1"/>
  <c r="Z406" i="1" s="1"/>
  <c r="X407" i="1"/>
  <c r="Z407" i="1" s="1"/>
  <c r="X408" i="1"/>
  <c r="Z408" i="1" s="1"/>
  <c r="X409" i="1"/>
  <c r="Z409" i="1" s="1"/>
  <c r="X410" i="1"/>
  <c r="Z410" i="1" s="1"/>
  <c r="X411" i="1"/>
  <c r="Z411" i="1" s="1"/>
  <c r="Q915" i="1" l="1"/>
  <c r="R916" i="1"/>
  <c r="P915" i="1"/>
  <c r="AF915" i="1" s="1"/>
  <c r="T916" i="1"/>
  <c r="P826" i="1"/>
  <c r="AF826" i="1" s="1"/>
  <c r="T827" i="1"/>
  <c r="Q827" i="1"/>
  <c r="R828" i="1"/>
  <c r="P535" i="1"/>
  <c r="AF535" i="1" s="1"/>
  <c r="P558" i="1"/>
  <c r="AF558" i="1" s="1"/>
  <c r="P497" i="1"/>
  <c r="AF497" i="1" s="1"/>
  <c r="AF437" i="1"/>
  <c r="P429" i="1"/>
  <c r="AF429" i="1" s="1"/>
  <c r="T537" i="1"/>
  <c r="R537" i="1"/>
  <c r="Q536" i="1"/>
  <c r="P536" i="1" s="1"/>
  <c r="T560" i="1"/>
  <c r="R431" i="1"/>
  <c r="Q430" i="1"/>
  <c r="R499" i="1"/>
  <c r="Q498" i="1"/>
  <c r="P498" i="1" s="1"/>
  <c r="R560" i="1"/>
  <c r="Q559" i="1"/>
  <c r="R439" i="1"/>
  <c r="Q438" i="1"/>
  <c r="S389" i="1"/>
  <c r="S357" i="1"/>
  <c r="S301" i="1"/>
  <c r="S396" i="1"/>
  <c r="S388" i="1"/>
  <c r="S380" i="1"/>
  <c r="S364" i="1"/>
  <c r="S356" i="1"/>
  <c r="S340" i="1"/>
  <c r="R340" i="1" s="1"/>
  <c r="S332" i="1"/>
  <c r="S324" i="1"/>
  <c r="S300" i="1"/>
  <c r="S284" i="1"/>
  <c r="S276" i="1"/>
  <c r="S268" i="1"/>
  <c r="S341" i="1"/>
  <c r="S299" i="1"/>
  <c r="S291" i="1"/>
  <c r="S283" i="1"/>
  <c r="S275" i="1"/>
  <c r="S267" i="1"/>
  <c r="S333" i="1"/>
  <c r="S363" i="1"/>
  <c r="S394" i="1"/>
  <c r="S378" i="1"/>
  <c r="S354" i="1"/>
  <c r="S330" i="1"/>
  <c r="S405" i="1"/>
  <c r="S365" i="1"/>
  <c r="S317" i="1"/>
  <c r="S285" i="1"/>
  <c r="S410" i="1"/>
  <c r="S402" i="1"/>
  <c r="S386" i="1"/>
  <c r="R386" i="1" s="1"/>
  <c r="S370" i="1"/>
  <c r="S362" i="1"/>
  <c r="S346" i="1"/>
  <c r="S338" i="1"/>
  <c r="S314" i="1"/>
  <c r="S282" i="1"/>
  <c r="R282" i="1" s="1"/>
  <c r="S266" i="1"/>
  <c r="S409" i="1"/>
  <c r="S401" i="1"/>
  <c r="S393" i="1"/>
  <c r="S385" i="1"/>
  <c r="S377" i="1"/>
  <c r="S369" i="1"/>
  <c r="S361" i="1"/>
  <c r="S353" i="1"/>
  <c r="S345" i="1"/>
  <c r="S337" i="1"/>
  <c r="S329" i="1"/>
  <c r="S321" i="1"/>
  <c r="S313" i="1"/>
  <c r="S305" i="1"/>
  <c r="S297" i="1"/>
  <c r="S289" i="1"/>
  <c r="S281" i="1"/>
  <c r="S273" i="1"/>
  <c r="S265" i="1"/>
  <c r="S397" i="1"/>
  <c r="S349" i="1"/>
  <c r="S277" i="1"/>
  <c r="S384" i="1"/>
  <c r="S344" i="1"/>
  <c r="S288" i="1"/>
  <c r="S272" i="1"/>
  <c r="S264" i="1"/>
  <c r="S381" i="1"/>
  <c r="S325" i="1"/>
  <c r="S293" i="1"/>
  <c r="S261" i="1"/>
  <c r="S403" i="1"/>
  <c r="S376" i="1"/>
  <c r="S360" i="1"/>
  <c r="S328" i="1"/>
  <c r="S304" i="1"/>
  <c r="S343" i="1"/>
  <c r="S311" i="1"/>
  <c r="S271" i="1"/>
  <c r="AA415" i="1"/>
  <c r="S373" i="1"/>
  <c r="S309" i="1"/>
  <c r="R309" i="1" s="1"/>
  <c r="S269" i="1"/>
  <c r="S387" i="1"/>
  <c r="S408" i="1"/>
  <c r="S392" i="1"/>
  <c r="S368" i="1"/>
  <c r="S352" i="1"/>
  <c r="S336" i="1"/>
  <c r="S320" i="1"/>
  <c r="S296" i="1"/>
  <c r="S280" i="1"/>
  <c r="S399" i="1"/>
  <c r="S375" i="1"/>
  <c r="S367" i="1"/>
  <c r="S406" i="1"/>
  <c r="R406" i="1" s="1"/>
  <c r="S398" i="1"/>
  <c r="S374" i="1"/>
  <c r="S342" i="1"/>
  <c r="S334" i="1"/>
  <c r="S310" i="1"/>
  <c r="S278" i="1"/>
  <c r="S270" i="1"/>
  <c r="U262" i="1"/>
  <c r="W394" i="1"/>
  <c r="AA413" i="1"/>
  <c r="N418" i="1"/>
  <c r="N419" i="1" s="1"/>
  <c r="N420" i="1" s="1"/>
  <c r="N421" i="1" s="1"/>
  <c r="AB418" i="1"/>
  <c r="N414" i="1"/>
  <c r="N415" i="1" s="1"/>
  <c r="N416" i="1" s="1"/>
  <c r="N417" i="1" s="1"/>
  <c r="AB414" i="1"/>
  <c r="N422" i="1"/>
  <c r="N423" i="1" s="1"/>
  <c r="N424" i="1" s="1"/>
  <c r="N425" i="1" s="1"/>
  <c r="AB422" i="1"/>
  <c r="AA417" i="1"/>
  <c r="U394" i="1"/>
  <c r="AA412" i="1"/>
  <c r="W330" i="1"/>
  <c r="U330" i="1"/>
  <c r="U291" i="1"/>
  <c r="U354" i="1"/>
  <c r="U379" i="1"/>
  <c r="S379" i="1"/>
  <c r="U339" i="1"/>
  <c r="S339" i="1"/>
  <c r="U326" i="1"/>
  <c r="S326" i="1"/>
  <c r="S312" i="1"/>
  <c r="U290" i="1"/>
  <c r="S290" i="1"/>
  <c r="T431" i="1"/>
  <c r="U386" i="1"/>
  <c r="U372" i="1"/>
  <c r="S372" i="1"/>
  <c r="U359" i="1"/>
  <c r="S359" i="1"/>
  <c r="R359" i="1" s="1"/>
  <c r="S331" i="1"/>
  <c r="S319" i="1"/>
  <c r="U270" i="1"/>
  <c r="S263" i="1"/>
  <c r="U411" i="1"/>
  <c r="S411" i="1"/>
  <c r="S404" i="1"/>
  <c r="S371" i="1"/>
  <c r="U358" i="1"/>
  <c r="S358" i="1"/>
  <c r="S351" i="1"/>
  <c r="U318" i="1"/>
  <c r="S318" i="1"/>
  <c r="W303" i="1"/>
  <c r="S303" i="1"/>
  <c r="S295" i="1"/>
  <c r="U275" i="1"/>
  <c r="W262" i="1"/>
  <c r="S262" i="1"/>
  <c r="U323" i="1"/>
  <c r="S323" i="1"/>
  <c r="W302" i="1"/>
  <c r="S302" i="1"/>
  <c r="U294" i="1"/>
  <c r="S294" i="1"/>
  <c r="S287" i="1"/>
  <c r="U279" i="1"/>
  <c r="S279" i="1"/>
  <c r="U274" i="1"/>
  <c r="S274" i="1"/>
  <c r="AA420" i="1"/>
  <c r="S400" i="1"/>
  <c r="W366" i="1"/>
  <c r="S366" i="1"/>
  <c r="W298" i="1"/>
  <c r="S298" i="1"/>
  <c r="W391" i="1"/>
  <c r="S391" i="1"/>
  <c r="U322" i="1"/>
  <c r="S322" i="1"/>
  <c r="U316" i="1"/>
  <c r="S316" i="1"/>
  <c r="W286" i="1"/>
  <c r="S286" i="1"/>
  <c r="U268" i="1"/>
  <c r="W306" i="1"/>
  <c r="S306" i="1"/>
  <c r="T439" i="1"/>
  <c r="U390" i="1"/>
  <c r="S390" i="1"/>
  <c r="S395" i="1"/>
  <c r="U382" i="1"/>
  <c r="S382" i="1"/>
  <c r="W362" i="1"/>
  <c r="U355" i="1"/>
  <c r="S355" i="1"/>
  <c r="S348" i="1"/>
  <c r="W335" i="1"/>
  <c r="S335" i="1"/>
  <c r="W322" i="1"/>
  <c r="S315" i="1"/>
  <c r="U308" i="1"/>
  <c r="S308" i="1"/>
  <c r="U292" i="1"/>
  <c r="S292" i="1"/>
  <c r="W278" i="1"/>
  <c r="U260" i="1"/>
  <c r="S260" i="1"/>
  <c r="W327" i="1"/>
  <c r="S327" i="1"/>
  <c r="T499" i="1"/>
  <c r="U350" i="1"/>
  <c r="S350" i="1"/>
  <c r="U403" i="1"/>
  <c r="U383" i="1"/>
  <c r="S383" i="1"/>
  <c r="S407" i="1"/>
  <c r="U362" i="1"/>
  <c r="U347" i="1"/>
  <c r="S347" i="1"/>
  <c r="S307" i="1"/>
  <c r="U278" i="1"/>
  <c r="U404" i="1"/>
  <c r="U295" i="1"/>
  <c r="AA423" i="1"/>
  <c r="W382" i="1"/>
  <c r="W358" i="1"/>
  <c r="U319" i="1"/>
  <c r="AA421" i="1"/>
  <c r="AA414" i="1"/>
  <c r="W326" i="1"/>
  <c r="AA419" i="1"/>
  <c r="U315" i="1"/>
  <c r="W390" i="1"/>
  <c r="AA416" i="1"/>
  <c r="U385" i="1"/>
  <c r="O385" i="1"/>
  <c r="AB385" i="1" s="1"/>
  <c r="W403" i="1"/>
  <c r="O403" i="1"/>
  <c r="AB403" i="1" s="1"/>
  <c r="O397" i="1"/>
  <c r="AB397" i="1" s="1"/>
  <c r="U393" i="1"/>
  <c r="O393" i="1"/>
  <c r="AB393" i="1" s="1"/>
  <c r="O389" i="1"/>
  <c r="AB389" i="1" s="1"/>
  <c r="O384" i="1"/>
  <c r="AB384" i="1" s="1"/>
  <c r="O381" i="1"/>
  <c r="AB381" i="1" s="1"/>
  <c r="O376" i="1"/>
  <c r="AB376" i="1" s="1"/>
  <c r="U361" i="1"/>
  <c r="O361" i="1"/>
  <c r="AB361" i="1" s="1"/>
  <c r="O357" i="1"/>
  <c r="AB357" i="1" s="1"/>
  <c r="O352" i="1"/>
  <c r="O344" i="1"/>
  <c r="O334" i="1"/>
  <c r="AB334" i="1" s="1"/>
  <c r="U329" i="1"/>
  <c r="O329" i="1"/>
  <c r="O325" i="1"/>
  <c r="U321" i="1"/>
  <c r="O321" i="1"/>
  <c r="U313" i="1"/>
  <c r="O313" i="1"/>
  <c r="U298" i="1"/>
  <c r="W294" i="1"/>
  <c r="U286" i="1"/>
  <c r="U281" i="1"/>
  <c r="O281" i="1"/>
  <c r="AB281" i="1" s="1"/>
  <c r="O277" i="1"/>
  <c r="AB277" i="1" s="1"/>
  <c r="O272" i="1"/>
  <c r="AB272" i="1" s="1"/>
  <c r="W268" i="1"/>
  <c r="O268" i="1"/>
  <c r="AB268" i="1" s="1"/>
  <c r="O282" i="1"/>
  <c r="O314" i="1"/>
  <c r="AB314" i="1" s="1"/>
  <c r="O264" i="1"/>
  <c r="AB264" i="1" s="1"/>
  <c r="W388" i="1"/>
  <c r="O388" i="1"/>
  <c r="AB388" i="1" s="1"/>
  <c r="O338" i="1"/>
  <c r="AB338" i="1" s="1"/>
  <c r="U297" i="1"/>
  <c r="O297" i="1"/>
  <c r="AB297" i="1" s="1"/>
  <c r="W276" i="1"/>
  <c r="O276" i="1"/>
  <c r="AB276" i="1" s="1"/>
  <c r="U377" i="1"/>
  <c r="O377" i="1"/>
  <c r="AB377" i="1" s="1"/>
  <c r="W308" i="1"/>
  <c r="O308" i="1"/>
  <c r="AB308" i="1" s="1"/>
  <c r="O290" i="1"/>
  <c r="U282" i="1"/>
  <c r="U273" i="1"/>
  <c r="O273" i="1"/>
  <c r="AB273" i="1" s="1"/>
  <c r="W371" i="1"/>
  <c r="O371" i="1"/>
  <c r="O333" i="1"/>
  <c r="O285" i="1"/>
  <c r="AB285" i="1" s="1"/>
  <c r="W263" i="1"/>
  <c r="O263" i="1"/>
  <c r="O402" i="1"/>
  <c r="U375" i="1"/>
  <c r="O375" i="1"/>
  <c r="W351" i="1"/>
  <c r="O351" i="1"/>
  <c r="AB351" i="1" s="1"/>
  <c r="W338" i="1"/>
  <c r="O320" i="1"/>
  <c r="AB320" i="1" s="1"/>
  <c r="W307" i="1"/>
  <c r="O307" i="1"/>
  <c r="AB307" i="1" s="1"/>
  <c r="O293" i="1"/>
  <c r="AB293" i="1" s="1"/>
  <c r="O288" i="1"/>
  <c r="AB288" i="1" s="1"/>
  <c r="W284" i="1"/>
  <c r="O284" i="1"/>
  <c r="AB284" i="1" s="1"/>
  <c r="W271" i="1"/>
  <c r="O271" i="1"/>
  <c r="W267" i="1"/>
  <c r="O267" i="1"/>
  <c r="U263" i="1"/>
  <c r="U367" i="1"/>
  <c r="O367" i="1"/>
  <c r="O304" i="1"/>
  <c r="AB304" i="1" s="1"/>
  <c r="O366" i="1"/>
  <c r="AB366" i="1" s="1"/>
  <c r="U353" i="1"/>
  <c r="O353" i="1"/>
  <c r="AB353" i="1" s="1"/>
  <c r="U303" i="1"/>
  <c r="O303" i="1"/>
  <c r="AB303" i="1" s="1"/>
  <c r="O365" i="1"/>
  <c r="AB365" i="1" s="1"/>
  <c r="W356" i="1"/>
  <c r="O356" i="1"/>
  <c r="W348" i="1"/>
  <c r="O348" i="1"/>
  <c r="W324" i="1"/>
  <c r="O324" i="1"/>
  <c r="AB324" i="1" s="1"/>
  <c r="W396" i="1"/>
  <c r="O396" i="1"/>
  <c r="AB396" i="1" s="1"/>
  <c r="O405" i="1"/>
  <c r="AB405" i="1" s="1"/>
  <c r="U401" i="1"/>
  <c r="O401" i="1"/>
  <c r="AB401" i="1" s="1"/>
  <c r="W387" i="1"/>
  <c r="O387" i="1"/>
  <c r="AB387" i="1" s="1"/>
  <c r="W383" i="1"/>
  <c r="W379" i="1"/>
  <c r="O379" i="1"/>
  <c r="O374" i="1"/>
  <c r="AB374" i="1" s="1"/>
  <c r="O370" i="1"/>
  <c r="AB370" i="1" s="1"/>
  <c r="W364" i="1"/>
  <c r="O364" i="1"/>
  <c r="AB364" i="1" s="1"/>
  <c r="W359" i="1"/>
  <c r="U351" i="1"/>
  <c r="W347" i="1"/>
  <c r="O347" i="1"/>
  <c r="AB347" i="1" s="1"/>
  <c r="O341" i="1"/>
  <c r="AB341" i="1" s="1"/>
  <c r="U337" i="1"/>
  <c r="O337" i="1"/>
  <c r="W323" i="1"/>
  <c r="O323" i="1"/>
  <c r="AB323" i="1" s="1"/>
  <c r="U311" i="1"/>
  <c r="O311" i="1"/>
  <c r="AB311" i="1" s="1"/>
  <c r="O306" i="1"/>
  <c r="O301" i="1"/>
  <c r="AB301" i="1" s="1"/>
  <c r="W292" i="1"/>
  <c r="O292" i="1"/>
  <c r="AB292" i="1" s="1"/>
  <c r="U284" i="1"/>
  <c r="W279" i="1"/>
  <c r="O279" i="1"/>
  <c r="W275" i="1"/>
  <c r="O275" i="1"/>
  <c r="U271" i="1"/>
  <c r="U267" i="1"/>
  <c r="O262" i="1"/>
  <c r="AB262" i="1" s="1"/>
  <c r="O399" i="1"/>
  <c r="AB399" i="1" s="1"/>
  <c r="W372" i="1"/>
  <c r="O372" i="1"/>
  <c r="AB372" i="1" s="1"/>
  <c r="O408" i="1"/>
  <c r="AB408" i="1" s="1"/>
  <c r="O349" i="1"/>
  <c r="AB349" i="1" s="1"/>
  <c r="W260" i="1"/>
  <c r="O260" i="1"/>
  <c r="AB260" i="1" s="1"/>
  <c r="W380" i="1"/>
  <c r="O380" i="1"/>
  <c r="AB380" i="1" s="1"/>
  <c r="O328" i="1"/>
  <c r="AB328" i="1" s="1"/>
  <c r="O406" i="1"/>
  <c r="U388" i="1"/>
  <c r="U380" i="1"/>
  <c r="W355" i="1"/>
  <c r="O355" i="1"/>
  <c r="AB355" i="1" s="1"/>
  <c r="U348" i="1"/>
  <c r="O327" i="1"/>
  <c r="AB327" i="1" s="1"/>
  <c r="W316" i="1"/>
  <c r="O316" i="1"/>
  <c r="AB316" i="1" s="1"/>
  <c r="O386" i="1"/>
  <c r="O373" i="1"/>
  <c r="AB373" i="1" s="1"/>
  <c r="W363" i="1"/>
  <c r="O363" i="1"/>
  <c r="O354" i="1"/>
  <c r="AB354" i="1" s="1"/>
  <c r="O350" i="1"/>
  <c r="AB350" i="1" s="1"/>
  <c r="W331" i="1"/>
  <c r="O331" i="1"/>
  <c r="AB331" i="1" s="1"/>
  <c r="U327" i="1"/>
  <c r="O319" i="1"/>
  <c r="AB319" i="1" s="1"/>
  <c r="O310" i="1"/>
  <c r="AB310" i="1" s="1"/>
  <c r="W300" i="1"/>
  <c r="O300" i="1"/>
  <c r="AB300" i="1" s="1"/>
  <c r="O295" i="1"/>
  <c r="AB295" i="1" s="1"/>
  <c r="W287" i="1"/>
  <c r="O287" i="1"/>
  <c r="AB287" i="1" s="1"/>
  <c r="W283" i="1"/>
  <c r="O283" i="1"/>
  <c r="AB283" i="1" s="1"/>
  <c r="O270" i="1"/>
  <c r="AB270" i="1" s="1"/>
  <c r="O266" i="1"/>
  <c r="AB266" i="1" s="1"/>
  <c r="AA418" i="1"/>
  <c r="U345" i="1"/>
  <c r="O345" i="1"/>
  <c r="AB345" i="1" s="1"/>
  <c r="O261" i="1"/>
  <c r="AB261" i="1" s="1"/>
  <c r="O398" i="1"/>
  <c r="W339" i="1"/>
  <c r="O339" i="1"/>
  <c r="AB339" i="1" s="1"/>
  <c r="O318" i="1"/>
  <c r="AB318" i="1" s="1"/>
  <c r="O294" i="1"/>
  <c r="O269" i="1"/>
  <c r="AB269" i="1" s="1"/>
  <c r="O407" i="1"/>
  <c r="AB407" i="1" s="1"/>
  <c r="O392" i="1"/>
  <c r="AB392" i="1" s="1"/>
  <c r="O360" i="1"/>
  <c r="AB360" i="1" s="1"/>
  <c r="O343" i="1"/>
  <c r="AB343" i="1" s="1"/>
  <c r="O317" i="1"/>
  <c r="O302" i="1"/>
  <c r="U289" i="1"/>
  <c r="O289" i="1"/>
  <c r="AB289" i="1" s="1"/>
  <c r="O280" i="1"/>
  <c r="AB280" i="1" s="1"/>
  <c r="W411" i="1"/>
  <c r="O411" i="1"/>
  <c r="AB411" i="1" s="1"/>
  <c r="O391" i="1"/>
  <c r="AB391" i="1" s="1"/>
  <c r="O383" i="1"/>
  <c r="U371" i="1"/>
  <c r="O359" i="1"/>
  <c r="O342" i="1"/>
  <c r="AB342" i="1" s="1"/>
  <c r="W332" i="1"/>
  <c r="O332" i="1"/>
  <c r="AB332" i="1" s="1"/>
  <c r="U324" i="1"/>
  <c r="O312" i="1"/>
  <c r="AB312" i="1" s="1"/>
  <c r="O296" i="1"/>
  <c r="AB296" i="1" s="1"/>
  <c r="U276" i="1"/>
  <c r="O410" i="1"/>
  <c r="W395" i="1"/>
  <c r="O395" i="1"/>
  <c r="AB395" i="1" s="1"/>
  <c r="U391" i="1"/>
  <c r="U369" i="1"/>
  <c r="O369" i="1"/>
  <c r="AB369" i="1" s="1"/>
  <c r="U409" i="1"/>
  <c r="O409" i="1"/>
  <c r="AB409" i="1" s="1"/>
  <c r="W404" i="1"/>
  <c r="AA404" i="1" s="1"/>
  <c r="O404" i="1"/>
  <c r="AB404" i="1" s="1"/>
  <c r="O400" i="1"/>
  <c r="AB400" i="1" s="1"/>
  <c r="O394" i="1"/>
  <c r="O390" i="1"/>
  <c r="W386" i="1"/>
  <c r="O382" i="1"/>
  <c r="AB382" i="1" s="1"/>
  <c r="O378" i="1"/>
  <c r="AB378" i="1" s="1"/>
  <c r="O368" i="1"/>
  <c r="O362" i="1"/>
  <c r="AB362" i="1" s="1"/>
  <c r="O358" i="1"/>
  <c r="AB358" i="1" s="1"/>
  <c r="W354" i="1"/>
  <c r="W350" i="1"/>
  <c r="O346" i="1"/>
  <c r="AB346" i="1" s="1"/>
  <c r="W340" i="1"/>
  <c r="O340" i="1"/>
  <c r="O336" i="1"/>
  <c r="AB336" i="1" s="1"/>
  <c r="O330" i="1"/>
  <c r="AB330" i="1" s="1"/>
  <c r="O326" i="1"/>
  <c r="AB326" i="1" s="1"/>
  <c r="O322" i="1"/>
  <c r="AB322" i="1" s="1"/>
  <c r="W319" i="1"/>
  <c r="W315" i="1"/>
  <c r="O315" i="1"/>
  <c r="AB315" i="1" s="1"/>
  <c r="O309" i="1"/>
  <c r="U305" i="1"/>
  <c r="O305" i="1"/>
  <c r="AB305" i="1" s="1"/>
  <c r="W299" i="1"/>
  <c r="O299" i="1"/>
  <c r="AB299" i="1" s="1"/>
  <c r="W295" i="1"/>
  <c r="W291" i="1"/>
  <c r="O291" i="1"/>
  <c r="U287" i="1"/>
  <c r="U283" i="1"/>
  <c r="O278" i="1"/>
  <c r="AB278" i="1" s="1"/>
  <c r="O274" i="1"/>
  <c r="AB274" i="1" s="1"/>
  <c r="W270" i="1"/>
  <c r="U266" i="1"/>
  <c r="AA422" i="1"/>
  <c r="O335" i="1"/>
  <c r="AB335" i="1" s="1"/>
  <c r="O298" i="1"/>
  <c r="O286" i="1"/>
  <c r="U265" i="1"/>
  <c r="O265" i="1"/>
  <c r="AB265" i="1" s="1"/>
  <c r="AA424" i="1"/>
  <c r="W410" i="1"/>
  <c r="W407" i="1"/>
  <c r="U402" i="1"/>
  <c r="U399" i="1"/>
  <c r="U396" i="1"/>
  <c r="W374" i="1"/>
  <c r="U366" i="1"/>
  <c r="U363" i="1"/>
  <c r="W346" i="1"/>
  <c r="W343" i="1"/>
  <c r="U338" i="1"/>
  <c r="U335" i="1"/>
  <c r="U332" i="1"/>
  <c r="W310" i="1"/>
  <c r="U302" i="1"/>
  <c r="U299" i="1"/>
  <c r="W402" i="1"/>
  <c r="U410" i="1"/>
  <c r="U407" i="1"/>
  <c r="U374" i="1"/>
  <c r="U346" i="1"/>
  <c r="U343" i="1"/>
  <c r="U340" i="1"/>
  <c r="W318" i="1"/>
  <c r="U310" i="1"/>
  <c r="U307" i="1"/>
  <c r="W290" i="1"/>
  <c r="W282" i="1"/>
  <c r="W274" i="1"/>
  <c r="W266" i="1"/>
  <c r="W370" i="1"/>
  <c r="W334" i="1"/>
  <c r="W399" i="1"/>
  <c r="W398" i="1"/>
  <c r="U387" i="1"/>
  <c r="W367" i="1"/>
  <c r="U356" i="1"/>
  <c r="W406" i="1"/>
  <c r="U398" i="1"/>
  <c r="U395" i="1"/>
  <c r="W378" i="1"/>
  <c r="W375" i="1"/>
  <c r="U370" i="1"/>
  <c r="U364" i="1"/>
  <c r="W342" i="1"/>
  <c r="U334" i="1"/>
  <c r="U331" i="1"/>
  <c r="W314" i="1"/>
  <c r="W311" i="1"/>
  <c r="U306" i="1"/>
  <c r="U300" i="1"/>
  <c r="U406" i="1"/>
  <c r="U378" i="1"/>
  <c r="U342" i="1"/>
  <c r="U314" i="1"/>
  <c r="W341" i="1"/>
  <c r="W333" i="1"/>
  <c r="W293" i="1"/>
  <c r="W285" i="1"/>
  <c r="W269" i="1"/>
  <c r="W261" i="1"/>
  <c r="W408" i="1"/>
  <c r="U405" i="1"/>
  <c r="W400" i="1"/>
  <c r="U397" i="1"/>
  <c r="W392" i="1"/>
  <c r="U389" i="1"/>
  <c r="W384" i="1"/>
  <c r="U381" i="1"/>
  <c r="W376" i="1"/>
  <c r="U373" i="1"/>
  <c r="W368" i="1"/>
  <c r="U365" i="1"/>
  <c r="W360" i="1"/>
  <c r="U357" i="1"/>
  <c r="W352" i="1"/>
  <c r="U349" i="1"/>
  <c r="W344" i="1"/>
  <c r="U341" i="1"/>
  <c r="W336" i="1"/>
  <c r="U333" i="1"/>
  <c r="W328" i="1"/>
  <c r="U325" i="1"/>
  <c r="W320" i="1"/>
  <c r="U317" i="1"/>
  <c r="W312" i="1"/>
  <c r="U309" i="1"/>
  <c r="W304" i="1"/>
  <c r="U301" i="1"/>
  <c r="W296" i="1"/>
  <c r="U293" i="1"/>
  <c r="W288" i="1"/>
  <c r="U285" i="1"/>
  <c r="W280" i="1"/>
  <c r="U277" i="1"/>
  <c r="W272" i="1"/>
  <c r="U269" i="1"/>
  <c r="W264" i="1"/>
  <c r="U261" i="1"/>
  <c r="W365" i="1"/>
  <c r="W349" i="1"/>
  <c r="W325" i="1"/>
  <c r="W317" i="1"/>
  <c r="W309" i="1"/>
  <c r="W301" i="1"/>
  <c r="W277" i="1"/>
  <c r="U408" i="1"/>
  <c r="U400" i="1"/>
  <c r="U392" i="1"/>
  <c r="U384" i="1"/>
  <c r="U376" i="1"/>
  <c r="U368" i="1"/>
  <c r="U360" i="1"/>
  <c r="U352" i="1"/>
  <c r="U344" i="1"/>
  <c r="U336" i="1"/>
  <c r="U328" i="1"/>
  <c r="U320" i="1"/>
  <c r="U312" i="1"/>
  <c r="U304" i="1"/>
  <c r="U296" i="1"/>
  <c r="U288" i="1"/>
  <c r="U280" i="1"/>
  <c r="U272" i="1"/>
  <c r="U264" i="1"/>
  <c r="W397" i="1"/>
  <c r="W389" i="1"/>
  <c r="W405" i="1"/>
  <c r="W381" i="1"/>
  <c r="W357" i="1"/>
  <c r="W409" i="1"/>
  <c r="W401" i="1"/>
  <c r="W385" i="1"/>
  <c r="W377" i="1"/>
  <c r="W369" i="1"/>
  <c r="W361" i="1"/>
  <c r="W353" i="1"/>
  <c r="W345" i="1"/>
  <c r="W337" i="1"/>
  <c r="W329" i="1"/>
  <c r="W321" i="1"/>
  <c r="W313" i="1"/>
  <c r="W305" i="1"/>
  <c r="W297" i="1"/>
  <c r="W289" i="1"/>
  <c r="W281" i="1"/>
  <c r="W273" i="1"/>
  <c r="W265" i="1"/>
  <c r="W373" i="1"/>
  <c r="W393" i="1"/>
  <c r="X259" i="1"/>
  <c r="Z259" i="1" s="1"/>
  <c r="X258" i="1"/>
  <c r="Z258" i="1" s="1"/>
  <c r="X257" i="1"/>
  <c r="Z257" i="1" s="1"/>
  <c r="X256" i="1"/>
  <c r="Z256" i="1" s="1"/>
  <c r="X255" i="1"/>
  <c r="Z255" i="1" s="1"/>
  <c r="X254" i="1"/>
  <c r="Z254" i="1" s="1"/>
  <c r="X253" i="1"/>
  <c r="Z253" i="1" s="1"/>
  <c r="X252" i="1"/>
  <c r="Z252" i="1" s="1"/>
  <c r="X251" i="1"/>
  <c r="Z251" i="1" s="1"/>
  <c r="X250" i="1"/>
  <c r="Z250" i="1" s="1"/>
  <c r="X249" i="1"/>
  <c r="Z249" i="1" s="1"/>
  <c r="X248" i="1"/>
  <c r="Z248" i="1" s="1"/>
  <c r="X247" i="1"/>
  <c r="Z247" i="1" s="1"/>
  <c r="X246" i="1"/>
  <c r="Z246" i="1" s="1"/>
  <c r="X245" i="1"/>
  <c r="Z245" i="1" s="1"/>
  <c r="X244" i="1"/>
  <c r="Z244" i="1" s="1"/>
  <c r="X243" i="1"/>
  <c r="Z243" i="1" s="1"/>
  <c r="X242" i="1"/>
  <c r="Z242" i="1" s="1"/>
  <c r="X241" i="1"/>
  <c r="Z241" i="1" s="1"/>
  <c r="X240" i="1"/>
  <c r="Z240" i="1" s="1"/>
  <c r="X239" i="1"/>
  <c r="Z239" i="1" s="1"/>
  <c r="X238" i="1"/>
  <c r="Z238" i="1" s="1"/>
  <c r="X237" i="1"/>
  <c r="Z237" i="1" s="1"/>
  <c r="X236" i="1"/>
  <c r="Z236" i="1" s="1"/>
  <c r="X235" i="1"/>
  <c r="Z235" i="1" s="1"/>
  <c r="X234" i="1"/>
  <c r="Z234" i="1" s="1"/>
  <c r="X233" i="1"/>
  <c r="Z233" i="1" s="1"/>
  <c r="X232" i="1"/>
  <c r="Z232" i="1" s="1"/>
  <c r="X231" i="1"/>
  <c r="Z231" i="1" s="1"/>
  <c r="X230" i="1"/>
  <c r="Z230" i="1" s="1"/>
  <c r="X229" i="1"/>
  <c r="Z229" i="1" s="1"/>
  <c r="X228" i="1"/>
  <c r="Z228" i="1" s="1"/>
  <c r="X227" i="1"/>
  <c r="Z227" i="1" s="1"/>
  <c r="X226" i="1"/>
  <c r="Z226" i="1" s="1"/>
  <c r="X225" i="1"/>
  <c r="Z225" i="1" s="1"/>
  <c r="X224" i="1"/>
  <c r="Z224" i="1" s="1"/>
  <c r="X223" i="1"/>
  <c r="Z223" i="1" s="1"/>
  <c r="X222" i="1"/>
  <c r="Z222" i="1" s="1"/>
  <c r="X221" i="1"/>
  <c r="Z221" i="1" s="1"/>
  <c r="X220" i="1"/>
  <c r="Z220" i="1" s="1"/>
  <c r="X219" i="1"/>
  <c r="Z219" i="1" s="1"/>
  <c r="X218" i="1"/>
  <c r="Z218" i="1" s="1"/>
  <c r="X217" i="1"/>
  <c r="Z217" i="1" s="1"/>
  <c r="X216" i="1"/>
  <c r="Z216" i="1" s="1"/>
  <c r="X215" i="1"/>
  <c r="Z215" i="1" s="1"/>
  <c r="X214" i="1"/>
  <c r="Z214" i="1" s="1"/>
  <c r="X213" i="1"/>
  <c r="Z213" i="1" s="1"/>
  <c r="X212" i="1"/>
  <c r="Z212" i="1" s="1"/>
  <c r="X211" i="1"/>
  <c r="Z211" i="1" s="1"/>
  <c r="X210" i="1"/>
  <c r="Z210" i="1" s="1"/>
  <c r="X209" i="1"/>
  <c r="Z209" i="1" s="1"/>
  <c r="X208" i="1"/>
  <c r="Z208" i="1" s="1"/>
  <c r="X207" i="1"/>
  <c r="Z207" i="1" s="1"/>
  <c r="X206" i="1"/>
  <c r="Z206" i="1" s="1"/>
  <c r="X205" i="1"/>
  <c r="Z205" i="1" s="1"/>
  <c r="X204" i="1"/>
  <c r="Z204" i="1" s="1"/>
  <c r="X203" i="1"/>
  <c r="Z203" i="1" s="1"/>
  <c r="X202" i="1"/>
  <c r="Z202" i="1" s="1"/>
  <c r="X201" i="1"/>
  <c r="Z201" i="1" s="1"/>
  <c r="X200" i="1"/>
  <c r="Z200" i="1" s="1"/>
  <c r="X199" i="1"/>
  <c r="Z199" i="1" s="1"/>
  <c r="X198" i="1"/>
  <c r="Z198" i="1" s="1"/>
  <c r="X197" i="1"/>
  <c r="Z197" i="1" s="1"/>
  <c r="X196" i="1"/>
  <c r="Z196" i="1" s="1"/>
  <c r="X195" i="1"/>
  <c r="Z195" i="1" s="1"/>
  <c r="X194" i="1"/>
  <c r="Z194" i="1" s="1"/>
  <c r="X193" i="1"/>
  <c r="Z193" i="1" s="1"/>
  <c r="X192" i="1"/>
  <c r="Z192" i="1" s="1"/>
  <c r="X191" i="1"/>
  <c r="Z191" i="1" s="1"/>
  <c r="X190" i="1"/>
  <c r="Z190" i="1" s="1"/>
  <c r="X189" i="1"/>
  <c r="Z189" i="1" s="1"/>
  <c r="X188" i="1"/>
  <c r="Z188" i="1" s="1"/>
  <c r="X187" i="1"/>
  <c r="Z187" i="1" s="1"/>
  <c r="X186" i="1"/>
  <c r="Z186" i="1" s="1"/>
  <c r="X185" i="1"/>
  <c r="Z185" i="1" s="1"/>
  <c r="X184" i="1"/>
  <c r="Z184" i="1" s="1"/>
  <c r="X183" i="1"/>
  <c r="Z183" i="1" s="1"/>
  <c r="X182" i="1"/>
  <c r="Z182" i="1" s="1"/>
  <c r="X181" i="1"/>
  <c r="Z181" i="1" s="1"/>
  <c r="X180" i="1"/>
  <c r="Z180" i="1" s="1"/>
  <c r="X179" i="1"/>
  <c r="Z179" i="1" s="1"/>
  <c r="X178" i="1"/>
  <c r="Z178" i="1" s="1"/>
  <c r="X177" i="1"/>
  <c r="Z177" i="1" s="1"/>
  <c r="X176" i="1"/>
  <c r="Z176" i="1" s="1"/>
  <c r="X175" i="1"/>
  <c r="Z175" i="1" s="1"/>
  <c r="X174" i="1"/>
  <c r="Z174" i="1" s="1"/>
  <c r="X173" i="1"/>
  <c r="Z173" i="1" s="1"/>
  <c r="X172" i="1"/>
  <c r="Z172" i="1" s="1"/>
  <c r="X171" i="1"/>
  <c r="Z171" i="1" s="1"/>
  <c r="X170" i="1"/>
  <c r="Z170" i="1" s="1"/>
  <c r="X169" i="1"/>
  <c r="Z169" i="1" s="1"/>
  <c r="X168" i="1"/>
  <c r="Z168" i="1" s="1"/>
  <c r="X167" i="1"/>
  <c r="Z167" i="1" s="1"/>
  <c r="X166" i="1"/>
  <c r="Z166" i="1" s="1"/>
  <c r="X165" i="1"/>
  <c r="Z165" i="1" s="1"/>
  <c r="X164" i="1"/>
  <c r="Z164" i="1" s="1"/>
  <c r="X163" i="1"/>
  <c r="Z163" i="1" s="1"/>
  <c r="X162" i="1"/>
  <c r="Z162" i="1" s="1"/>
  <c r="X161" i="1"/>
  <c r="Z161" i="1" s="1"/>
  <c r="X160" i="1"/>
  <c r="Z160" i="1" s="1"/>
  <c r="X159" i="1"/>
  <c r="Z159" i="1" s="1"/>
  <c r="X158" i="1"/>
  <c r="Z158" i="1" s="1"/>
  <c r="X157" i="1"/>
  <c r="Z157" i="1" s="1"/>
  <c r="X156" i="1"/>
  <c r="Z156" i="1" s="1"/>
  <c r="X155" i="1"/>
  <c r="Z155" i="1" s="1"/>
  <c r="X154" i="1"/>
  <c r="Z154" i="1" s="1"/>
  <c r="X153" i="1"/>
  <c r="Z153" i="1" s="1"/>
  <c r="X152" i="1"/>
  <c r="Z152" i="1" s="1"/>
  <c r="X151" i="1"/>
  <c r="Z151" i="1" s="1"/>
  <c r="X150" i="1"/>
  <c r="Z150" i="1" s="1"/>
  <c r="X149" i="1"/>
  <c r="Z149" i="1" s="1"/>
  <c r="X148" i="1"/>
  <c r="Z148" i="1" s="1"/>
  <c r="X147" i="1"/>
  <c r="Z147" i="1" s="1"/>
  <c r="X146" i="1"/>
  <c r="Z146" i="1" s="1"/>
  <c r="X145" i="1"/>
  <c r="Z145" i="1" s="1"/>
  <c r="X144" i="1"/>
  <c r="Z144" i="1" s="1"/>
  <c r="X143" i="1"/>
  <c r="Z143" i="1" s="1"/>
  <c r="X142" i="1"/>
  <c r="Z142" i="1" s="1"/>
  <c r="X141" i="1"/>
  <c r="Z141" i="1" s="1"/>
  <c r="X140" i="1"/>
  <c r="Z140" i="1" s="1"/>
  <c r="X139" i="1"/>
  <c r="Z139" i="1" s="1"/>
  <c r="X138" i="1"/>
  <c r="Z138" i="1" s="1"/>
  <c r="X137" i="1"/>
  <c r="Z137" i="1" s="1"/>
  <c r="X136" i="1"/>
  <c r="Z136" i="1" s="1"/>
  <c r="X135" i="1"/>
  <c r="Z135" i="1" s="1"/>
  <c r="X134" i="1"/>
  <c r="Z134" i="1" s="1"/>
  <c r="X133" i="1"/>
  <c r="Z133" i="1" s="1"/>
  <c r="X132" i="1"/>
  <c r="Z132" i="1" s="1"/>
  <c r="X131" i="1"/>
  <c r="Z131" i="1" s="1"/>
  <c r="X130" i="1"/>
  <c r="Z130" i="1" s="1"/>
  <c r="X129" i="1"/>
  <c r="Z129" i="1" s="1"/>
  <c r="X128" i="1"/>
  <c r="Z128" i="1" s="1"/>
  <c r="X127" i="1"/>
  <c r="Z127" i="1" s="1"/>
  <c r="X126" i="1"/>
  <c r="Z126" i="1" s="1"/>
  <c r="X125" i="1"/>
  <c r="Z125" i="1" s="1"/>
  <c r="X124" i="1"/>
  <c r="Z124" i="1" s="1"/>
  <c r="X123" i="1"/>
  <c r="Z123" i="1" s="1"/>
  <c r="X122" i="1"/>
  <c r="Z122" i="1" s="1"/>
  <c r="X121" i="1"/>
  <c r="X120" i="1"/>
  <c r="Z120" i="1" s="1"/>
  <c r="X119" i="1"/>
  <c r="Z119" i="1" s="1"/>
  <c r="X118" i="1"/>
  <c r="Z118" i="1" s="1"/>
  <c r="X117" i="1"/>
  <c r="Z117" i="1" s="1"/>
  <c r="X116" i="1"/>
  <c r="Z116" i="1" s="1"/>
  <c r="X115" i="1"/>
  <c r="Z115" i="1" s="1"/>
  <c r="X114" i="1"/>
  <c r="Z114" i="1" s="1"/>
  <c r="X113" i="1"/>
  <c r="Z113" i="1" s="1"/>
  <c r="X112" i="1"/>
  <c r="Z112" i="1" s="1"/>
  <c r="X111" i="1"/>
  <c r="Z111" i="1" s="1"/>
  <c r="X110" i="1"/>
  <c r="Z110" i="1" s="1"/>
  <c r="X109" i="1"/>
  <c r="Z109" i="1" s="1"/>
  <c r="X108" i="1"/>
  <c r="Z108" i="1" s="1"/>
  <c r="X107" i="1"/>
  <c r="Z107" i="1" s="1"/>
  <c r="X106" i="1"/>
  <c r="Z106" i="1" s="1"/>
  <c r="X105" i="1"/>
  <c r="Z105" i="1" s="1"/>
  <c r="X104" i="1"/>
  <c r="Z104" i="1" s="1"/>
  <c r="X103" i="1"/>
  <c r="Z103" i="1" s="1"/>
  <c r="X102" i="1"/>
  <c r="Z102" i="1" s="1"/>
  <c r="X101" i="1"/>
  <c r="Z101" i="1" s="1"/>
  <c r="X100" i="1"/>
  <c r="Z100" i="1" s="1"/>
  <c r="X99" i="1"/>
  <c r="Z99" i="1" s="1"/>
  <c r="X98" i="1"/>
  <c r="Z98" i="1" s="1"/>
  <c r="X97" i="1"/>
  <c r="Z97" i="1" s="1"/>
  <c r="X96" i="1"/>
  <c r="Z96" i="1" s="1"/>
  <c r="X95" i="1"/>
  <c r="Z95" i="1" s="1"/>
  <c r="X94" i="1"/>
  <c r="Z94" i="1" s="1"/>
  <c r="X93" i="1"/>
  <c r="Z93" i="1" s="1"/>
  <c r="X92" i="1"/>
  <c r="Z92" i="1" s="1"/>
  <c r="X91" i="1"/>
  <c r="Z91" i="1" s="1"/>
  <c r="X90" i="1"/>
  <c r="Z90" i="1" s="1"/>
  <c r="X89" i="1"/>
  <c r="Z89" i="1" s="1"/>
  <c r="X88" i="1"/>
  <c r="Z88" i="1" s="1"/>
  <c r="X87" i="1"/>
  <c r="Z87" i="1" s="1"/>
  <c r="X86" i="1"/>
  <c r="Z86" i="1" s="1"/>
  <c r="X85" i="1"/>
  <c r="Z85" i="1" s="1"/>
  <c r="X84" i="1"/>
  <c r="Z84" i="1" s="1"/>
  <c r="X83" i="1"/>
  <c r="Z83" i="1" s="1"/>
  <c r="X82" i="1"/>
  <c r="Z82" i="1" s="1"/>
  <c r="X81" i="1"/>
  <c r="Z81" i="1" s="1"/>
  <c r="X80" i="1"/>
  <c r="Z80" i="1" s="1"/>
  <c r="X79" i="1"/>
  <c r="Z79" i="1" s="1"/>
  <c r="X78" i="1"/>
  <c r="Z78" i="1" s="1"/>
  <c r="X77" i="1"/>
  <c r="Z77" i="1" s="1"/>
  <c r="X76" i="1"/>
  <c r="Z76" i="1" s="1"/>
  <c r="X75" i="1"/>
  <c r="Z75" i="1" s="1"/>
  <c r="X74" i="1"/>
  <c r="Z74" i="1" s="1"/>
  <c r="X73" i="1"/>
  <c r="Z73" i="1" s="1"/>
  <c r="X72" i="1"/>
  <c r="Z72" i="1" s="1"/>
  <c r="X71" i="1"/>
  <c r="Z71" i="1" s="1"/>
  <c r="X70" i="1"/>
  <c r="Z70" i="1" s="1"/>
  <c r="X69" i="1"/>
  <c r="Z69" i="1" s="1"/>
  <c r="X68" i="1"/>
  <c r="Z68" i="1" s="1"/>
  <c r="X67" i="1"/>
  <c r="Z67" i="1" s="1"/>
  <c r="X66" i="1"/>
  <c r="Z66" i="1" s="1"/>
  <c r="X65" i="1"/>
  <c r="Z65" i="1" s="1"/>
  <c r="X64" i="1"/>
  <c r="Z64" i="1" s="1"/>
  <c r="X63" i="1"/>
  <c r="Z63" i="1" s="1"/>
  <c r="X62" i="1"/>
  <c r="Z62" i="1" s="1"/>
  <c r="X61" i="1"/>
  <c r="Z61" i="1" s="1"/>
  <c r="X60" i="1"/>
  <c r="Z60" i="1" s="1"/>
  <c r="X59" i="1"/>
  <c r="Z59" i="1" s="1"/>
  <c r="X58" i="1"/>
  <c r="Z58" i="1" s="1"/>
  <c r="X57" i="1"/>
  <c r="Z57" i="1" s="1"/>
  <c r="X56" i="1"/>
  <c r="Z56" i="1" s="1"/>
  <c r="X55" i="1"/>
  <c r="Z55" i="1" s="1"/>
  <c r="X54" i="1"/>
  <c r="Z54" i="1" s="1"/>
  <c r="X53" i="1"/>
  <c r="Z53" i="1" s="1"/>
  <c r="X52" i="1"/>
  <c r="Z52" i="1" s="1"/>
  <c r="X51" i="1"/>
  <c r="Z51" i="1" s="1"/>
  <c r="X50" i="1"/>
  <c r="Z50" i="1" s="1"/>
  <c r="X49" i="1"/>
  <c r="Z49" i="1" s="1"/>
  <c r="X48" i="1"/>
  <c r="Z48" i="1" s="1"/>
  <c r="X47" i="1"/>
  <c r="X46" i="1"/>
  <c r="Z46" i="1" s="1"/>
  <c r="X45" i="1"/>
  <c r="Z45" i="1" s="1"/>
  <c r="X44" i="1"/>
  <c r="Z44" i="1" s="1"/>
  <c r="X43" i="1"/>
  <c r="Z43" i="1" s="1"/>
  <c r="X42" i="1"/>
  <c r="Z42" i="1" s="1"/>
  <c r="X41" i="1"/>
  <c r="Z41" i="1" s="1"/>
  <c r="X40" i="1"/>
  <c r="Z40" i="1" s="1"/>
  <c r="X39" i="1"/>
  <c r="Z39" i="1" s="1"/>
  <c r="X38" i="1"/>
  <c r="Z38" i="1" s="1"/>
  <c r="X37" i="1"/>
  <c r="Z37" i="1" s="1"/>
  <c r="X36" i="1"/>
  <c r="Z36" i="1" s="1"/>
  <c r="X35" i="1"/>
  <c r="Z35" i="1" s="1"/>
  <c r="X34" i="1"/>
  <c r="Z34" i="1" s="1"/>
  <c r="X33" i="1"/>
  <c r="Z33" i="1" s="1"/>
  <c r="X32" i="1"/>
  <c r="Z32" i="1" s="1"/>
  <c r="X31" i="1"/>
  <c r="X30" i="1"/>
  <c r="Z30" i="1" s="1"/>
  <c r="X29" i="1"/>
  <c r="Z29" i="1" s="1"/>
  <c r="X28" i="1"/>
  <c r="Z28" i="1" s="1"/>
  <c r="X27" i="1"/>
  <c r="Z27" i="1" s="1"/>
  <c r="X26" i="1"/>
  <c r="Z26" i="1" s="1"/>
  <c r="X25" i="1"/>
  <c r="Z25" i="1" s="1"/>
  <c r="X24" i="1"/>
  <c r="Z24" i="1" s="1"/>
  <c r="X23" i="1"/>
  <c r="Z23" i="1" s="1"/>
  <c r="X22" i="1"/>
  <c r="Z22" i="1" s="1"/>
  <c r="X21" i="1"/>
  <c r="Z21" i="1" s="1"/>
  <c r="X20" i="1"/>
  <c r="Z20" i="1" s="1"/>
  <c r="X19" i="1"/>
  <c r="Z19" i="1" s="1"/>
  <c r="X18" i="1"/>
  <c r="Z18" i="1" s="1"/>
  <c r="X17" i="1"/>
  <c r="Z17" i="1" s="1"/>
  <c r="X16" i="1"/>
  <c r="Z16" i="1" s="1"/>
  <c r="X15" i="1"/>
  <c r="Z15" i="1" s="1"/>
  <c r="X14" i="1"/>
  <c r="Z14" i="1" s="1"/>
  <c r="X13" i="1"/>
  <c r="Z13" i="1" s="1"/>
  <c r="X12" i="1"/>
  <c r="Z12" i="1" s="1"/>
  <c r="X11" i="1"/>
  <c r="Z11" i="1" s="1"/>
  <c r="X10" i="1"/>
  <c r="Z10" i="1" s="1"/>
  <c r="X9" i="1"/>
  <c r="Z9" i="1" s="1"/>
  <c r="X8" i="1"/>
  <c r="Z8" i="1" s="1"/>
  <c r="X7" i="1"/>
  <c r="Z7" i="1" s="1"/>
  <c r="X6" i="1"/>
  <c r="Z6" i="1" s="1"/>
  <c r="X5" i="1"/>
  <c r="Z5" i="1" s="1"/>
  <c r="X4" i="1"/>
  <c r="Z4" i="1" s="1"/>
  <c r="X3" i="1"/>
  <c r="Z3" i="1" s="1"/>
  <c r="X2" i="1"/>
  <c r="Z2" i="1" l="1"/>
  <c r="AI4" i="1"/>
  <c r="T917" i="1"/>
  <c r="R917" i="1"/>
  <c r="Q916" i="1"/>
  <c r="P916" i="1" s="1"/>
  <c r="AF916" i="1" s="1"/>
  <c r="Q828" i="1"/>
  <c r="R829" i="1"/>
  <c r="P827" i="1"/>
  <c r="AF827" i="1" s="1"/>
  <c r="T828" i="1"/>
  <c r="P430" i="1"/>
  <c r="AF430" i="1" s="1"/>
  <c r="AF536" i="1"/>
  <c r="AF498" i="1"/>
  <c r="P438" i="1"/>
  <c r="AF438" i="1" s="1"/>
  <c r="P559" i="1"/>
  <c r="AF559" i="1" s="1"/>
  <c r="AA362" i="1"/>
  <c r="AA394" i="1"/>
  <c r="AA302" i="1"/>
  <c r="AA322" i="1"/>
  <c r="AA335" i="1"/>
  <c r="AA303" i="1"/>
  <c r="AA382" i="1"/>
  <c r="AA306" i="1"/>
  <c r="R283" i="1"/>
  <c r="Q282" i="1"/>
  <c r="R341" i="1"/>
  <c r="Q340" i="1"/>
  <c r="R432" i="1"/>
  <c r="Q431" i="1"/>
  <c r="R440" i="1"/>
  <c r="Q439" i="1"/>
  <c r="P439" i="1" s="1"/>
  <c r="T561" i="1"/>
  <c r="R561" i="1"/>
  <c r="Q560" i="1"/>
  <c r="P560" i="1" s="1"/>
  <c r="R310" i="1"/>
  <c r="Q309" i="1"/>
  <c r="R538" i="1"/>
  <c r="Q537" i="1"/>
  <c r="R360" i="1"/>
  <c r="Q359" i="1"/>
  <c r="R407" i="1"/>
  <c r="Q406" i="1"/>
  <c r="R387" i="1"/>
  <c r="Q386" i="1"/>
  <c r="R500" i="1"/>
  <c r="Q499" i="1"/>
  <c r="P499" i="1" s="1"/>
  <c r="T538" i="1"/>
  <c r="U8" i="1"/>
  <c r="S159" i="1"/>
  <c r="S207" i="1"/>
  <c r="S247" i="1"/>
  <c r="U17" i="1"/>
  <c r="W33" i="1"/>
  <c r="W64" i="1"/>
  <c r="U80" i="1"/>
  <c r="S144" i="1"/>
  <c r="S152" i="1"/>
  <c r="S160" i="1"/>
  <c r="S168" i="1"/>
  <c r="S176" i="1"/>
  <c r="S184" i="1"/>
  <c r="S192" i="1"/>
  <c r="S200" i="1"/>
  <c r="S208" i="1"/>
  <c r="S216" i="1"/>
  <c r="S224" i="1"/>
  <c r="S232" i="1"/>
  <c r="R232" i="1" s="1"/>
  <c r="S240" i="1"/>
  <c r="S248" i="1"/>
  <c r="S256" i="1"/>
  <c r="S175" i="1"/>
  <c r="S223" i="1"/>
  <c r="S9" i="1"/>
  <c r="R9" i="1" s="1"/>
  <c r="W10" i="1"/>
  <c r="S18" i="1"/>
  <c r="S26" i="1"/>
  <c r="S42" i="1"/>
  <c r="S49" i="1"/>
  <c r="R49" i="1" s="1"/>
  <c r="S57" i="1"/>
  <c r="S81" i="1"/>
  <c r="U105" i="1"/>
  <c r="S113" i="1"/>
  <c r="S121" i="1"/>
  <c r="S129" i="1"/>
  <c r="S137" i="1"/>
  <c r="S145" i="1"/>
  <c r="S153" i="1"/>
  <c r="S161" i="1"/>
  <c r="S169" i="1"/>
  <c r="S177" i="1"/>
  <c r="S193" i="1"/>
  <c r="S201" i="1"/>
  <c r="S209" i="1"/>
  <c r="S217" i="1"/>
  <c r="R217" i="1" s="1"/>
  <c r="S225" i="1"/>
  <c r="S233" i="1"/>
  <c r="S241" i="1"/>
  <c r="S249" i="1"/>
  <c r="S257" i="1"/>
  <c r="S50" i="1"/>
  <c r="S66" i="1"/>
  <c r="S74" i="1"/>
  <c r="S146" i="1"/>
  <c r="S154" i="1"/>
  <c r="S162" i="1"/>
  <c r="S178" i="1"/>
  <c r="S186" i="1"/>
  <c r="S194" i="1"/>
  <c r="S202" i="1"/>
  <c r="S210" i="1"/>
  <c r="S218" i="1"/>
  <c r="S226" i="1"/>
  <c r="S234" i="1"/>
  <c r="S242" i="1"/>
  <c r="S250" i="1"/>
  <c r="S258" i="1"/>
  <c r="S135" i="1"/>
  <c r="S183" i="1"/>
  <c r="S58" i="1"/>
  <c r="W91" i="1"/>
  <c r="W107" i="1"/>
  <c r="U115" i="1"/>
  <c r="U123" i="1"/>
  <c r="T123" i="1" s="1"/>
  <c r="S131" i="1"/>
  <c r="S147" i="1"/>
  <c r="S155" i="1"/>
  <c r="R155" i="1" s="1"/>
  <c r="S163" i="1"/>
  <c r="S179" i="1"/>
  <c r="S187" i="1"/>
  <c r="S195" i="1"/>
  <c r="S203" i="1"/>
  <c r="S211" i="1"/>
  <c r="S219" i="1"/>
  <c r="S227" i="1"/>
  <c r="S235" i="1"/>
  <c r="S243" i="1"/>
  <c r="S259" i="1"/>
  <c r="R259" i="1" s="1"/>
  <c r="S167" i="1"/>
  <c r="S199" i="1"/>
  <c r="S239" i="1"/>
  <c r="S35" i="1"/>
  <c r="S21" i="1"/>
  <c r="S84" i="1"/>
  <c r="W92" i="1"/>
  <c r="U100" i="1"/>
  <c r="S108" i="1"/>
  <c r="S148" i="1"/>
  <c r="S156" i="1"/>
  <c r="S164" i="1"/>
  <c r="S172" i="1"/>
  <c r="S180" i="1"/>
  <c r="S188" i="1"/>
  <c r="S196" i="1"/>
  <c r="S204" i="1"/>
  <c r="S212" i="1"/>
  <c r="S220" i="1"/>
  <c r="S228" i="1"/>
  <c r="S236" i="1"/>
  <c r="S244" i="1"/>
  <c r="S252" i="1"/>
  <c r="W71" i="1"/>
  <c r="S151" i="1"/>
  <c r="S191" i="1"/>
  <c r="S231" i="1"/>
  <c r="S59" i="1"/>
  <c r="S22" i="1"/>
  <c r="S30" i="1"/>
  <c r="S38" i="1"/>
  <c r="S61" i="1"/>
  <c r="S69" i="1"/>
  <c r="U77" i="1"/>
  <c r="S93" i="1"/>
  <c r="S101" i="1"/>
  <c r="S109" i="1"/>
  <c r="W117" i="1"/>
  <c r="U125" i="1"/>
  <c r="S133" i="1"/>
  <c r="S141" i="1"/>
  <c r="W149" i="1"/>
  <c r="S157" i="1"/>
  <c r="S165" i="1"/>
  <c r="S173" i="1"/>
  <c r="S181" i="1"/>
  <c r="S189" i="1"/>
  <c r="S205" i="1"/>
  <c r="U213" i="1"/>
  <c r="S221" i="1"/>
  <c r="S229" i="1"/>
  <c r="S237" i="1"/>
  <c r="S245" i="1"/>
  <c r="S253" i="1"/>
  <c r="S143" i="1"/>
  <c r="S215" i="1"/>
  <c r="S27" i="1"/>
  <c r="W15" i="1"/>
  <c r="U47" i="1"/>
  <c r="W86" i="1"/>
  <c r="S118" i="1"/>
  <c r="S134" i="1"/>
  <c r="S150" i="1"/>
  <c r="S158" i="1"/>
  <c r="S166" i="1"/>
  <c r="S182" i="1"/>
  <c r="R182" i="1" s="1"/>
  <c r="S190" i="1"/>
  <c r="S198" i="1"/>
  <c r="S206" i="1"/>
  <c r="S214" i="1"/>
  <c r="S222" i="1"/>
  <c r="S230" i="1"/>
  <c r="S238" i="1"/>
  <c r="S246" i="1"/>
  <c r="S254" i="1"/>
  <c r="AA286" i="1"/>
  <c r="AA298" i="1"/>
  <c r="AA330" i="1"/>
  <c r="AA275" i="1"/>
  <c r="AA271" i="1"/>
  <c r="N298" i="1"/>
  <c r="N299" i="1" s="1"/>
  <c r="N300" i="1" s="1"/>
  <c r="N301" i="1" s="1"/>
  <c r="AB298" i="1"/>
  <c r="N394" i="1"/>
  <c r="N395" i="1" s="1"/>
  <c r="N396" i="1" s="1"/>
  <c r="N397" i="1" s="1"/>
  <c r="AB394" i="1"/>
  <c r="N263" i="1"/>
  <c r="N264" i="1" s="1"/>
  <c r="N265" i="1" s="1"/>
  <c r="N266" i="1" s="1"/>
  <c r="AB263" i="1"/>
  <c r="AB291" i="1"/>
  <c r="N410" i="1"/>
  <c r="N411" i="1" s="1"/>
  <c r="N412" i="1" s="1"/>
  <c r="N413" i="1" s="1"/>
  <c r="AB410" i="1"/>
  <c r="N302" i="1"/>
  <c r="AB302" i="1"/>
  <c r="N279" i="1"/>
  <c r="N280" i="1" s="1"/>
  <c r="N281" i="1" s="1"/>
  <c r="AB279" i="1"/>
  <c r="N371" i="1"/>
  <c r="N372" i="1" s="1"/>
  <c r="N373" i="1" s="1"/>
  <c r="N374" i="1" s="1"/>
  <c r="AB371" i="1"/>
  <c r="N325" i="1"/>
  <c r="N326" i="1" s="1"/>
  <c r="N327" i="1" s="1"/>
  <c r="N328" i="1" s="1"/>
  <c r="AB325" i="1"/>
  <c r="N375" i="1"/>
  <c r="AB375" i="1"/>
  <c r="N282" i="1"/>
  <c r="N283" i="1" s="1"/>
  <c r="N284" i="1" s="1"/>
  <c r="N285" i="1" s="1"/>
  <c r="AB282" i="1"/>
  <c r="N344" i="1"/>
  <c r="N345" i="1" s="1"/>
  <c r="N346" i="1" s="1"/>
  <c r="N347" i="1" s="1"/>
  <c r="AB344" i="1"/>
  <c r="N359" i="1"/>
  <c r="N360" i="1" s="1"/>
  <c r="N361" i="1" s="1"/>
  <c r="N362" i="1" s="1"/>
  <c r="AB359" i="1"/>
  <c r="N379" i="1"/>
  <c r="AB379" i="1"/>
  <c r="N309" i="1"/>
  <c r="N310" i="1" s="1"/>
  <c r="N311" i="1" s="1"/>
  <c r="N312" i="1" s="1"/>
  <c r="AB309" i="1"/>
  <c r="AB368" i="1"/>
  <c r="AA383" i="1"/>
  <c r="N294" i="1"/>
  <c r="N295" i="1" s="1"/>
  <c r="N296" i="1" s="1"/>
  <c r="N297" i="1" s="1"/>
  <c r="AB294" i="1"/>
  <c r="N406" i="1"/>
  <c r="N407" i="1" s="1"/>
  <c r="N408" i="1" s="1"/>
  <c r="N409" i="1" s="1"/>
  <c r="AB406" i="1"/>
  <c r="N306" i="1"/>
  <c r="N307" i="1" s="1"/>
  <c r="N308" i="1" s="1"/>
  <c r="AB306" i="1"/>
  <c r="N348" i="1"/>
  <c r="N349" i="1" s="1"/>
  <c r="N350" i="1" s="1"/>
  <c r="N351" i="1" s="1"/>
  <c r="AB348" i="1"/>
  <c r="N267" i="1"/>
  <c r="N268" i="1" s="1"/>
  <c r="N269" i="1" s="1"/>
  <c r="N270" i="1" s="1"/>
  <c r="AB267" i="1"/>
  <c r="N313" i="1"/>
  <c r="N314" i="1" s="1"/>
  <c r="N315" i="1" s="1"/>
  <c r="N316" i="1" s="1"/>
  <c r="AB313" i="1"/>
  <c r="AA326" i="1"/>
  <c r="N383" i="1"/>
  <c r="N384" i="1" s="1"/>
  <c r="N385" i="1" s="1"/>
  <c r="AB383" i="1"/>
  <c r="N317" i="1"/>
  <c r="N318" i="1" s="1"/>
  <c r="N319" i="1" s="1"/>
  <c r="N320" i="1" s="1"/>
  <c r="AB317" i="1"/>
  <c r="N398" i="1"/>
  <c r="N399" i="1" s="1"/>
  <c r="N400" i="1" s="1"/>
  <c r="N401" i="1" s="1"/>
  <c r="AB398" i="1"/>
  <c r="N386" i="1"/>
  <c r="N387" i="1" s="1"/>
  <c r="N388" i="1" s="1"/>
  <c r="N389" i="1" s="1"/>
  <c r="AB386" i="1"/>
  <c r="N337" i="1"/>
  <c r="N338" i="1" s="1"/>
  <c r="N339" i="1" s="1"/>
  <c r="AB337" i="1"/>
  <c r="N329" i="1"/>
  <c r="N330" i="1" s="1"/>
  <c r="N331" i="1" s="1"/>
  <c r="N332" i="1" s="1"/>
  <c r="AB329" i="1"/>
  <c r="N352" i="1"/>
  <c r="N353" i="1" s="1"/>
  <c r="N354" i="1" s="1"/>
  <c r="N355" i="1" s="1"/>
  <c r="AB352" i="1"/>
  <c r="N286" i="1"/>
  <c r="N287" i="1" s="1"/>
  <c r="N288" i="1" s="1"/>
  <c r="N289" i="1" s="1"/>
  <c r="AB286" i="1"/>
  <c r="N340" i="1"/>
  <c r="N341" i="1" s="1"/>
  <c r="N342" i="1" s="1"/>
  <c r="N343" i="1" s="1"/>
  <c r="AB340" i="1"/>
  <c r="N390" i="1"/>
  <c r="N391" i="1" s="1"/>
  <c r="N392" i="1" s="1"/>
  <c r="N393" i="1" s="1"/>
  <c r="AB390" i="1"/>
  <c r="N402" i="1"/>
  <c r="N403" i="1" s="1"/>
  <c r="N404" i="1" s="1"/>
  <c r="N405" i="1" s="1"/>
  <c r="AB402" i="1"/>
  <c r="AA287" i="1"/>
  <c r="N363" i="1"/>
  <c r="N364" i="1" s="1"/>
  <c r="N365" i="1" s="1"/>
  <c r="N366" i="1" s="1"/>
  <c r="AB363" i="1"/>
  <c r="N275" i="1"/>
  <c r="N276" i="1" s="1"/>
  <c r="N277" i="1" s="1"/>
  <c r="N278" i="1" s="1"/>
  <c r="AB275" i="1"/>
  <c r="N356" i="1"/>
  <c r="N357" i="1" s="1"/>
  <c r="N358" i="1" s="1"/>
  <c r="AB356" i="1"/>
  <c r="N271" i="1"/>
  <c r="N272" i="1" s="1"/>
  <c r="N273" i="1" s="1"/>
  <c r="N274" i="1" s="1"/>
  <c r="AB271" i="1"/>
  <c r="N333" i="1"/>
  <c r="N334" i="1" s="1"/>
  <c r="N335" i="1" s="1"/>
  <c r="N336" i="1" s="1"/>
  <c r="AB333" i="1"/>
  <c r="N321" i="1"/>
  <c r="N322" i="1" s="1"/>
  <c r="N323" i="1" s="1"/>
  <c r="N324" i="1" s="1"/>
  <c r="AB321" i="1"/>
  <c r="N290" i="1"/>
  <c r="N291" i="1" s="1"/>
  <c r="N292" i="1" s="1"/>
  <c r="N293" i="1" s="1"/>
  <c r="AB290" i="1"/>
  <c r="N367" i="1"/>
  <c r="N368" i="1" s="1"/>
  <c r="N369" i="1" s="1"/>
  <c r="N370" i="1" s="1"/>
  <c r="AB367" i="1"/>
  <c r="AA391" i="1"/>
  <c r="W35" i="1"/>
  <c r="U108" i="1"/>
  <c r="AA332" i="1"/>
  <c r="AA279" i="1"/>
  <c r="AA323" i="1"/>
  <c r="W8" i="1"/>
  <c r="AA294" i="1"/>
  <c r="AA366" i="1"/>
  <c r="W17" i="1"/>
  <c r="W131" i="1"/>
  <c r="U153" i="1"/>
  <c r="AA358" i="1"/>
  <c r="AA315" i="1"/>
  <c r="AA395" i="1"/>
  <c r="AA363" i="1"/>
  <c r="AA355" i="1"/>
  <c r="AA316" i="1"/>
  <c r="AA356" i="1"/>
  <c r="U89" i="1"/>
  <c r="S89" i="1"/>
  <c r="W5" i="1"/>
  <c r="S5" i="1"/>
  <c r="U10" i="1"/>
  <c r="S10" i="1"/>
  <c r="S29" i="1"/>
  <c r="W43" i="1"/>
  <c r="S43" i="1"/>
  <c r="S70" i="1"/>
  <c r="W83" i="1"/>
  <c r="S83" i="1"/>
  <c r="W90" i="1"/>
  <c r="S90" i="1"/>
  <c r="U96" i="1"/>
  <c r="S96" i="1"/>
  <c r="S103" i="1"/>
  <c r="W108" i="1"/>
  <c r="S127" i="1"/>
  <c r="W142" i="1"/>
  <c r="S142" i="1"/>
  <c r="U149" i="1"/>
  <c r="S149" i="1"/>
  <c r="U170" i="1"/>
  <c r="S170" i="1"/>
  <c r="U186" i="1"/>
  <c r="W255" i="1"/>
  <c r="S255" i="1"/>
  <c r="AA278" i="1"/>
  <c r="U16" i="1"/>
  <c r="S16" i="1"/>
  <c r="W56" i="1"/>
  <c r="S56" i="1"/>
  <c r="U114" i="1"/>
  <c r="S114" i="1"/>
  <c r="S11" i="1"/>
  <c r="U44" i="1"/>
  <c r="S44" i="1"/>
  <c r="U64" i="1"/>
  <c r="T64" i="1" s="1"/>
  <c r="S64" i="1"/>
  <c r="R64" i="1" s="1"/>
  <c r="S77" i="1"/>
  <c r="S97" i="1"/>
  <c r="U104" i="1"/>
  <c r="S104" i="1"/>
  <c r="W115" i="1"/>
  <c r="S115" i="1"/>
  <c r="U122" i="1"/>
  <c r="S122" i="1"/>
  <c r="S128" i="1"/>
  <c r="W171" i="1"/>
  <c r="S171" i="1"/>
  <c r="AA299" i="1"/>
  <c r="AA340" i="1"/>
  <c r="AA296" i="1"/>
  <c r="AA342" i="1"/>
  <c r="AA331" i="1"/>
  <c r="AA387" i="1"/>
  <c r="AA403" i="1"/>
  <c r="T500" i="1"/>
  <c r="S6" i="1"/>
  <c r="W23" i="1"/>
  <c r="S23" i="1"/>
  <c r="U36" i="1"/>
  <c r="S36" i="1"/>
  <c r="S51" i="1"/>
  <c r="S7" i="1"/>
  <c r="U12" i="1"/>
  <c r="S12" i="1"/>
  <c r="S17" i="1"/>
  <c r="U24" i="1"/>
  <c r="O31" i="1"/>
  <c r="AB31" i="1" s="1"/>
  <c r="S31" i="1"/>
  <c r="U37" i="1"/>
  <c r="S37" i="1"/>
  <c r="S45" i="1"/>
  <c r="S52" i="1"/>
  <c r="W59" i="1"/>
  <c r="W65" i="1"/>
  <c r="S65" i="1"/>
  <c r="S71" i="1"/>
  <c r="S78" i="1"/>
  <c r="S85" i="1"/>
  <c r="S91" i="1"/>
  <c r="W98" i="1"/>
  <c r="S98" i="1"/>
  <c r="S116" i="1"/>
  <c r="U136" i="1"/>
  <c r="S136" i="1"/>
  <c r="W158" i="1"/>
  <c r="W165" i="1"/>
  <c r="W203" i="1"/>
  <c r="AA378" i="1"/>
  <c r="AA289" i="1"/>
  <c r="AA407" i="1"/>
  <c r="AA318" i="1"/>
  <c r="AA292" i="1"/>
  <c r="AA396" i="1"/>
  <c r="AA268" i="1"/>
  <c r="T432" i="1"/>
  <c r="S4" i="1"/>
  <c r="U28" i="1"/>
  <c r="S28" i="1"/>
  <c r="S102" i="1"/>
  <c r="U13" i="1"/>
  <c r="S13" i="1"/>
  <c r="U32" i="1"/>
  <c r="S32" i="1"/>
  <c r="U53" i="1"/>
  <c r="S53" i="1"/>
  <c r="W110" i="1"/>
  <c r="S110" i="1"/>
  <c r="W123" i="1"/>
  <c r="S123" i="1"/>
  <c r="R123" i="1" s="1"/>
  <c r="W82" i="1"/>
  <c r="S82" i="1"/>
  <c r="U185" i="1"/>
  <c r="S185" i="1"/>
  <c r="S79" i="1"/>
  <c r="S99" i="1"/>
  <c r="S60" i="1"/>
  <c r="U117" i="1"/>
  <c r="S117" i="1"/>
  <c r="W124" i="1"/>
  <c r="S124" i="1"/>
  <c r="U138" i="1"/>
  <c r="S138" i="1"/>
  <c r="W174" i="1"/>
  <c r="S174" i="1"/>
  <c r="W197" i="1"/>
  <c r="S197" i="1"/>
  <c r="U251" i="1"/>
  <c r="S251" i="1"/>
  <c r="AA359" i="1"/>
  <c r="S63" i="1"/>
  <c r="S95" i="1"/>
  <c r="S126" i="1"/>
  <c r="W24" i="1"/>
  <c r="S24" i="1"/>
  <c r="S46" i="1"/>
  <c r="S105" i="1"/>
  <c r="S14" i="1"/>
  <c r="W25" i="1"/>
  <c r="S25" i="1"/>
  <c r="W67" i="1"/>
  <c r="S67" i="1"/>
  <c r="S86" i="1"/>
  <c r="W106" i="1"/>
  <c r="S106" i="1"/>
  <c r="AI11" i="1"/>
  <c r="Y2" i="2" s="1"/>
  <c r="S2" i="1"/>
  <c r="R2" i="1" s="1"/>
  <c r="U2" i="1"/>
  <c r="T2" i="1" s="1"/>
  <c r="U33" i="1"/>
  <c r="T33" i="1" s="1"/>
  <c r="S33" i="1"/>
  <c r="R33" i="1" s="1"/>
  <c r="W40" i="1"/>
  <c r="S40" i="1"/>
  <c r="O47" i="1"/>
  <c r="AB47" i="1" s="1"/>
  <c r="S47" i="1"/>
  <c r="S55" i="1"/>
  <c r="W68" i="1"/>
  <c r="S68" i="1"/>
  <c r="S80" i="1"/>
  <c r="U87" i="1"/>
  <c r="T87" i="1" s="1"/>
  <c r="S87" i="1"/>
  <c r="R87" i="1" s="1"/>
  <c r="W100" i="1"/>
  <c r="S100" i="1"/>
  <c r="S112" i="1"/>
  <c r="W139" i="1"/>
  <c r="S139" i="1"/>
  <c r="U76" i="1"/>
  <c r="S76" i="1"/>
  <c r="S120" i="1"/>
  <c r="W72" i="1"/>
  <c r="S72" i="1"/>
  <c r="U130" i="1"/>
  <c r="S130" i="1"/>
  <c r="W19" i="1"/>
  <c r="S19" i="1"/>
  <c r="W39" i="1"/>
  <c r="S39" i="1"/>
  <c r="S54" i="1"/>
  <c r="W73" i="1"/>
  <c r="S73" i="1"/>
  <c r="U92" i="1"/>
  <c r="S92" i="1"/>
  <c r="S111" i="1"/>
  <c r="S8" i="1"/>
  <c r="U20" i="1"/>
  <c r="S20" i="1"/>
  <c r="S3" i="1"/>
  <c r="U15" i="1"/>
  <c r="S15" i="1"/>
  <c r="U21" i="1"/>
  <c r="S34" i="1"/>
  <c r="W41" i="1"/>
  <c r="S41" i="1"/>
  <c r="W48" i="1"/>
  <c r="S48" i="1"/>
  <c r="U56" i="1"/>
  <c r="S62" i="1"/>
  <c r="U69" i="1"/>
  <c r="W75" i="1"/>
  <c r="S75" i="1"/>
  <c r="U88" i="1"/>
  <c r="S88" i="1"/>
  <c r="S94" i="1"/>
  <c r="S107" i="1"/>
  <c r="S119" i="1"/>
  <c r="W125" i="1"/>
  <c r="S125" i="1"/>
  <c r="W132" i="1"/>
  <c r="S132" i="1"/>
  <c r="W140" i="1"/>
  <c r="S140" i="1"/>
  <c r="W213" i="1"/>
  <c r="S213" i="1"/>
  <c r="AA265" i="1"/>
  <c r="AA369" i="1"/>
  <c r="AA360" i="1"/>
  <c r="AA295" i="1"/>
  <c r="AA319" i="1"/>
  <c r="AA327" i="1"/>
  <c r="AA262" i="1"/>
  <c r="N380" i="1"/>
  <c r="N381" i="1" s="1"/>
  <c r="N382" i="1" s="1"/>
  <c r="AA284" i="1"/>
  <c r="AA307" i="1"/>
  <c r="AA371" i="1"/>
  <c r="AA276" i="1"/>
  <c r="T440" i="1"/>
  <c r="W16" i="1"/>
  <c r="W32" i="1"/>
  <c r="U73" i="1"/>
  <c r="W79" i="1"/>
  <c r="W94" i="1"/>
  <c r="W99" i="1"/>
  <c r="AA390" i="1"/>
  <c r="U4" i="1"/>
  <c r="U39" i="1"/>
  <c r="U48" i="1"/>
  <c r="W60" i="1"/>
  <c r="U65" i="1"/>
  <c r="W126" i="1"/>
  <c r="W4" i="1"/>
  <c r="U29" i="1"/>
  <c r="U97" i="1"/>
  <c r="U140" i="1"/>
  <c r="N303" i="1"/>
  <c r="N304" i="1" s="1"/>
  <c r="N305" i="1" s="1"/>
  <c r="U40" i="1"/>
  <c r="U45" i="1"/>
  <c r="U83" i="1"/>
  <c r="W102" i="1"/>
  <c r="AA354" i="1"/>
  <c r="AA260" i="1"/>
  <c r="AA372" i="1"/>
  <c r="AA347" i="1"/>
  <c r="AA370" i="1"/>
  <c r="AA405" i="1"/>
  <c r="AA375" i="1"/>
  <c r="AA388" i="1"/>
  <c r="AA277" i="1"/>
  <c r="U6" i="1"/>
  <c r="U25" i="1"/>
  <c r="W51" i="1"/>
  <c r="W63" i="1"/>
  <c r="O42" i="1"/>
  <c r="AB42" i="1" s="1"/>
  <c r="W61" i="1"/>
  <c r="O61" i="1"/>
  <c r="O81" i="1"/>
  <c r="AB81" i="1" s="1"/>
  <c r="O191" i="1"/>
  <c r="AB191" i="1" s="1"/>
  <c r="O250" i="1"/>
  <c r="AB250" i="1" s="1"/>
  <c r="AA282" i="1"/>
  <c r="AA344" i="1"/>
  <c r="O2" i="1"/>
  <c r="W6" i="1"/>
  <c r="O16" i="1"/>
  <c r="AB16" i="1" s="1"/>
  <c r="O20" i="1"/>
  <c r="AB20" i="1" s="1"/>
  <c r="U35" i="1"/>
  <c r="O35" i="1"/>
  <c r="AB35" i="1" s="1"/>
  <c r="O39" i="1"/>
  <c r="AB39" i="1" s="1"/>
  <c r="W47" i="1"/>
  <c r="AA47" i="1" s="1"/>
  <c r="O50" i="1"/>
  <c r="AB50" i="1" s="1"/>
  <c r="W55" i="1"/>
  <c r="O58" i="1"/>
  <c r="AB58" i="1" s="1"/>
  <c r="W62" i="1"/>
  <c r="O62" i="1"/>
  <c r="AB62" i="1" s="1"/>
  <c r="O65" i="1"/>
  <c r="AB65" i="1" s="1"/>
  <c r="O69" i="1"/>
  <c r="AB69" i="1" s="1"/>
  <c r="O77" i="1"/>
  <c r="AB77" i="1" s="1"/>
  <c r="U85" i="1"/>
  <c r="O85" i="1"/>
  <c r="AB85" i="1" s="1"/>
  <c r="O89" i="1"/>
  <c r="AB89" i="1" s="1"/>
  <c r="O92" i="1"/>
  <c r="AB92" i="1" s="1"/>
  <c r="O97" i="1"/>
  <c r="AB97" i="1" s="1"/>
  <c r="O100" i="1"/>
  <c r="AB100" i="1" s="1"/>
  <c r="O105" i="1"/>
  <c r="AB105" i="1" s="1"/>
  <c r="O108" i="1"/>
  <c r="AB108" i="1" s="1"/>
  <c r="O122" i="1"/>
  <c r="AB122" i="1" s="1"/>
  <c r="O130" i="1"/>
  <c r="AB130" i="1" s="1"/>
  <c r="O146" i="1"/>
  <c r="AB146" i="1" s="1"/>
  <c r="O152" i="1"/>
  <c r="AB152" i="1" s="1"/>
  <c r="U158" i="1"/>
  <c r="O158" i="1"/>
  <c r="AB158" i="1" s="1"/>
  <c r="U165" i="1"/>
  <c r="O165" i="1"/>
  <c r="AB165" i="1" s="1"/>
  <c r="U171" i="1"/>
  <c r="O171" i="1"/>
  <c r="O178" i="1"/>
  <c r="AB178" i="1" s="1"/>
  <c r="O185" i="1"/>
  <c r="AB185" i="1" s="1"/>
  <c r="O192" i="1"/>
  <c r="AB192" i="1" s="1"/>
  <c r="O199" i="1"/>
  <c r="AB199" i="1" s="1"/>
  <c r="U206" i="1"/>
  <c r="O206" i="1"/>
  <c r="O220" i="1"/>
  <c r="AB220" i="1" s="1"/>
  <c r="W228" i="1"/>
  <c r="O228" i="1"/>
  <c r="AB228" i="1" s="1"/>
  <c r="W235" i="1"/>
  <c r="O235" i="1"/>
  <c r="AB235" i="1" s="1"/>
  <c r="W243" i="1"/>
  <c r="O243" i="1"/>
  <c r="AB243" i="1" s="1"/>
  <c r="O257" i="1"/>
  <c r="AB257" i="1" s="1"/>
  <c r="AA280" i="1"/>
  <c r="AA317" i="1"/>
  <c r="AA392" i="1"/>
  <c r="AA398" i="1"/>
  <c r="AA283" i="1"/>
  <c r="AA300" i="1"/>
  <c r="AA386" i="1"/>
  <c r="AA348" i="1"/>
  <c r="AA267" i="1"/>
  <c r="AA285" i="1"/>
  <c r="AA308" i="1"/>
  <c r="AA313" i="1"/>
  <c r="AA389" i="1"/>
  <c r="O84" i="1"/>
  <c r="O151" i="1"/>
  <c r="U177" i="1"/>
  <c r="O177" i="1"/>
  <c r="AB177" i="1" s="1"/>
  <c r="U198" i="1"/>
  <c r="O198" i="1"/>
  <c r="O242" i="1"/>
  <c r="AB242" i="1" s="1"/>
  <c r="O147" i="1"/>
  <c r="O179" i="1"/>
  <c r="O207" i="1"/>
  <c r="AB207" i="1" s="1"/>
  <c r="O236" i="1"/>
  <c r="O244" i="1"/>
  <c r="W251" i="1"/>
  <c r="O251" i="1"/>
  <c r="AB251" i="1" s="1"/>
  <c r="O258" i="1"/>
  <c r="AB258" i="1" s="1"/>
  <c r="AA337" i="1"/>
  <c r="AA288" i="1"/>
  <c r="AA320" i="1"/>
  <c r="AA273" i="1"/>
  <c r="AA297" i="1"/>
  <c r="AA329" i="1"/>
  <c r="AA352" i="1"/>
  <c r="AA376" i="1"/>
  <c r="O9" i="1"/>
  <c r="U27" i="1"/>
  <c r="O27" i="1"/>
  <c r="AB27" i="1" s="1"/>
  <c r="O227" i="1"/>
  <c r="AB227" i="1" s="1"/>
  <c r="AA368" i="1"/>
  <c r="AA406" i="1"/>
  <c r="O6" i="1"/>
  <c r="O28" i="1"/>
  <c r="AB28" i="1" s="1"/>
  <c r="U43" i="1"/>
  <c r="O43" i="1"/>
  <c r="AB43" i="1" s="1"/>
  <c r="W70" i="1"/>
  <c r="O70" i="1"/>
  <c r="AB70" i="1" s="1"/>
  <c r="W78" i="1"/>
  <c r="O78" i="1"/>
  <c r="AB78" i="1" s="1"/>
  <c r="O82" i="1"/>
  <c r="AB82" i="1" s="1"/>
  <c r="U93" i="1"/>
  <c r="O93" i="1"/>
  <c r="AB93" i="1" s="1"/>
  <c r="U101" i="1"/>
  <c r="O101" i="1"/>
  <c r="AB101" i="1" s="1"/>
  <c r="U109" i="1"/>
  <c r="O109" i="1"/>
  <c r="AB109" i="1" s="1"/>
  <c r="O125" i="1"/>
  <c r="AB125" i="1" s="1"/>
  <c r="O140" i="1"/>
  <c r="AB140" i="1" s="1"/>
  <c r="U166" i="1"/>
  <c r="O166" i="1"/>
  <c r="AB166" i="1" s="1"/>
  <c r="O200" i="1"/>
  <c r="AB200" i="1" s="1"/>
  <c r="O229" i="1"/>
  <c r="O10" i="1"/>
  <c r="O36" i="1"/>
  <c r="AB36" i="1" s="1"/>
  <c r="O74" i="1"/>
  <c r="AB74" i="1" s="1"/>
  <c r="O86" i="1"/>
  <c r="AB86" i="1" s="1"/>
  <c r="O90" i="1"/>
  <c r="AB90" i="1" s="1"/>
  <c r="O98" i="1"/>
  <c r="AB98" i="1" s="1"/>
  <c r="O106" i="1"/>
  <c r="AB106" i="1" s="1"/>
  <c r="O117" i="1"/>
  <c r="AB117" i="1" s="1"/>
  <c r="O131" i="1"/>
  <c r="O153" i="1"/>
  <c r="AB153" i="1" s="1"/>
  <c r="U173" i="1"/>
  <c r="O173" i="1"/>
  <c r="AB173" i="1" s="1"/>
  <c r="U201" i="1"/>
  <c r="O201" i="1"/>
  <c r="AB201" i="1" s="1"/>
  <c r="U230" i="1"/>
  <c r="O230" i="1"/>
  <c r="AB230" i="1" s="1"/>
  <c r="W259" i="1"/>
  <c r="O259" i="1"/>
  <c r="AA266" i="1"/>
  <c r="AA328" i="1"/>
  <c r="AA349" i="1"/>
  <c r="AA399" i="1"/>
  <c r="AA374" i="1"/>
  <c r="AA304" i="1"/>
  <c r="AA402" i="1"/>
  <c r="AA264" i="1"/>
  <c r="AA281" i="1"/>
  <c r="N376" i="1"/>
  <c r="N377" i="1" s="1"/>
  <c r="N378" i="1" s="1"/>
  <c r="O17" i="1"/>
  <c r="W22" i="1"/>
  <c r="O22" i="1"/>
  <c r="AB22" i="1" s="1"/>
  <c r="O29" i="1"/>
  <c r="O40" i="1"/>
  <c r="AB40" i="1" s="1"/>
  <c r="O44" i="1"/>
  <c r="AB44" i="1" s="1"/>
  <c r="U52" i="1"/>
  <c r="U60" i="1"/>
  <c r="U67" i="1"/>
  <c r="O67" i="1"/>
  <c r="AB67" i="1" s="1"/>
  <c r="O71" i="1"/>
  <c r="AB71" i="1" s="1"/>
  <c r="O79" i="1"/>
  <c r="AB79" i="1" s="1"/>
  <c r="U91" i="1"/>
  <c r="O94" i="1"/>
  <c r="AB94" i="1" s="1"/>
  <c r="U99" i="1"/>
  <c r="O102" i="1"/>
  <c r="AB102" i="1" s="1"/>
  <c r="U107" i="1"/>
  <c r="O110" i="1"/>
  <c r="AB110" i="1" s="1"/>
  <c r="W118" i="1"/>
  <c r="O118" i="1"/>
  <c r="AB118" i="1" s="1"/>
  <c r="O123" i="1"/>
  <c r="O126" i="1"/>
  <c r="AB126" i="1" s="1"/>
  <c r="O154" i="1"/>
  <c r="AB154" i="1" s="1"/>
  <c r="U161" i="1"/>
  <c r="O161" i="1"/>
  <c r="AB161" i="1" s="1"/>
  <c r="O168" i="1"/>
  <c r="AB168" i="1" s="1"/>
  <c r="U181" i="1"/>
  <c r="O181" i="1"/>
  <c r="AB181" i="1" s="1"/>
  <c r="U187" i="1"/>
  <c r="O187" i="1"/>
  <c r="AB187" i="1" s="1"/>
  <c r="O195" i="1"/>
  <c r="AB195" i="1" s="1"/>
  <c r="O202" i="1"/>
  <c r="U209" i="1"/>
  <c r="O209" i="1"/>
  <c r="AB209" i="1" s="1"/>
  <c r="O215" i="1"/>
  <c r="AB215" i="1" s="1"/>
  <c r="O223" i="1"/>
  <c r="AB223" i="1" s="1"/>
  <c r="O231" i="1"/>
  <c r="AB231" i="1" s="1"/>
  <c r="O238" i="1"/>
  <c r="AB238" i="1" s="1"/>
  <c r="O246" i="1"/>
  <c r="AB246" i="1" s="1"/>
  <c r="O253" i="1"/>
  <c r="AB253" i="1" s="1"/>
  <c r="AA409" i="1"/>
  <c r="AA312" i="1"/>
  <c r="AA343" i="1"/>
  <c r="AA261" i="1"/>
  <c r="AA310" i="1"/>
  <c r="AA311" i="1"/>
  <c r="AA293" i="1"/>
  <c r="AA333" i="1"/>
  <c r="AA377" i="1"/>
  <c r="AA321" i="1"/>
  <c r="AA357" i="1"/>
  <c r="AA381" i="1"/>
  <c r="AA393" i="1"/>
  <c r="O49" i="1"/>
  <c r="O113" i="1"/>
  <c r="AB113" i="1" s="1"/>
  <c r="O256" i="1"/>
  <c r="AA400" i="1"/>
  <c r="O13" i="1"/>
  <c r="O55" i="1"/>
  <c r="AB55" i="1" s="1"/>
  <c r="O73" i="1"/>
  <c r="AB73" i="1" s="1"/>
  <c r="O114" i="1"/>
  <c r="AB114" i="1" s="1"/>
  <c r="O159" i="1"/>
  <c r="O213" i="1"/>
  <c r="AB213" i="1" s="1"/>
  <c r="W7" i="1"/>
  <c r="O7" i="1"/>
  <c r="AB7" i="1" s="1"/>
  <c r="W14" i="1"/>
  <c r="O14" i="1"/>
  <c r="AB14" i="1" s="1"/>
  <c r="O21" i="1"/>
  <c r="O32" i="1"/>
  <c r="AB32" i="1" s="1"/>
  <c r="U59" i="1"/>
  <c r="O59" i="1"/>
  <c r="AB59" i="1" s="1"/>
  <c r="W148" i="1"/>
  <c r="O148" i="1"/>
  <c r="AB148" i="1" s="1"/>
  <c r="O167" i="1"/>
  <c r="O186" i="1"/>
  <c r="O208" i="1"/>
  <c r="AB208" i="1" s="1"/>
  <c r="U222" i="1"/>
  <c r="O222" i="1"/>
  <c r="AB222" i="1" s="1"/>
  <c r="O245" i="1"/>
  <c r="AB245" i="1" s="1"/>
  <c r="O4" i="1"/>
  <c r="AB4" i="1" s="1"/>
  <c r="O25" i="1"/>
  <c r="O37" i="1"/>
  <c r="U41" i="1"/>
  <c r="O48" i="1"/>
  <c r="AB48" i="1" s="1"/>
  <c r="O52" i="1"/>
  <c r="AB52" i="1" s="1"/>
  <c r="O56" i="1"/>
  <c r="AB56" i="1" s="1"/>
  <c r="U68" i="1"/>
  <c r="U72" i="1"/>
  <c r="U75" i="1"/>
  <c r="O75" i="1"/>
  <c r="AB75" i="1" s="1"/>
  <c r="O83" i="1"/>
  <c r="AB83" i="1" s="1"/>
  <c r="O87" i="1"/>
  <c r="O95" i="1"/>
  <c r="O103" i="1"/>
  <c r="U111" i="1"/>
  <c r="O111" i="1"/>
  <c r="O115" i="1"/>
  <c r="O119" i="1"/>
  <c r="U124" i="1"/>
  <c r="O127" i="1"/>
  <c r="U132" i="1"/>
  <c r="O132" i="1"/>
  <c r="AB132" i="1" s="1"/>
  <c r="O138" i="1"/>
  <c r="AB138" i="1" s="1"/>
  <c r="O142" i="1"/>
  <c r="AB142" i="1" s="1"/>
  <c r="O155" i="1"/>
  <c r="O162" i="1"/>
  <c r="AB162" i="1" s="1"/>
  <c r="O169" i="1"/>
  <c r="AB169" i="1" s="1"/>
  <c r="U174" i="1"/>
  <c r="O174" i="1"/>
  <c r="AB174" i="1" s="1"/>
  <c r="U182" i="1"/>
  <c r="O182" i="1"/>
  <c r="O188" i="1"/>
  <c r="AB188" i="1" s="1"/>
  <c r="U196" i="1"/>
  <c r="O196" i="1"/>
  <c r="AB196" i="1" s="1"/>
  <c r="O210" i="1"/>
  <c r="O216" i="1"/>
  <c r="AB216" i="1" s="1"/>
  <c r="O224" i="1"/>
  <c r="AB224" i="1" s="1"/>
  <c r="O232" i="1"/>
  <c r="O239" i="1"/>
  <c r="AB239" i="1" s="1"/>
  <c r="O247" i="1"/>
  <c r="AB247" i="1" s="1"/>
  <c r="W254" i="1"/>
  <c r="O254" i="1"/>
  <c r="AB254" i="1" s="1"/>
  <c r="AA305" i="1"/>
  <c r="AA346" i="1"/>
  <c r="AA269" i="1"/>
  <c r="AA350" i="1"/>
  <c r="AA380" i="1"/>
  <c r="AA341" i="1"/>
  <c r="AA364" i="1"/>
  <c r="AA401" i="1"/>
  <c r="AA353" i="1"/>
  <c r="AA367" i="1"/>
  <c r="AA351" i="1"/>
  <c r="AA338" i="1"/>
  <c r="AA314" i="1"/>
  <c r="AA334" i="1"/>
  <c r="AA385" i="1"/>
  <c r="O57" i="1"/>
  <c r="O116" i="1"/>
  <c r="AB116" i="1" s="1"/>
  <c r="U145" i="1"/>
  <c r="O145" i="1"/>
  <c r="AB145" i="1" s="1"/>
  <c r="O219" i="1"/>
  <c r="AB219" i="1" s="1"/>
  <c r="AA336" i="1"/>
  <c r="U3" i="1"/>
  <c r="O3" i="1"/>
  <c r="AB3" i="1" s="1"/>
  <c r="O24" i="1"/>
  <c r="AB24" i="1" s="1"/>
  <c r="O66" i="1"/>
  <c r="AB66" i="1" s="1"/>
  <c r="O136" i="1"/>
  <c r="AB136" i="1" s="1"/>
  <c r="O172" i="1"/>
  <c r="AB172" i="1" s="1"/>
  <c r="U193" i="1"/>
  <c r="O193" i="1"/>
  <c r="AB193" i="1" s="1"/>
  <c r="W221" i="1"/>
  <c r="O221" i="1"/>
  <c r="U51" i="1"/>
  <c r="O51" i="1"/>
  <c r="AB51" i="1" s="1"/>
  <c r="O63" i="1"/>
  <c r="AB63" i="1" s="1"/>
  <c r="U137" i="1"/>
  <c r="O137" i="1"/>
  <c r="AB137" i="1" s="1"/>
  <c r="W141" i="1"/>
  <c r="O141" i="1"/>
  <c r="AB141" i="1" s="1"/>
  <c r="O160" i="1"/>
  <c r="AB160" i="1" s="1"/>
  <c r="U180" i="1"/>
  <c r="O180" i="1"/>
  <c r="AB180" i="1" s="1"/>
  <c r="O194" i="1"/>
  <c r="U214" i="1"/>
  <c r="O214" i="1"/>
  <c r="O237" i="1"/>
  <c r="AB237" i="1" s="1"/>
  <c r="O252" i="1"/>
  <c r="W11" i="1"/>
  <c r="O11" i="1"/>
  <c r="O18" i="1"/>
  <c r="AB18" i="1" s="1"/>
  <c r="U23" i="1"/>
  <c r="W30" i="1"/>
  <c r="O30" i="1"/>
  <c r="O8" i="1"/>
  <c r="AB8" i="1" s="1"/>
  <c r="O15" i="1"/>
  <c r="AB15" i="1" s="1"/>
  <c r="O26" i="1"/>
  <c r="U31" i="1"/>
  <c r="O33" i="1"/>
  <c r="W38" i="1"/>
  <c r="O38" i="1"/>
  <c r="AB38" i="1" s="1"/>
  <c r="O45" i="1"/>
  <c r="U49" i="1"/>
  <c r="T49" i="1" s="1"/>
  <c r="U57" i="1"/>
  <c r="O60" i="1"/>
  <c r="AB60" i="1" s="1"/>
  <c r="O64" i="1"/>
  <c r="W80" i="1"/>
  <c r="O80" i="1"/>
  <c r="U84" i="1"/>
  <c r="O91" i="1"/>
  <c r="O99" i="1"/>
  <c r="O107" i="1"/>
  <c r="O112" i="1"/>
  <c r="AB112" i="1" s="1"/>
  <c r="U116" i="1"/>
  <c r="U120" i="1"/>
  <c r="O120" i="1"/>
  <c r="AB120" i="1" s="1"/>
  <c r="U128" i="1"/>
  <c r="O128" i="1"/>
  <c r="AB128" i="1" s="1"/>
  <c r="O133" i="1"/>
  <c r="AB133" i="1" s="1"/>
  <c r="O143" i="1"/>
  <c r="O149" i="1"/>
  <c r="AB149" i="1" s="1"/>
  <c r="O156" i="1"/>
  <c r="AB156" i="1" s="1"/>
  <c r="O163" i="1"/>
  <c r="O175" i="1"/>
  <c r="O183" i="1"/>
  <c r="AB183" i="1" s="1"/>
  <c r="U189" i="1"/>
  <c r="O189" i="1"/>
  <c r="AB189" i="1" s="1"/>
  <c r="O203" i="1"/>
  <c r="AB203" i="1" s="1"/>
  <c r="O211" i="1"/>
  <c r="AB211" i="1" s="1"/>
  <c r="O217" i="1"/>
  <c r="U225" i="1"/>
  <c r="O225" i="1"/>
  <c r="O233" i="1"/>
  <c r="AB233" i="1" s="1"/>
  <c r="O240" i="1"/>
  <c r="O248" i="1"/>
  <c r="AA274" i="1"/>
  <c r="AA291" i="1"/>
  <c r="AA410" i="1"/>
  <c r="AA411" i="1"/>
  <c r="AA339" i="1"/>
  <c r="AA270" i="1"/>
  <c r="AA373" i="1"/>
  <c r="AA408" i="1"/>
  <c r="AA301" i="1"/>
  <c r="AA379" i="1"/>
  <c r="AA324" i="1"/>
  <c r="AA263" i="1"/>
  <c r="AA290" i="1"/>
  <c r="AA272" i="1"/>
  <c r="O12" i="1"/>
  <c r="AB12" i="1" s="1"/>
  <c r="W54" i="1"/>
  <c r="O54" i="1"/>
  <c r="AB54" i="1" s="1"/>
  <c r="O135" i="1"/>
  <c r="W205" i="1"/>
  <c r="O205" i="1"/>
  <c r="AB205" i="1" s="1"/>
  <c r="O234" i="1"/>
  <c r="AB234" i="1" s="1"/>
  <c r="AA309" i="1"/>
  <c r="O5" i="1"/>
  <c r="AB5" i="1" s="1"/>
  <c r="W9" i="1"/>
  <c r="W12" i="1"/>
  <c r="U19" i="1"/>
  <c r="O19" i="1"/>
  <c r="AB19" i="1" s="1"/>
  <c r="O23" i="1"/>
  <c r="AB23" i="1" s="1"/>
  <c r="W27" i="1"/>
  <c r="W31" i="1"/>
  <c r="AA31" i="1" s="1"/>
  <c r="O34" i="1"/>
  <c r="O41" i="1"/>
  <c r="W46" i="1"/>
  <c r="O46" i="1"/>
  <c r="W49" i="1"/>
  <c r="W53" i="1"/>
  <c r="O53" i="1"/>
  <c r="W57" i="1"/>
  <c r="U61" i="1"/>
  <c r="O68" i="1"/>
  <c r="O72" i="1"/>
  <c r="O76" i="1"/>
  <c r="U81" i="1"/>
  <c r="W84" i="1"/>
  <c r="W88" i="1"/>
  <c r="O88" i="1"/>
  <c r="AB88" i="1" s="1"/>
  <c r="W96" i="1"/>
  <c r="O96" i="1"/>
  <c r="AB96" i="1" s="1"/>
  <c r="W104" i="1"/>
  <c r="O104" i="1"/>
  <c r="AB104" i="1" s="1"/>
  <c r="U113" i="1"/>
  <c r="W116" i="1"/>
  <c r="U121" i="1"/>
  <c r="O121" i="1"/>
  <c r="AB121" i="1" s="1"/>
  <c r="O124" i="1"/>
  <c r="AB124" i="1" s="1"/>
  <c r="O129" i="1"/>
  <c r="AB129" i="1" s="1"/>
  <c r="W134" i="1"/>
  <c r="O134" i="1"/>
  <c r="AB134" i="1" s="1"/>
  <c r="O139" i="1"/>
  <c r="U144" i="1"/>
  <c r="O144" i="1"/>
  <c r="AB144" i="1" s="1"/>
  <c r="U150" i="1"/>
  <c r="O150" i="1"/>
  <c r="AB150" i="1" s="1"/>
  <c r="W157" i="1"/>
  <c r="O157" i="1"/>
  <c r="AB157" i="1" s="1"/>
  <c r="U164" i="1"/>
  <c r="O164" i="1"/>
  <c r="AB164" i="1" s="1"/>
  <c r="O170" i="1"/>
  <c r="AB170" i="1" s="1"/>
  <c r="O176" i="1"/>
  <c r="AB176" i="1" s="1"/>
  <c r="O184" i="1"/>
  <c r="AB184" i="1" s="1"/>
  <c r="U190" i="1"/>
  <c r="O190" i="1"/>
  <c r="U197" i="1"/>
  <c r="O197" i="1"/>
  <c r="AB197" i="1" s="1"/>
  <c r="O204" i="1"/>
  <c r="AB204" i="1" s="1"/>
  <c r="W212" i="1"/>
  <c r="O212" i="1"/>
  <c r="AB212" i="1" s="1"/>
  <c r="O218" i="1"/>
  <c r="O226" i="1"/>
  <c r="U234" i="1"/>
  <c r="U241" i="1"/>
  <c r="O241" i="1"/>
  <c r="AB241" i="1" s="1"/>
  <c r="U249" i="1"/>
  <c r="O249" i="1"/>
  <c r="AB249" i="1" s="1"/>
  <c r="U255" i="1"/>
  <c r="O255" i="1"/>
  <c r="AB255" i="1" s="1"/>
  <c r="AA345" i="1"/>
  <c r="AA365" i="1"/>
  <c r="AA325" i="1"/>
  <c r="AA361" i="1"/>
  <c r="AA384" i="1"/>
  <c r="AA397" i="1"/>
  <c r="W155" i="1"/>
  <c r="U169" i="1"/>
  <c r="W180" i="1"/>
  <c r="U156" i="1"/>
  <c r="U219" i="1"/>
  <c r="U238" i="1"/>
  <c r="W156" i="1"/>
  <c r="W181" i="1"/>
  <c r="W190" i="1"/>
  <c r="W219" i="1"/>
  <c r="U233" i="1"/>
  <c r="U154" i="1"/>
  <c r="W164" i="1"/>
  <c r="W187" i="1"/>
  <c r="U229" i="1"/>
  <c r="U202" i="1"/>
  <c r="W229" i="1"/>
  <c r="U243" i="1"/>
  <c r="U246" i="1"/>
  <c r="U220" i="1"/>
  <c r="U252" i="1"/>
  <c r="U203" i="1"/>
  <c r="W206" i="1"/>
  <c r="U217" i="1"/>
  <c r="W220" i="1"/>
  <c r="W244" i="1"/>
  <c r="W252" i="1"/>
  <c r="W196" i="1"/>
  <c r="U218" i="1"/>
  <c r="U227" i="1"/>
  <c r="W236" i="1"/>
  <c r="U245" i="1"/>
  <c r="U253" i="1"/>
  <c r="U204" i="1"/>
  <c r="W245" i="1"/>
  <c r="U250" i="1"/>
  <c r="W253" i="1"/>
  <c r="W204" i="1"/>
  <c r="W222" i="1"/>
  <c r="W237" i="1"/>
  <c r="U242" i="1"/>
  <c r="U146" i="1"/>
  <c r="U162" i="1"/>
  <c r="U178" i="1"/>
  <c r="U194" i="1"/>
  <c r="U210" i="1"/>
  <c r="U226" i="1"/>
  <c r="U236" i="1"/>
  <c r="W238" i="1"/>
  <c r="U163" i="1"/>
  <c r="U172" i="1"/>
  <c r="U179" i="1"/>
  <c r="U188" i="1"/>
  <c r="U195" i="1"/>
  <c r="U211" i="1"/>
  <c r="U133" i="1"/>
  <c r="U147" i="1"/>
  <c r="U131" i="1"/>
  <c r="W133" i="1"/>
  <c r="W147" i="1"/>
  <c r="W163" i="1"/>
  <c r="W172" i="1"/>
  <c r="W179" i="1"/>
  <c r="W188" i="1"/>
  <c r="W195" i="1"/>
  <c r="W211" i="1"/>
  <c r="W227" i="1"/>
  <c r="U237" i="1"/>
  <c r="U244" i="1"/>
  <c r="W246" i="1"/>
  <c r="U141" i="1"/>
  <c r="U148" i="1"/>
  <c r="W150" i="1"/>
  <c r="U157" i="1"/>
  <c r="W166" i="1"/>
  <c r="W182" i="1"/>
  <c r="W198" i="1"/>
  <c r="U205" i="1"/>
  <c r="U212" i="1"/>
  <c r="W214" i="1"/>
  <c r="U221" i="1"/>
  <c r="U228" i="1"/>
  <c r="W230" i="1"/>
  <c r="U254" i="1"/>
  <c r="U139" i="1"/>
  <c r="U155" i="1"/>
  <c r="W173" i="1"/>
  <c r="W189" i="1"/>
  <c r="U235" i="1"/>
  <c r="U258" i="1"/>
  <c r="W119" i="1"/>
  <c r="U119" i="1"/>
  <c r="W129" i="1"/>
  <c r="U126" i="1"/>
  <c r="W143" i="1"/>
  <c r="U143" i="1"/>
  <c r="W2" i="1"/>
  <c r="U5" i="1"/>
  <c r="U9" i="1"/>
  <c r="T9" i="1" s="1"/>
  <c r="W13" i="1"/>
  <c r="U18" i="1"/>
  <c r="W21" i="1"/>
  <c r="U26" i="1"/>
  <c r="W29" i="1"/>
  <c r="U34" i="1"/>
  <c r="W37" i="1"/>
  <c r="U42" i="1"/>
  <c r="W45" i="1"/>
  <c r="U50" i="1"/>
  <c r="U58" i="1"/>
  <c r="U66" i="1"/>
  <c r="W69" i="1"/>
  <c r="U74" i="1"/>
  <c r="W77" i="1"/>
  <c r="U86" i="1"/>
  <c r="U94" i="1"/>
  <c r="U102" i="1"/>
  <c r="U110" i="1"/>
  <c r="W113" i="1"/>
  <c r="W18" i="1"/>
  <c r="W26" i="1"/>
  <c r="W34" i="1"/>
  <c r="W42" i="1"/>
  <c r="W50" i="1"/>
  <c r="U55" i="1"/>
  <c r="W58" i="1"/>
  <c r="U63" i="1"/>
  <c r="W66" i="1"/>
  <c r="U71" i="1"/>
  <c r="W74" i="1"/>
  <c r="U79" i="1"/>
  <c r="W120" i="1"/>
  <c r="W127" i="1"/>
  <c r="U127" i="1"/>
  <c r="W137" i="1"/>
  <c r="U95" i="1"/>
  <c r="U103" i="1"/>
  <c r="U134" i="1"/>
  <c r="W144" i="1"/>
  <c r="W151" i="1"/>
  <c r="U151" i="1"/>
  <c r="W159" i="1"/>
  <c r="U159" i="1"/>
  <c r="W167" i="1"/>
  <c r="U167" i="1"/>
  <c r="W20" i="1"/>
  <c r="W28" i="1"/>
  <c r="W36" i="1"/>
  <c r="W44" i="1"/>
  <c r="W52" i="1"/>
  <c r="W76" i="1"/>
  <c r="W81" i="1"/>
  <c r="W85" i="1"/>
  <c r="W87" i="1"/>
  <c r="W89" i="1"/>
  <c r="W93" i="1"/>
  <c r="W95" i="1"/>
  <c r="W97" i="1"/>
  <c r="W101" i="1"/>
  <c r="W103" i="1"/>
  <c r="W105" i="1"/>
  <c r="W109" i="1"/>
  <c r="W111" i="1"/>
  <c r="W121" i="1"/>
  <c r="AA121" i="1" s="1"/>
  <c r="U152" i="1"/>
  <c r="W152" i="1"/>
  <c r="U160" i="1"/>
  <c r="W160" i="1"/>
  <c r="U168" i="1"/>
  <c r="W168" i="1"/>
  <c r="U176" i="1"/>
  <c r="W176" i="1"/>
  <c r="U184" i="1"/>
  <c r="W184" i="1"/>
  <c r="U192" i="1"/>
  <c r="W192" i="1"/>
  <c r="U200" i="1"/>
  <c r="W200" i="1"/>
  <c r="U208" i="1"/>
  <c r="W208" i="1"/>
  <c r="U216" i="1"/>
  <c r="W216" i="1"/>
  <c r="U224" i="1"/>
  <c r="W224" i="1"/>
  <c r="U232" i="1"/>
  <c r="W232" i="1"/>
  <c r="U240" i="1"/>
  <c r="W240" i="1"/>
  <c r="U248" i="1"/>
  <c r="W248" i="1"/>
  <c r="U7" i="1"/>
  <c r="U11" i="1"/>
  <c r="U14" i="1"/>
  <c r="U62" i="1"/>
  <c r="U70" i="1"/>
  <c r="U78" i="1"/>
  <c r="U118" i="1"/>
  <c r="W128" i="1"/>
  <c r="W135" i="1"/>
  <c r="U135" i="1"/>
  <c r="W145" i="1"/>
  <c r="W112" i="1"/>
  <c r="U256" i="1"/>
  <c r="W256" i="1"/>
  <c r="W136" i="1"/>
  <c r="U22" i="1"/>
  <c r="U30" i="1"/>
  <c r="U38" i="1"/>
  <c r="U46" i="1"/>
  <c r="U54" i="1"/>
  <c r="U82" i="1"/>
  <c r="U90" i="1"/>
  <c r="U98" i="1"/>
  <c r="U106" i="1"/>
  <c r="U112" i="1"/>
  <c r="U129" i="1"/>
  <c r="U142" i="1"/>
  <c r="W114" i="1"/>
  <c r="W122" i="1"/>
  <c r="W130" i="1"/>
  <c r="W138" i="1"/>
  <c r="W146" i="1"/>
  <c r="W154" i="1"/>
  <c r="W162" i="1"/>
  <c r="W170" i="1"/>
  <c r="U175" i="1"/>
  <c r="W178" i="1"/>
  <c r="U183" i="1"/>
  <c r="W186" i="1"/>
  <c r="U191" i="1"/>
  <c r="W194" i="1"/>
  <c r="U199" i="1"/>
  <c r="W202" i="1"/>
  <c r="U207" i="1"/>
  <c r="W210" i="1"/>
  <c r="U215" i="1"/>
  <c r="W218" i="1"/>
  <c r="U223" i="1"/>
  <c r="W226" i="1"/>
  <c r="U231" i="1"/>
  <c r="W234" i="1"/>
  <c r="U239" i="1"/>
  <c r="W242" i="1"/>
  <c r="U247" i="1"/>
  <c r="W250" i="1"/>
  <c r="W258" i="1"/>
  <c r="W175" i="1"/>
  <c r="W183" i="1"/>
  <c r="W191" i="1"/>
  <c r="W199" i="1"/>
  <c r="W207" i="1"/>
  <c r="W215" i="1"/>
  <c r="W223" i="1"/>
  <c r="W231" i="1"/>
  <c r="W239" i="1"/>
  <c r="W247" i="1"/>
  <c r="U257" i="1"/>
  <c r="W153" i="1"/>
  <c r="W161" i="1"/>
  <c r="W169" i="1"/>
  <c r="W177" i="1"/>
  <c r="W185" i="1"/>
  <c r="W193" i="1"/>
  <c r="W201" i="1"/>
  <c r="W209" i="1"/>
  <c r="W217" i="1"/>
  <c r="W225" i="1"/>
  <c r="W233" i="1"/>
  <c r="W241" i="1"/>
  <c r="W249" i="1"/>
  <c r="W257" i="1"/>
  <c r="U259" i="1"/>
  <c r="AI2" i="1" l="1"/>
  <c r="Q917" i="1"/>
  <c r="P917" i="1" s="1"/>
  <c r="AF917" i="1" s="1"/>
  <c r="R918" i="1"/>
  <c r="T918" i="1"/>
  <c r="Y855" i="1"/>
  <c r="Y846" i="1"/>
  <c r="Y853" i="1"/>
  <c r="Y856" i="1"/>
  <c r="Y848" i="1"/>
  <c r="Y854" i="1"/>
  <c r="Y844" i="1"/>
  <c r="Y849" i="1"/>
  <c r="Y841" i="1"/>
  <c r="Y842" i="1"/>
  <c r="Y858" i="1"/>
  <c r="Y843" i="1"/>
  <c r="Y840" i="1"/>
  <c r="Y845" i="1"/>
  <c r="Y850" i="1"/>
  <c r="Y851" i="1"/>
  <c r="Y847" i="1"/>
  <c r="Y852" i="1"/>
  <c r="Y857" i="1"/>
  <c r="P828" i="1"/>
  <c r="AF828" i="1" s="1"/>
  <c r="T829" i="1"/>
  <c r="Q829" i="1"/>
  <c r="R830" i="1"/>
  <c r="Y171" i="1"/>
  <c r="Y797" i="1"/>
  <c r="Y805" i="1"/>
  <c r="Y813" i="1"/>
  <c r="Y811" i="1"/>
  <c r="Y819" i="1"/>
  <c r="Y827" i="1"/>
  <c r="Y806" i="1"/>
  <c r="Y837" i="1"/>
  <c r="Y801" i="1"/>
  <c r="Y817" i="1"/>
  <c r="Y838" i="1"/>
  <c r="Y821" i="1"/>
  <c r="Y829" i="1"/>
  <c r="Y825" i="1"/>
  <c r="Y835" i="1"/>
  <c r="Y809" i="1"/>
  <c r="Y833" i="1"/>
  <c r="Y830" i="1"/>
  <c r="Y823" i="1"/>
  <c r="Y831" i="1"/>
  <c r="Y822" i="1"/>
  <c r="Y798" i="1"/>
  <c r="Y839" i="1"/>
  <c r="Y818" i="1"/>
  <c r="Y802" i="1"/>
  <c r="Y804" i="1"/>
  <c r="Y812" i="1"/>
  <c r="Y800" i="1"/>
  <c r="Y824" i="1"/>
  <c r="Y826" i="1"/>
  <c r="Y803" i="1"/>
  <c r="Y808" i="1"/>
  <c r="Y799" i="1"/>
  <c r="Y828" i="1"/>
  <c r="Y836" i="1"/>
  <c r="Y810" i="1"/>
  <c r="Y820" i="1"/>
  <c r="Y814" i="1"/>
  <c r="Y807" i="1"/>
  <c r="Y832" i="1"/>
  <c r="Y834" i="1"/>
  <c r="Y815" i="1"/>
  <c r="Y816" i="1"/>
  <c r="AF439" i="1"/>
  <c r="AF499" i="1"/>
  <c r="Y129" i="1"/>
  <c r="AF560" i="1"/>
  <c r="P537" i="1"/>
  <c r="AF537" i="1" s="1"/>
  <c r="P431" i="1"/>
  <c r="AF431" i="1" s="1"/>
  <c r="Y228" i="1"/>
  <c r="Y74" i="1"/>
  <c r="Y791" i="1"/>
  <c r="Y786" i="1"/>
  <c r="Y794" i="1"/>
  <c r="Y789" i="1"/>
  <c r="Y779" i="1"/>
  <c r="Y787" i="1"/>
  <c r="Y795" i="1"/>
  <c r="Y782" i="1"/>
  <c r="Y790" i="1"/>
  <c r="Y780" i="1"/>
  <c r="Y788" i="1"/>
  <c r="Y778" i="1"/>
  <c r="Y783" i="1"/>
  <c r="Y785" i="1"/>
  <c r="Y792" i="1"/>
  <c r="Y784" i="1"/>
  <c r="Y796" i="1"/>
  <c r="Y781" i="1"/>
  <c r="Y793" i="1"/>
  <c r="Y130" i="1"/>
  <c r="Y225" i="1"/>
  <c r="Y170" i="1"/>
  <c r="Y243" i="1"/>
  <c r="Y157" i="1"/>
  <c r="Y150" i="1"/>
  <c r="Y239" i="1"/>
  <c r="Y206" i="1"/>
  <c r="Y193" i="1"/>
  <c r="Y194" i="1"/>
  <c r="Y251" i="1"/>
  <c r="Y132" i="1"/>
  <c r="Y165" i="1"/>
  <c r="Y214" i="1"/>
  <c r="Y175" i="1"/>
  <c r="Y12" i="1"/>
  <c r="Y229" i="1"/>
  <c r="Y202" i="1"/>
  <c r="Y259" i="1"/>
  <c r="Y148" i="1"/>
  <c r="Y173" i="1"/>
  <c r="Y246" i="1"/>
  <c r="Y199" i="1"/>
  <c r="Y114" i="1"/>
  <c r="Y59" i="1"/>
  <c r="Y159" i="1"/>
  <c r="Y68" i="1"/>
  <c r="Y23" i="1"/>
  <c r="Y210" i="1"/>
  <c r="Y131" i="1"/>
  <c r="Y180" i="1"/>
  <c r="Y197" i="1"/>
  <c r="Y134" i="1"/>
  <c r="Y207" i="1"/>
  <c r="Y123" i="1"/>
  <c r="Y216" i="1"/>
  <c r="Y92" i="1"/>
  <c r="Y179" i="1"/>
  <c r="Y151" i="1"/>
  <c r="Y234" i="1"/>
  <c r="Y155" i="1"/>
  <c r="Y212" i="1"/>
  <c r="Y142" i="1"/>
  <c r="Y215" i="1"/>
  <c r="Y9" i="1"/>
  <c r="Y176" i="1"/>
  <c r="Y201" i="1"/>
  <c r="Y204" i="1"/>
  <c r="Y138" i="1"/>
  <c r="Y187" i="1"/>
  <c r="Y236" i="1"/>
  <c r="Y174" i="1"/>
  <c r="Y144" i="1"/>
  <c r="Y250" i="1"/>
  <c r="Y241" i="1"/>
  <c r="Y49" i="1"/>
  <c r="Y233" i="1"/>
  <c r="Y32" i="1"/>
  <c r="Y41" i="1"/>
  <c r="Y146" i="1"/>
  <c r="Y219" i="1"/>
  <c r="Y177" i="1"/>
  <c r="Y198" i="1"/>
  <c r="Y145" i="1"/>
  <c r="Y81" i="1"/>
  <c r="Y154" i="1"/>
  <c r="Y218" i="1"/>
  <c r="Y203" i="1"/>
  <c r="Y164" i="1"/>
  <c r="Y244" i="1"/>
  <c r="Y181" i="1"/>
  <c r="Y158" i="1"/>
  <c r="Y222" i="1"/>
  <c r="Y223" i="1"/>
  <c r="Y209" i="1"/>
  <c r="Y249" i="1"/>
  <c r="Y57" i="1"/>
  <c r="Y184" i="1"/>
  <c r="Y50" i="1"/>
  <c r="Y162" i="1"/>
  <c r="Y226" i="1"/>
  <c r="Y211" i="1"/>
  <c r="Y172" i="1"/>
  <c r="Y252" i="1"/>
  <c r="Y189" i="1"/>
  <c r="Y166" i="1"/>
  <c r="Y230" i="1"/>
  <c r="Y231" i="1"/>
  <c r="Y73" i="1"/>
  <c r="Y51" i="1"/>
  <c r="Y760" i="1"/>
  <c r="Y768" i="1"/>
  <c r="Y776" i="1"/>
  <c r="Y775" i="1"/>
  <c r="Y764" i="1"/>
  <c r="Y759" i="1"/>
  <c r="Y767" i="1"/>
  <c r="Y777" i="1"/>
  <c r="Y756" i="1"/>
  <c r="Y763" i="1"/>
  <c r="Y758" i="1"/>
  <c r="Y774" i="1"/>
  <c r="Y761" i="1"/>
  <c r="Y762" i="1"/>
  <c r="Y772" i="1"/>
  <c r="Y771" i="1"/>
  <c r="Y757" i="1"/>
  <c r="Y770" i="1"/>
  <c r="Y766" i="1"/>
  <c r="Y765" i="1"/>
  <c r="Y773" i="1"/>
  <c r="Y769" i="1"/>
  <c r="Y178" i="1"/>
  <c r="Y242" i="1"/>
  <c r="Y139" i="1"/>
  <c r="Y227" i="1"/>
  <c r="Y188" i="1"/>
  <c r="Y133" i="1"/>
  <c r="Y205" i="1"/>
  <c r="Y182" i="1"/>
  <c r="Y254" i="1"/>
  <c r="Y183" i="1"/>
  <c r="Y247" i="1"/>
  <c r="Y113" i="1"/>
  <c r="Y149" i="1"/>
  <c r="Y109" i="1"/>
  <c r="Y186" i="1"/>
  <c r="Y147" i="1"/>
  <c r="Y235" i="1"/>
  <c r="Y196" i="1"/>
  <c r="Y141" i="1"/>
  <c r="Y221" i="1"/>
  <c r="Y161" i="1"/>
  <c r="Y190" i="1"/>
  <c r="Y191" i="1"/>
  <c r="Y255" i="1"/>
  <c r="Y121" i="1"/>
  <c r="Y101" i="1"/>
  <c r="Y27" i="1"/>
  <c r="Y3" i="1"/>
  <c r="Y10" i="1"/>
  <c r="Y82" i="1"/>
  <c r="Y248" i="1"/>
  <c r="Y217" i="1"/>
  <c r="Y163" i="1"/>
  <c r="Y117" i="1"/>
  <c r="Y136" i="1"/>
  <c r="Y67" i="1"/>
  <c r="Y125" i="1"/>
  <c r="Y20" i="1"/>
  <c r="Y100" i="1"/>
  <c r="Y238" i="1"/>
  <c r="Y195" i="1"/>
  <c r="Y96" i="1"/>
  <c r="Y63" i="1"/>
  <c r="Y18" i="1"/>
  <c r="Y90" i="1"/>
  <c r="Y75" i="1"/>
  <c r="Y169" i="1"/>
  <c r="Y167" i="1"/>
  <c r="Y28" i="1"/>
  <c r="Y108" i="1"/>
  <c r="Y200" i="1"/>
  <c r="Y16" i="1"/>
  <c r="Y118" i="1"/>
  <c r="Y78" i="1"/>
  <c r="Y26" i="1"/>
  <c r="Y98" i="1"/>
  <c r="Y240" i="1"/>
  <c r="Y156" i="1"/>
  <c r="Y160" i="1"/>
  <c r="Y83" i="1"/>
  <c r="Y245" i="1"/>
  <c r="Y36" i="1"/>
  <c r="Y124" i="1"/>
  <c r="Y5" i="1"/>
  <c r="Y88" i="1"/>
  <c r="Y37" i="1"/>
  <c r="Y46" i="1"/>
  <c r="Y42" i="1"/>
  <c r="Y106" i="1"/>
  <c r="Y237" i="1"/>
  <c r="Y19" i="1"/>
  <c r="Y115" i="1"/>
  <c r="Y232" i="1"/>
  <c r="Y44" i="1"/>
  <c r="Y2" i="1"/>
  <c r="Y93" i="1"/>
  <c r="Y15" i="1"/>
  <c r="Y192" i="1"/>
  <c r="Y110" i="1"/>
  <c r="Y65" i="1"/>
  <c r="Y116" i="1"/>
  <c r="Y4" i="1"/>
  <c r="Y135" i="1"/>
  <c r="Y58" i="1"/>
  <c r="Y122" i="1"/>
  <c r="Y35" i="1"/>
  <c r="Y153" i="1"/>
  <c r="Y224" i="1"/>
  <c r="Y21" i="1"/>
  <c r="Y213" i="1"/>
  <c r="Y76" i="1"/>
  <c r="Y253" i="1"/>
  <c r="Y140" i="1"/>
  <c r="Y258" i="1"/>
  <c r="Y31" i="1"/>
  <c r="Y185" i="1"/>
  <c r="Y55" i="1"/>
  <c r="Y30" i="1"/>
  <c r="Y66" i="1"/>
  <c r="Y137" i="1"/>
  <c r="Y143" i="1"/>
  <c r="Y13" i="1"/>
  <c r="Y43" i="1"/>
  <c r="Y53" i="1"/>
  <c r="Y208" i="1"/>
  <c r="Y256" i="1"/>
  <c r="Y84" i="1"/>
  <c r="Y168" i="1"/>
  <c r="Y47" i="1"/>
  <c r="Y17" i="1"/>
  <c r="Y39" i="1"/>
  <c r="Y25" i="1"/>
  <c r="Y48" i="1"/>
  <c r="Y89" i="1"/>
  <c r="Y119" i="1"/>
  <c r="Y22" i="1"/>
  <c r="Y99" i="1"/>
  <c r="Y38" i="1"/>
  <c r="Y45" i="1"/>
  <c r="Y128" i="1"/>
  <c r="Y97" i="1"/>
  <c r="Y11" i="1"/>
  <c r="Y69" i="1"/>
  <c r="Y24" i="1"/>
  <c r="Y71" i="1"/>
  <c r="Y87" i="1"/>
  <c r="Y40" i="1"/>
  <c r="Y107" i="1"/>
  <c r="Y34" i="1"/>
  <c r="Y79" i="1"/>
  <c r="Y77" i="1"/>
  <c r="Y29" i="1"/>
  <c r="Y62" i="1"/>
  <c r="Y8" i="1"/>
  <c r="Y54" i="1"/>
  <c r="Y80" i="1"/>
  <c r="Y14" i="1"/>
  <c r="Y126" i="1"/>
  <c r="Y102" i="1"/>
  <c r="Y91" i="1"/>
  <c r="Y7" i="1"/>
  <c r="Y6" i="1"/>
  <c r="Y127" i="1"/>
  <c r="Y72" i="1"/>
  <c r="Y61" i="1"/>
  <c r="Y257" i="1"/>
  <c r="Y220" i="1"/>
  <c r="Y152" i="1"/>
  <c r="Y33" i="1"/>
  <c r="Y94" i="1"/>
  <c r="Y56" i="1"/>
  <c r="Y104" i="1"/>
  <c r="Y64" i="1"/>
  <c r="Y111" i="1"/>
  <c r="Y120" i="1"/>
  <c r="Y112" i="1"/>
  <c r="Y86" i="1"/>
  <c r="Y105" i="1"/>
  <c r="Y95" i="1"/>
  <c r="Y85" i="1"/>
  <c r="Y422" i="1"/>
  <c r="Y417" i="1"/>
  <c r="Y413" i="1"/>
  <c r="Y421" i="1"/>
  <c r="Y416" i="1"/>
  <c r="Y419" i="1"/>
  <c r="Y415" i="1"/>
  <c r="Y424" i="1"/>
  <c r="Y423" i="1"/>
  <c r="Y414" i="1"/>
  <c r="Y418" i="1"/>
  <c r="Y420" i="1"/>
  <c r="Y412" i="1"/>
  <c r="Y731" i="1"/>
  <c r="Y739" i="1"/>
  <c r="Y752" i="1"/>
  <c r="Y736" i="1"/>
  <c r="Y682" i="1"/>
  <c r="Y698" i="1"/>
  <c r="Y709" i="1"/>
  <c r="Y691" i="1"/>
  <c r="Y723" i="1"/>
  <c r="Y699" i="1"/>
  <c r="Y658" i="1"/>
  <c r="Y656" i="1"/>
  <c r="Y674" i="1"/>
  <c r="Y647" i="1"/>
  <c r="Y673" i="1"/>
  <c r="Y603" i="1"/>
  <c r="Y609" i="1"/>
  <c r="Y600" i="1"/>
  <c r="Y599" i="1"/>
  <c r="Y636" i="1"/>
  <c r="Y596" i="1"/>
  <c r="Y544" i="1"/>
  <c r="Y587" i="1"/>
  <c r="Y582" i="1"/>
  <c r="Y556" i="1"/>
  <c r="Y540" i="1"/>
  <c r="Y554" i="1"/>
  <c r="Y542" i="1"/>
  <c r="Y545" i="1"/>
  <c r="Y526" i="1"/>
  <c r="Y492" i="1"/>
  <c r="Y510" i="1"/>
  <c r="Y520" i="1"/>
  <c r="Y438" i="1"/>
  <c r="Y470" i="1"/>
  <c r="Y451" i="1"/>
  <c r="Y488" i="1"/>
  <c r="Y447" i="1"/>
  <c r="Y466" i="1"/>
  <c r="Y476" i="1"/>
  <c r="Y436" i="1"/>
  <c r="Y433" i="1"/>
  <c r="Y411" i="1"/>
  <c r="Y371" i="1"/>
  <c r="Y395" i="1"/>
  <c r="Y348" i="1"/>
  <c r="Y389" i="1"/>
  <c r="Y357" i="1"/>
  <c r="Y325" i="1"/>
  <c r="Y282" i="1"/>
  <c r="Y333" i="1"/>
  <c r="Y293" i="1"/>
  <c r="Y370" i="1"/>
  <c r="Y341" i="1"/>
  <c r="Y306" i="1"/>
  <c r="Y373" i="1"/>
  <c r="Y394" i="1"/>
  <c r="Y326" i="1"/>
  <c r="Y379" i="1"/>
  <c r="Y387" i="1"/>
  <c r="Y323" i="1"/>
  <c r="Y347" i="1"/>
  <c r="Y360" i="1"/>
  <c r="Y275" i="1"/>
  <c r="Y385" i="1"/>
  <c r="Y353" i="1"/>
  <c r="Y321" i="1"/>
  <c r="Y289" i="1"/>
  <c r="Y405" i="1"/>
  <c r="Y304" i="1"/>
  <c r="Y745" i="1"/>
  <c r="Y744" i="1"/>
  <c r="Y741" i="1"/>
  <c r="Y742" i="1"/>
  <c r="Y700" i="1"/>
  <c r="Y717" i="1"/>
  <c r="Y713" i="1"/>
  <c r="Y708" i="1"/>
  <c r="Y702" i="1"/>
  <c r="Y701" i="1"/>
  <c r="Y664" i="1"/>
  <c r="Y644" i="1"/>
  <c r="Y668" i="1"/>
  <c r="Y655" i="1"/>
  <c r="Y624" i="1"/>
  <c r="Y595" i="1"/>
  <c r="Y601" i="1"/>
  <c r="Y638" i="1"/>
  <c r="Y628" i="1"/>
  <c r="Y613" i="1"/>
  <c r="Y577" i="1"/>
  <c r="Y534" i="1"/>
  <c r="Y547" i="1"/>
  <c r="Y539" i="1"/>
  <c r="Y578" i="1"/>
  <c r="Y530" i="1"/>
  <c r="Y590" i="1"/>
  <c r="Y546" i="1"/>
  <c r="Y575" i="1"/>
  <c r="Y494" i="1"/>
  <c r="Y500" i="1"/>
  <c r="Y514" i="1"/>
  <c r="Y515" i="1"/>
  <c r="Y474" i="1"/>
  <c r="Y454" i="1"/>
  <c r="Y435" i="1"/>
  <c r="Y456" i="1"/>
  <c r="Y484" i="1"/>
  <c r="Y446" i="1"/>
  <c r="Y462" i="1"/>
  <c r="Y427" i="1"/>
  <c r="Y429" i="1"/>
  <c r="Y408" i="1"/>
  <c r="Y263" i="1"/>
  <c r="Y290" i="1"/>
  <c r="Y372" i="1"/>
  <c r="Y346" i="1"/>
  <c r="Y335" i="1"/>
  <c r="Y276" i="1"/>
  <c r="Y288" i="1"/>
  <c r="Y355" i="1"/>
  <c r="Y267" i="1"/>
  <c r="Y336" i="1"/>
  <c r="Y404" i="1"/>
  <c r="Y260" i="1"/>
  <c r="Y296" i="1"/>
  <c r="Y755" i="1"/>
  <c r="Y749" i="1"/>
  <c r="Y733" i="1"/>
  <c r="Y729" i="1"/>
  <c r="Y692" i="1"/>
  <c r="Y689" i="1"/>
  <c r="Y706" i="1"/>
  <c r="Y684" i="1"/>
  <c r="Y697" i="1"/>
  <c r="Y715" i="1"/>
  <c r="Y663" i="1"/>
  <c r="Y643" i="1"/>
  <c r="Y659" i="1"/>
  <c r="Y660" i="1"/>
  <c r="Y633" i="1"/>
  <c r="Y632" i="1"/>
  <c r="Y641" i="1"/>
  <c r="Y639" i="1"/>
  <c r="Y631" i="1"/>
  <c r="Y605" i="1"/>
  <c r="Y564" i="1"/>
  <c r="Y565" i="1"/>
  <c r="Y551" i="1"/>
  <c r="Y543" i="1"/>
  <c r="Y533" i="1"/>
  <c r="Y593" i="1"/>
  <c r="Y576" i="1"/>
  <c r="Y537" i="1"/>
  <c r="Y566" i="1"/>
  <c r="Y502" i="1"/>
  <c r="Y518" i="1"/>
  <c r="Y503" i="1"/>
  <c r="Y511" i="1"/>
  <c r="Y457" i="1"/>
  <c r="Y445" i="1"/>
  <c r="Y460" i="1"/>
  <c r="Y442" i="1"/>
  <c r="Y452" i="1"/>
  <c r="Y453" i="1"/>
  <c r="Y478" i="1"/>
  <c r="Y426" i="1"/>
  <c r="Y432" i="1"/>
  <c r="Y396" i="1"/>
  <c r="Y312" i="1"/>
  <c r="Y295" i="1"/>
  <c r="Y314" i="1"/>
  <c r="Y285" i="1"/>
  <c r="Y301" i="1"/>
  <c r="Y327" i="1"/>
  <c r="Y318" i="1"/>
  <c r="Y359" i="1"/>
  <c r="Y390" i="1"/>
  <c r="Y322" i="1"/>
  <c r="Y278" i="1"/>
  <c r="Y367" i="1"/>
  <c r="Y380" i="1"/>
  <c r="Y280" i="1"/>
  <c r="Y368" i="1"/>
  <c r="Y409" i="1"/>
  <c r="Y377" i="1"/>
  <c r="Y345" i="1"/>
  <c r="Y313" i="1"/>
  <c r="Y281" i="1"/>
  <c r="Y287" i="1"/>
  <c r="Y315" i="1"/>
  <c r="Y270" i="1"/>
  <c r="Y358" i="1"/>
  <c r="Y737" i="1"/>
  <c r="Y730" i="1"/>
  <c r="Y732" i="1"/>
  <c r="Y747" i="1"/>
  <c r="Y696" i="1"/>
  <c r="Y683" i="1"/>
  <c r="Y678" i="1"/>
  <c r="Y690" i="1"/>
  <c r="Y677" i="1"/>
  <c r="Y705" i="1"/>
  <c r="Y651" i="1"/>
  <c r="Y671" i="1"/>
  <c r="Y665" i="1"/>
  <c r="Y653" i="1"/>
  <c r="Y627" i="1"/>
  <c r="Y618" i="1"/>
  <c r="Y629" i="1"/>
  <c r="Y637" i="1"/>
  <c r="Y614" i="1"/>
  <c r="Y597" i="1"/>
  <c r="Y589" i="1"/>
  <c r="Y531" i="1"/>
  <c r="Y592" i="1"/>
  <c r="Y536" i="1"/>
  <c r="Y562" i="1"/>
  <c r="Y572" i="1"/>
  <c r="Y559" i="1"/>
  <c r="Y591" i="1"/>
  <c r="Y496" i="1"/>
  <c r="Y516" i="1"/>
  <c r="Y527" i="1"/>
  <c r="Y507" i="1"/>
  <c r="Y495" i="1"/>
  <c r="Y487" i="1"/>
  <c r="Y437" i="1"/>
  <c r="Y458" i="1"/>
  <c r="Y481" i="1"/>
  <c r="Y490" i="1"/>
  <c r="Y441" i="1"/>
  <c r="Y477" i="1"/>
  <c r="Y431" i="1"/>
  <c r="Y376" i="1"/>
  <c r="Y340" i="1"/>
  <c r="Y381" i="1"/>
  <c r="Y277" i="1"/>
  <c r="Y365" i="1"/>
  <c r="Y406" i="1"/>
  <c r="Y343" i="1"/>
  <c r="Y362" i="1"/>
  <c r="Y298" i="1"/>
  <c r="Y356" i="1"/>
  <c r="Y268" i="1"/>
  <c r="Y272" i="1"/>
  <c r="Y324" i="1"/>
  <c r="Y363" i="1"/>
  <c r="Y754" i="1"/>
  <c r="Y753" i="1"/>
  <c r="Y750" i="1"/>
  <c r="Y738" i="1"/>
  <c r="Y710" i="1"/>
  <c r="Y688" i="1"/>
  <c r="Y720" i="1"/>
  <c r="Y695" i="1"/>
  <c r="Y693" i="1"/>
  <c r="Y679" i="1"/>
  <c r="Y672" i="1"/>
  <c r="Y652" i="1"/>
  <c r="Y670" i="1"/>
  <c r="Y666" i="1"/>
  <c r="Y634" i="1"/>
  <c r="Y610" i="1"/>
  <c r="Y625" i="1"/>
  <c r="Y630" i="1"/>
  <c r="Y606" i="1"/>
  <c r="Y642" i="1"/>
  <c r="Y553" i="1"/>
  <c r="Y584" i="1"/>
  <c r="Y579" i="1"/>
  <c r="Y585" i="1"/>
  <c r="Y594" i="1"/>
  <c r="Y549" i="1"/>
  <c r="Y588" i="1"/>
  <c r="Y555" i="1"/>
  <c r="Y504" i="1"/>
  <c r="Y521" i="1"/>
  <c r="Y501" i="1"/>
  <c r="Y528" i="1"/>
  <c r="Y512" i="1"/>
  <c r="Y471" i="1"/>
  <c r="Y464" i="1"/>
  <c r="Y469" i="1"/>
  <c r="Y465" i="1"/>
  <c r="Y449" i="1"/>
  <c r="Y491" i="1"/>
  <c r="Y473" i="1"/>
  <c r="Y428" i="1"/>
  <c r="Y320" i="1"/>
  <c r="Y331" i="1"/>
  <c r="Y351" i="1"/>
  <c r="Y400" i="1"/>
  <c r="Y375" i="1"/>
  <c r="Y307" i="1"/>
  <c r="Y397" i="1"/>
  <c r="Y334" i="1"/>
  <c r="Y349" i="1"/>
  <c r="Y354" i="1"/>
  <c r="Y310" i="1"/>
  <c r="Y261" i="1"/>
  <c r="Y294" i="1"/>
  <c r="Y342" i="1"/>
  <c r="Y410" i="1"/>
  <c r="Y274" i="1"/>
  <c r="Y303" i="1"/>
  <c r="Y316" i="1"/>
  <c r="Y264" i="1"/>
  <c r="Y332" i="1"/>
  <c r="Y401" i="1"/>
  <c r="Y369" i="1"/>
  <c r="Y337" i="1"/>
  <c r="Y305" i="1"/>
  <c r="Y273" i="1"/>
  <c r="Y292" i="1"/>
  <c r="Y734" i="1"/>
  <c r="Y728" i="1"/>
  <c r="Y740" i="1"/>
  <c r="Y751" i="1"/>
  <c r="Y721" i="1"/>
  <c r="Y681" i="1"/>
  <c r="Y724" i="1"/>
  <c r="Y694" i="1"/>
  <c r="Y680" i="1"/>
  <c r="Y722" i="1"/>
  <c r="Y676" i="1"/>
  <c r="Y661" i="1"/>
  <c r="Y669" i="1"/>
  <c r="Y648" i="1"/>
  <c r="Y626" i="1"/>
  <c r="Y602" i="1"/>
  <c r="Y623" i="1"/>
  <c r="Y622" i="1"/>
  <c r="Y598" i="1"/>
  <c r="Y620" i="1"/>
  <c r="Y586" i="1"/>
  <c r="Y570" i="1"/>
  <c r="Y568" i="1"/>
  <c r="Y561" i="1"/>
  <c r="Y574" i="1"/>
  <c r="Y573" i="1"/>
  <c r="Y552" i="1"/>
  <c r="Y529" i="1"/>
  <c r="Y498" i="1"/>
  <c r="Y493" i="1"/>
  <c r="Y497" i="1"/>
  <c r="Y499" i="1"/>
  <c r="Y508" i="1"/>
  <c r="Y455" i="1"/>
  <c r="Y486" i="1"/>
  <c r="Y461" i="1"/>
  <c r="Y450" i="1"/>
  <c r="Y480" i="1"/>
  <c r="Y475" i="1"/>
  <c r="Y489" i="1"/>
  <c r="Y434" i="1"/>
  <c r="Y366" i="1"/>
  <c r="Y262" i="1"/>
  <c r="Y317" i="1"/>
  <c r="Y382" i="1"/>
  <c r="Y286" i="1"/>
  <c r="Y716" i="1"/>
  <c r="Y726" i="1"/>
  <c r="Y743" i="1"/>
  <c r="Y735" i="1"/>
  <c r="Y727" i="1"/>
  <c r="Y685" i="1"/>
  <c r="Y718" i="1"/>
  <c r="Y703" i="1"/>
  <c r="Y712" i="1"/>
  <c r="Y719" i="1"/>
  <c r="Y711" i="1"/>
  <c r="Y650" i="1"/>
  <c r="Y675" i="1"/>
  <c r="Y645" i="1"/>
  <c r="Y654" i="1"/>
  <c r="Y619" i="1"/>
  <c r="Y635" i="1"/>
  <c r="Y616" i="1"/>
  <c r="Y615" i="1"/>
  <c r="Y640" i="1"/>
  <c r="Y612" i="1"/>
  <c r="Y560" i="1"/>
  <c r="Y538" i="1"/>
  <c r="Y558" i="1"/>
  <c r="Y567" i="1"/>
  <c r="Y550" i="1"/>
  <c r="Y532" i="1"/>
  <c r="Y557" i="1"/>
  <c r="Y583" i="1"/>
  <c r="Y525" i="1"/>
  <c r="Y523" i="1"/>
  <c r="Y524" i="1"/>
  <c r="Y519" i="1"/>
  <c r="Y517" i="1"/>
  <c r="Y439" i="1"/>
  <c r="Y483" i="1"/>
  <c r="Y485" i="1"/>
  <c r="Y479" i="1"/>
  <c r="Y448" i="1"/>
  <c r="Y459" i="1"/>
  <c r="Y472" i="1"/>
  <c r="Y425" i="1"/>
  <c r="Y308" i="1"/>
  <c r="Y319" i="1"/>
  <c r="Y407" i="1"/>
  <c r="Y339" i="1"/>
  <c r="Y383" i="1"/>
  <c r="Y402" i="1"/>
  <c r="Y374" i="1"/>
  <c r="Y386" i="1"/>
  <c r="Y350" i="1"/>
  <c r="Y398" i="1"/>
  <c r="Y269" i="1"/>
  <c r="Y391" i="1"/>
  <c r="Y330" i="1"/>
  <c r="Y311" i="1"/>
  <c r="Y388" i="1"/>
  <c r="Y291" i="1"/>
  <c r="Y299" i="1"/>
  <c r="Y393" i="1"/>
  <c r="Y361" i="1"/>
  <c r="Y329" i="1"/>
  <c r="Y297" i="1"/>
  <c r="Y265" i="1"/>
  <c r="Y725" i="1"/>
  <c r="Y704" i="1"/>
  <c r="Y714" i="1"/>
  <c r="Y646" i="1"/>
  <c r="Y657" i="1"/>
  <c r="Y662" i="1"/>
  <c r="Y649" i="1"/>
  <c r="Y667" i="1"/>
  <c r="Y611" i="1"/>
  <c r="Y617" i="1"/>
  <c r="Y608" i="1"/>
  <c r="Y607" i="1"/>
  <c r="Y621" i="1"/>
  <c r="Y604" i="1"/>
  <c r="Y535" i="1"/>
  <c r="Y569" i="1"/>
  <c r="Y580" i="1"/>
  <c r="Y571" i="1"/>
  <c r="Y548" i="1"/>
  <c r="Y581" i="1"/>
  <c r="Y563" i="1"/>
  <c r="Y541" i="1"/>
  <c r="Y748" i="1"/>
  <c r="Y505" i="1"/>
  <c r="Y440" i="1"/>
  <c r="Y364" i="1"/>
  <c r="Y746" i="1"/>
  <c r="Y506" i="1"/>
  <c r="Y430" i="1"/>
  <c r="Y392" i="1"/>
  <c r="Y687" i="1"/>
  <c r="Y468" i="1"/>
  <c r="Y403" i="1"/>
  <c r="Y384" i="1"/>
  <c r="Y283" i="1"/>
  <c r="Y284" i="1"/>
  <c r="Y509" i="1"/>
  <c r="Y686" i="1"/>
  <c r="Y467" i="1"/>
  <c r="Y338" i="1"/>
  <c r="Y707" i="1"/>
  <c r="Y482" i="1"/>
  <c r="Y344" i="1"/>
  <c r="Y266" i="1"/>
  <c r="Y328" i="1"/>
  <c r="Y443" i="1"/>
  <c r="Y309" i="1"/>
  <c r="Y513" i="1"/>
  <c r="Y463" i="1"/>
  <c r="Y279" i="1"/>
  <c r="Y399" i="1"/>
  <c r="Y302" i="1"/>
  <c r="Y378" i="1"/>
  <c r="Y352" i="1"/>
  <c r="Y300" i="1"/>
  <c r="Y522" i="1"/>
  <c r="Y444" i="1"/>
  <c r="Y271" i="1"/>
  <c r="Y60" i="1"/>
  <c r="Y52" i="1"/>
  <c r="Y103" i="1"/>
  <c r="Y70" i="1"/>
  <c r="AA64" i="1"/>
  <c r="AA15" i="1"/>
  <c r="AA48" i="1"/>
  <c r="AA171" i="1"/>
  <c r="AA3" i="1"/>
  <c r="AA10" i="1"/>
  <c r="AA82" i="1"/>
  <c r="AA43" i="1"/>
  <c r="AA86" i="1"/>
  <c r="AA149" i="1"/>
  <c r="AA174" i="1"/>
  <c r="AA65" i="1"/>
  <c r="AA91" i="1"/>
  <c r="AA117" i="1"/>
  <c r="AA92" i="1"/>
  <c r="AA123" i="1"/>
  <c r="AA72" i="1"/>
  <c r="AA107" i="1"/>
  <c r="AA142" i="1"/>
  <c r="AA125" i="1"/>
  <c r="R233" i="1"/>
  <c r="Q232" i="1"/>
  <c r="R408" i="1"/>
  <c r="Q407" i="1"/>
  <c r="R311" i="1"/>
  <c r="Q310" i="1"/>
  <c r="R441" i="1"/>
  <c r="Q440" i="1"/>
  <c r="R34" i="1"/>
  <c r="Q33" i="1"/>
  <c r="T539" i="1"/>
  <c r="R65" i="1"/>
  <c r="Q64" i="1"/>
  <c r="P64" i="1" s="1"/>
  <c r="R260" i="1"/>
  <c r="Q259" i="1"/>
  <c r="R10" i="1"/>
  <c r="Q9" i="1"/>
  <c r="R361" i="1"/>
  <c r="Q360" i="1"/>
  <c r="R562" i="1"/>
  <c r="Q561" i="1"/>
  <c r="R433" i="1"/>
  <c r="Q432" i="1"/>
  <c r="P432" i="1" s="1"/>
  <c r="R501" i="1"/>
  <c r="Q500" i="1"/>
  <c r="P500" i="1" s="1"/>
  <c r="R539" i="1"/>
  <c r="Q538" i="1"/>
  <c r="R88" i="1"/>
  <c r="Q87" i="1"/>
  <c r="R3" i="1"/>
  <c r="Q3" i="1" s="1"/>
  <c r="Q2" i="1"/>
  <c r="P2" i="1" s="1"/>
  <c r="R124" i="1"/>
  <c r="Q123" i="1"/>
  <c r="R156" i="1"/>
  <c r="Q155" i="1"/>
  <c r="R218" i="1"/>
  <c r="Q217" i="1"/>
  <c r="R50" i="1"/>
  <c r="Q49" i="1"/>
  <c r="P49" i="1" s="1"/>
  <c r="T562" i="1"/>
  <c r="R342" i="1"/>
  <c r="Q341" i="1"/>
  <c r="R388" i="1"/>
  <c r="Q387" i="1"/>
  <c r="R183" i="1"/>
  <c r="Q182" i="1"/>
  <c r="R284" i="1"/>
  <c r="Q283" i="1"/>
  <c r="AA255" i="1"/>
  <c r="T124" i="1"/>
  <c r="AA59" i="1"/>
  <c r="AA33" i="1"/>
  <c r="AA110" i="1"/>
  <c r="AA63" i="1"/>
  <c r="AA71" i="1"/>
  <c r="AA68" i="1"/>
  <c r="AA8" i="1"/>
  <c r="AA39" i="1"/>
  <c r="T34" i="1"/>
  <c r="AA35" i="1"/>
  <c r="AA5" i="1"/>
  <c r="AA24" i="1"/>
  <c r="AA25" i="1"/>
  <c r="AA131" i="1"/>
  <c r="AA6" i="1"/>
  <c r="AA17" i="1"/>
  <c r="AA124" i="1"/>
  <c r="AA16" i="1"/>
  <c r="N175" i="1"/>
  <c r="N176" i="1" s="1"/>
  <c r="N177" i="1" s="1"/>
  <c r="N178" i="1" s="1"/>
  <c r="AB175" i="1"/>
  <c r="N151" i="1"/>
  <c r="N152" i="1" s="1"/>
  <c r="N153" i="1" s="1"/>
  <c r="N154" i="1" s="1"/>
  <c r="AB151" i="1"/>
  <c r="AB26" i="1"/>
  <c r="N163" i="1"/>
  <c r="N164" i="1" s="1"/>
  <c r="N165" i="1" s="1"/>
  <c r="N166" i="1" s="1"/>
  <c r="AB163" i="1"/>
  <c r="AA99" i="1"/>
  <c r="N155" i="1"/>
  <c r="N156" i="1" s="1"/>
  <c r="N157" i="1" s="1"/>
  <c r="N158" i="1" s="1"/>
  <c r="AB155" i="1"/>
  <c r="N111" i="1"/>
  <c r="N112" i="1" s="1"/>
  <c r="N113" i="1" s="1"/>
  <c r="N114" i="1" s="1"/>
  <c r="AB111" i="1"/>
  <c r="N21" i="1"/>
  <c r="N22" i="1" s="1"/>
  <c r="N23" i="1" s="1"/>
  <c r="N24" i="1" s="1"/>
  <c r="AB21" i="1"/>
  <c r="N9" i="1"/>
  <c r="N10" i="1" s="1"/>
  <c r="N11" i="1" s="1"/>
  <c r="N12" i="1" s="1"/>
  <c r="AB9" i="1"/>
  <c r="N198" i="1"/>
  <c r="N199" i="1" s="1"/>
  <c r="N200" i="1" s="1"/>
  <c r="N201" i="1" s="1"/>
  <c r="AB198" i="1"/>
  <c r="N2" i="1"/>
  <c r="N3" i="1" s="1"/>
  <c r="N4" i="1" s="1"/>
  <c r="N5" i="1" s="1"/>
  <c r="AB2" i="1"/>
  <c r="N248" i="1"/>
  <c r="N249" i="1" s="1"/>
  <c r="N250" i="1" s="1"/>
  <c r="N251" i="1" s="1"/>
  <c r="AB248" i="1"/>
  <c r="N210" i="1"/>
  <c r="N211" i="1" s="1"/>
  <c r="N212" i="1" s="1"/>
  <c r="N213" i="1" s="1"/>
  <c r="AB210" i="1"/>
  <c r="N171" i="1"/>
  <c r="N172" i="1" s="1"/>
  <c r="N173" i="1" s="1"/>
  <c r="N174" i="1" s="1"/>
  <c r="AB171" i="1"/>
  <c r="N135" i="1"/>
  <c r="N136" i="1" s="1"/>
  <c r="N137" i="1" s="1"/>
  <c r="N138" i="1" s="1"/>
  <c r="AB135" i="1"/>
  <c r="N107" i="1"/>
  <c r="N108" i="1" s="1"/>
  <c r="N109" i="1" s="1"/>
  <c r="N110" i="1" s="1"/>
  <c r="AB107" i="1"/>
  <c r="N37" i="1"/>
  <c r="N38" i="1" s="1"/>
  <c r="N39" i="1" s="1"/>
  <c r="N40" i="1" s="1"/>
  <c r="AB37" i="1"/>
  <c r="N256" i="1"/>
  <c r="N257" i="1" s="1"/>
  <c r="N258" i="1" s="1"/>
  <c r="AB256" i="1"/>
  <c r="AB218" i="1"/>
  <c r="N240" i="1"/>
  <c r="N241" i="1" s="1"/>
  <c r="N242" i="1" s="1"/>
  <c r="N243" i="1" s="1"/>
  <c r="AB240" i="1"/>
  <c r="N143" i="1"/>
  <c r="N144" i="1" s="1"/>
  <c r="N145" i="1" s="1"/>
  <c r="N146" i="1" s="1"/>
  <c r="AB143" i="1"/>
  <c r="N99" i="1"/>
  <c r="N100" i="1" s="1"/>
  <c r="N101" i="1" s="1"/>
  <c r="N102" i="1" s="1"/>
  <c r="AB99" i="1"/>
  <c r="N64" i="1"/>
  <c r="N65" i="1" s="1"/>
  <c r="N66" i="1" s="1"/>
  <c r="N67" i="1" s="1"/>
  <c r="AB64" i="1"/>
  <c r="N252" i="1"/>
  <c r="N253" i="1" s="1"/>
  <c r="N254" i="1" s="1"/>
  <c r="N255" i="1" s="1"/>
  <c r="AB252" i="1"/>
  <c r="N194" i="1"/>
  <c r="N195" i="1" s="1"/>
  <c r="N196" i="1" s="1"/>
  <c r="N197" i="1" s="1"/>
  <c r="AB194" i="1"/>
  <c r="N127" i="1"/>
  <c r="N128" i="1" s="1"/>
  <c r="N129" i="1" s="1"/>
  <c r="N130" i="1" s="1"/>
  <c r="AB127" i="1"/>
  <c r="N25" i="1"/>
  <c r="N26" i="1" s="1"/>
  <c r="N27" i="1" s="1"/>
  <c r="N28" i="1" s="1"/>
  <c r="AB25" i="1"/>
  <c r="N123" i="1"/>
  <c r="N124" i="1" s="1"/>
  <c r="N125" i="1" s="1"/>
  <c r="N126" i="1" s="1"/>
  <c r="AB123" i="1"/>
  <c r="N17" i="1"/>
  <c r="N18" i="1" s="1"/>
  <c r="N19" i="1" s="1"/>
  <c r="N20" i="1" s="1"/>
  <c r="AB17" i="1"/>
  <c r="N131" i="1"/>
  <c r="N132" i="1" s="1"/>
  <c r="N133" i="1" s="1"/>
  <c r="N134" i="1" s="1"/>
  <c r="AB131" i="1"/>
  <c r="AB10" i="1"/>
  <c r="N179" i="1"/>
  <c r="N180" i="1" s="1"/>
  <c r="N181" i="1" s="1"/>
  <c r="AB179" i="1"/>
  <c r="N84" i="1"/>
  <c r="N85" i="1" s="1"/>
  <c r="N86" i="1" s="1"/>
  <c r="AB84" i="1"/>
  <c r="N206" i="1"/>
  <c r="N207" i="1" s="1"/>
  <c r="N208" i="1" s="1"/>
  <c r="N209" i="1" s="1"/>
  <c r="AB206" i="1"/>
  <c r="AA61" i="1"/>
  <c r="AB226" i="1"/>
  <c r="N45" i="1"/>
  <c r="N46" i="1" s="1"/>
  <c r="N47" i="1" s="1"/>
  <c r="N48" i="1" s="1"/>
  <c r="AB45" i="1"/>
  <c r="N6" i="1"/>
  <c r="N7" i="1" s="1"/>
  <c r="N8" i="1" s="1"/>
  <c r="AB6" i="1"/>
  <c r="N41" i="1"/>
  <c r="N42" i="1" s="1"/>
  <c r="N43" i="1" s="1"/>
  <c r="N44" i="1" s="1"/>
  <c r="AB41" i="1"/>
  <c r="N217" i="1"/>
  <c r="N218" i="1" s="1"/>
  <c r="N219" i="1" s="1"/>
  <c r="N220" i="1" s="1"/>
  <c r="AB217" i="1"/>
  <c r="N61" i="1"/>
  <c r="N62" i="1" s="1"/>
  <c r="N63" i="1" s="1"/>
  <c r="AB61" i="1"/>
  <c r="AB46" i="1"/>
  <c r="N225" i="1"/>
  <c r="N226" i="1" s="1"/>
  <c r="N227" i="1" s="1"/>
  <c r="N228" i="1" s="1"/>
  <c r="AB225" i="1"/>
  <c r="N139" i="1"/>
  <c r="N140" i="1" s="1"/>
  <c r="N141" i="1" s="1"/>
  <c r="N142" i="1" s="1"/>
  <c r="AB139" i="1"/>
  <c r="N76" i="1"/>
  <c r="N77" i="1" s="1"/>
  <c r="N78" i="1" s="1"/>
  <c r="N79" i="1" s="1"/>
  <c r="AB76" i="1"/>
  <c r="N53" i="1"/>
  <c r="N54" i="1" s="1"/>
  <c r="N55" i="1" s="1"/>
  <c r="N56" i="1" s="1"/>
  <c r="AB53" i="1"/>
  <c r="N91" i="1"/>
  <c r="N92" i="1" s="1"/>
  <c r="N93" i="1" s="1"/>
  <c r="N94" i="1" s="1"/>
  <c r="AB91" i="1"/>
  <c r="AB11" i="1"/>
  <c r="N103" i="1"/>
  <c r="N104" i="1" s="1"/>
  <c r="N105" i="1" s="1"/>
  <c r="N106" i="1" s="1"/>
  <c r="AB103" i="1"/>
  <c r="N186" i="1"/>
  <c r="N187" i="1" s="1"/>
  <c r="N188" i="1" s="1"/>
  <c r="N189" i="1" s="1"/>
  <c r="AB186" i="1"/>
  <c r="N159" i="1"/>
  <c r="N160" i="1" s="1"/>
  <c r="N161" i="1" s="1"/>
  <c r="N162" i="1" s="1"/>
  <c r="AB159" i="1"/>
  <c r="AA94" i="1"/>
  <c r="N259" i="1"/>
  <c r="N260" i="1" s="1"/>
  <c r="N261" i="1" s="1"/>
  <c r="N262" i="1" s="1"/>
  <c r="AB259" i="1"/>
  <c r="N229" i="1"/>
  <c r="N230" i="1" s="1"/>
  <c r="N231" i="1" s="1"/>
  <c r="AB229" i="1"/>
  <c r="N244" i="1"/>
  <c r="N245" i="1" s="1"/>
  <c r="N246" i="1" s="1"/>
  <c r="N247" i="1" s="1"/>
  <c r="AB244" i="1"/>
  <c r="N57" i="1"/>
  <c r="N58" i="1" s="1"/>
  <c r="N59" i="1" s="1"/>
  <c r="N60" i="1" s="1"/>
  <c r="AB57" i="1"/>
  <c r="N115" i="1"/>
  <c r="N116" i="1" s="1"/>
  <c r="N117" i="1" s="1"/>
  <c r="N118" i="1" s="1"/>
  <c r="AB115" i="1"/>
  <c r="N87" i="1"/>
  <c r="N88" i="1" s="1"/>
  <c r="N89" i="1" s="1"/>
  <c r="N90" i="1" s="1"/>
  <c r="AB87" i="1"/>
  <c r="AA73" i="1"/>
  <c r="N190" i="1"/>
  <c r="N191" i="1" s="1"/>
  <c r="N192" i="1" s="1"/>
  <c r="N193" i="1" s="1"/>
  <c r="AB190" i="1"/>
  <c r="AB34" i="1"/>
  <c r="N33" i="1"/>
  <c r="N34" i="1" s="1"/>
  <c r="N35" i="1" s="1"/>
  <c r="N36" i="1" s="1"/>
  <c r="AB33" i="1"/>
  <c r="N221" i="1"/>
  <c r="N222" i="1" s="1"/>
  <c r="N223" i="1" s="1"/>
  <c r="N224" i="1" s="1"/>
  <c r="AB221" i="1"/>
  <c r="N119" i="1"/>
  <c r="N120" i="1" s="1"/>
  <c r="N121" i="1" s="1"/>
  <c r="N122" i="1" s="1"/>
  <c r="AB119" i="1"/>
  <c r="N13" i="1"/>
  <c r="N14" i="1" s="1"/>
  <c r="N15" i="1" s="1"/>
  <c r="N16" i="1" s="1"/>
  <c r="AB13" i="1"/>
  <c r="N49" i="1"/>
  <c r="N50" i="1" s="1"/>
  <c r="N51" i="1" s="1"/>
  <c r="N52" i="1" s="1"/>
  <c r="AB49" i="1"/>
  <c r="N202" i="1"/>
  <c r="N203" i="1" s="1"/>
  <c r="N204" i="1" s="1"/>
  <c r="N205" i="1" s="1"/>
  <c r="AB202" i="1"/>
  <c r="N29" i="1"/>
  <c r="N30" i="1" s="1"/>
  <c r="N31" i="1" s="1"/>
  <c r="N32" i="1" s="1"/>
  <c r="AB29" i="1"/>
  <c r="N147" i="1"/>
  <c r="N148" i="1" s="1"/>
  <c r="N149" i="1" s="1"/>
  <c r="N150" i="1" s="1"/>
  <c r="AB147" i="1"/>
  <c r="N80" i="1"/>
  <c r="N81" i="1" s="1"/>
  <c r="N82" i="1" s="1"/>
  <c r="N83" i="1" s="1"/>
  <c r="AB80" i="1"/>
  <c r="N214" i="1"/>
  <c r="N215" i="1" s="1"/>
  <c r="N216" i="1" s="1"/>
  <c r="AB214" i="1"/>
  <c r="N68" i="1"/>
  <c r="N69" i="1" s="1"/>
  <c r="N70" i="1" s="1"/>
  <c r="N71" i="1" s="1"/>
  <c r="AB68" i="1"/>
  <c r="N72" i="1"/>
  <c r="N73" i="1" s="1"/>
  <c r="N74" i="1" s="1"/>
  <c r="N75" i="1" s="1"/>
  <c r="AB72" i="1"/>
  <c r="AB30" i="1"/>
  <c r="N232" i="1"/>
  <c r="N233" i="1" s="1"/>
  <c r="N234" i="1" s="1"/>
  <c r="N235" i="1" s="1"/>
  <c r="AB232" i="1"/>
  <c r="N182" i="1"/>
  <c r="N183" i="1" s="1"/>
  <c r="N184" i="1" s="1"/>
  <c r="N185" i="1" s="1"/>
  <c r="AB182" i="1"/>
  <c r="N95" i="1"/>
  <c r="N96" i="1" s="1"/>
  <c r="N97" i="1" s="1"/>
  <c r="N98" i="1" s="1"/>
  <c r="AB95" i="1"/>
  <c r="N167" i="1"/>
  <c r="N168" i="1" s="1"/>
  <c r="N169" i="1" s="1"/>
  <c r="N170" i="1" s="1"/>
  <c r="AB167" i="1"/>
  <c r="N236" i="1"/>
  <c r="N237" i="1" s="1"/>
  <c r="N238" i="1" s="1"/>
  <c r="N239" i="1" s="1"/>
  <c r="AB236" i="1"/>
  <c r="AA213" i="1"/>
  <c r="AA41" i="1"/>
  <c r="AA19" i="1"/>
  <c r="AA165" i="1"/>
  <c r="AA60" i="1"/>
  <c r="AA75" i="1"/>
  <c r="AA4" i="1"/>
  <c r="AA67" i="1"/>
  <c r="AA259" i="1"/>
  <c r="AA140" i="1"/>
  <c r="AA100" i="1"/>
  <c r="AA23" i="1"/>
  <c r="AA243" i="1"/>
  <c r="AA62" i="1"/>
  <c r="AA88" i="1"/>
  <c r="AA248" i="1"/>
  <c r="AA175" i="1"/>
  <c r="AA128" i="1"/>
  <c r="AA80" i="1"/>
  <c r="AA160" i="1"/>
  <c r="AA232" i="1"/>
  <c r="AA182" i="1"/>
  <c r="AA222" i="1"/>
  <c r="AA167" i="1"/>
  <c r="AA7" i="1"/>
  <c r="AA202" i="1"/>
  <c r="AA181" i="1"/>
  <c r="AA29" i="1"/>
  <c r="AA132" i="1"/>
  <c r="AA106" i="1"/>
  <c r="T88" i="1"/>
  <c r="AA38" i="1"/>
  <c r="AA141" i="1"/>
  <c r="AA148" i="1"/>
  <c r="AA157" i="1"/>
  <c r="AA54" i="1"/>
  <c r="AA139" i="1"/>
  <c r="AA40" i="1"/>
  <c r="AA184" i="1"/>
  <c r="AA203" i="1"/>
  <c r="AA115" i="1"/>
  <c r="AA32" i="1"/>
  <c r="AA158" i="1"/>
  <c r="AA197" i="1"/>
  <c r="AA56" i="1"/>
  <c r="AA126" i="1"/>
  <c r="AA79" i="1"/>
  <c r="AA98" i="1"/>
  <c r="T65" i="1"/>
  <c r="AA83" i="1"/>
  <c r="T433" i="1"/>
  <c r="AA102" i="1"/>
  <c r="AA90" i="1"/>
  <c r="AA108" i="1"/>
  <c r="T441" i="1"/>
  <c r="T501" i="1"/>
  <c r="AA227" i="1"/>
  <c r="AA257" i="1"/>
  <c r="AA146" i="1"/>
  <c r="T3" i="1"/>
  <c r="P3" i="1" s="1"/>
  <c r="AA105" i="1"/>
  <c r="AA95" i="1"/>
  <c r="AA104" i="1"/>
  <c r="AA22" i="1"/>
  <c r="AA218" i="1"/>
  <c r="AA51" i="1"/>
  <c r="AA164" i="1"/>
  <c r="AA118" i="1"/>
  <c r="AA226" i="1"/>
  <c r="AA46" i="1"/>
  <c r="AA135" i="1"/>
  <c r="AA225" i="1"/>
  <c r="AA45" i="1"/>
  <c r="AA26" i="1"/>
  <c r="AA193" i="1"/>
  <c r="AA57" i="1"/>
  <c r="AA254" i="1"/>
  <c r="AA210" i="1"/>
  <c r="AA162" i="1"/>
  <c r="AA114" i="1"/>
  <c r="AA223" i="1"/>
  <c r="AA154" i="1"/>
  <c r="AA173" i="1"/>
  <c r="AA101" i="1"/>
  <c r="AA78" i="1"/>
  <c r="AA244" i="1"/>
  <c r="AA177" i="1"/>
  <c r="AA228" i="1"/>
  <c r="AA50" i="1"/>
  <c r="AA20" i="1"/>
  <c r="AA89" i="1"/>
  <c r="AJ2" i="1"/>
  <c r="AA249" i="1"/>
  <c r="AA144" i="1"/>
  <c r="AA129" i="1"/>
  <c r="AA163" i="1"/>
  <c r="AA66" i="1"/>
  <c r="AA219" i="1"/>
  <c r="AA87" i="1"/>
  <c r="AA37" i="1"/>
  <c r="AA256" i="1"/>
  <c r="AA246" i="1"/>
  <c r="AA195" i="1"/>
  <c r="AA74" i="1"/>
  <c r="AA28" i="1"/>
  <c r="AA27" i="1"/>
  <c r="AA147" i="1"/>
  <c r="AA199" i="1"/>
  <c r="AA178" i="1"/>
  <c r="AA130" i="1"/>
  <c r="AA85" i="1"/>
  <c r="AA240" i="1"/>
  <c r="AA189" i="1"/>
  <c r="AA143" i="1"/>
  <c r="AA120" i="1"/>
  <c r="AA18" i="1"/>
  <c r="AA252" i="1"/>
  <c r="AA194" i="1"/>
  <c r="AA224" i="1"/>
  <c r="AA196" i="1"/>
  <c r="AA155" i="1"/>
  <c r="AA111" i="1"/>
  <c r="AA208" i="1"/>
  <c r="AA21" i="1"/>
  <c r="AA215" i="1"/>
  <c r="AA168" i="1"/>
  <c r="AA230" i="1"/>
  <c r="AA200" i="1"/>
  <c r="AA258" i="1"/>
  <c r="AA236" i="1"/>
  <c r="AA250" i="1"/>
  <c r="AA176" i="1"/>
  <c r="AA234" i="1"/>
  <c r="AA217" i="1"/>
  <c r="AA172" i="1"/>
  <c r="AA145" i="1"/>
  <c r="AA247" i="1"/>
  <c r="AA127" i="1"/>
  <c r="AA238" i="1"/>
  <c r="AA44" i="1"/>
  <c r="AA153" i="1"/>
  <c r="AA36" i="1"/>
  <c r="AA93" i="1"/>
  <c r="AA70" i="1"/>
  <c r="AA242" i="1"/>
  <c r="AA151" i="1"/>
  <c r="AA220" i="1"/>
  <c r="AA192" i="1"/>
  <c r="AA122" i="1"/>
  <c r="AA97" i="1"/>
  <c r="AA42" i="1"/>
  <c r="AA241" i="1"/>
  <c r="AA212" i="1"/>
  <c r="AA96" i="1"/>
  <c r="AA76" i="1"/>
  <c r="AA53" i="1"/>
  <c r="AA156" i="1"/>
  <c r="AA11" i="1"/>
  <c r="AA237" i="1"/>
  <c r="AA180" i="1"/>
  <c r="AA52" i="1"/>
  <c r="AA245" i="1"/>
  <c r="AA14" i="1"/>
  <c r="AA55" i="1"/>
  <c r="AA113" i="1"/>
  <c r="AA209" i="1"/>
  <c r="AA187" i="1"/>
  <c r="AA9" i="1"/>
  <c r="AA207" i="1"/>
  <c r="AA152" i="1"/>
  <c r="AA77" i="1"/>
  <c r="AA191" i="1"/>
  <c r="AA204" i="1"/>
  <c r="T50" i="1"/>
  <c r="AA190" i="1"/>
  <c r="AA34" i="1"/>
  <c r="AA205" i="1"/>
  <c r="AA233" i="1"/>
  <c r="AA183" i="1"/>
  <c r="AA133" i="1"/>
  <c r="AA137" i="1"/>
  <c r="AA221" i="1"/>
  <c r="AA136" i="1"/>
  <c r="AA239" i="1"/>
  <c r="AA216" i="1"/>
  <c r="AA188" i="1"/>
  <c r="AA169" i="1"/>
  <c r="AA103" i="1"/>
  <c r="AA186" i="1"/>
  <c r="AA159" i="1"/>
  <c r="AA161" i="1"/>
  <c r="AA201" i="1"/>
  <c r="AA166" i="1"/>
  <c r="AA109" i="1"/>
  <c r="AA251" i="1"/>
  <c r="AA198" i="1"/>
  <c r="AA235" i="1"/>
  <c r="AA58" i="1"/>
  <c r="AA2" i="1"/>
  <c r="AA214" i="1"/>
  <c r="AA229" i="1"/>
  <c r="AA170" i="1"/>
  <c r="AA150" i="1"/>
  <c r="AA134" i="1"/>
  <c r="AA12" i="1"/>
  <c r="AA211" i="1"/>
  <c r="AA112" i="1"/>
  <c r="AA30" i="1"/>
  <c r="AA116" i="1"/>
  <c r="AA138" i="1"/>
  <c r="AA119" i="1"/>
  <c r="AA13" i="1"/>
  <c r="AA49" i="1"/>
  <c r="AA253" i="1"/>
  <c r="AA231" i="1"/>
  <c r="AA179" i="1"/>
  <c r="AA84" i="1"/>
  <c r="AA206" i="1"/>
  <c r="AA185" i="1"/>
  <c r="AA69" i="1"/>
  <c r="AA81" i="1"/>
  <c r="T10" i="1"/>
  <c r="T155" i="1"/>
  <c r="P155" i="1" s="1"/>
  <c r="AI7" i="1"/>
  <c r="AI6" i="1"/>
  <c r="T919" i="1" l="1"/>
  <c r="Q918" i="1"/>
  <c r="P918" i="1" s="1"/>
  <c r="AF918" i="1" s="1"/>
  <c r="R919" i="1"/>
  <c r="AI13" i="1"/>
  <c r="AK5" i="1"/>
  <c r="Q830" i="1"/>
  <c r="R831" i="1"/>
  <c r="P829" i="1"/>
  <c r="AF829" i="1" s="1"/>
  <c r="T830" i="1"/>
  <c r="T125" i="1"/>
  <c r="T126" i="1" s="1"/>
  <c r="AF500" i="1"/>
  <c r="P87" i="1"/>
  <c r="AF87" i="1" s="1"/>
  <c r="T35" i="1"/>
  <c r="P561" i="1"/>
  <c r="AF561" i="1" s="1"/>
  <c r="P123" i="1"/>
  <c r="AF123" i="1" s="1"/>
  <c r="AF49" i="1"/>
  <c r="AF2" i="1"/>
  <c r="AF432" i="1"/>
  <c r="P33" i="1"/>
  <c r="AF33" i="1" s="1"/>
  <c r="P9" i="1"/>
  <c r="AF9" i="1" s="1"/>
  <c r="AF64" i="1"/>
  <c r="P440" i="1"/>
  <c r="AF440" i="1" s="1"/>
  <c r="P538" i="1"/>
  <c r="AF538" i="1" s="1"/>
  <c r="AJ8" i="1"/>
  <c r="Y1" i="2"/>
  <c r="AI5" i="1"/>
  <c r="AF3" i="1"/>
  <c r="AF155" i="1"/>
  <c r="R51" i="1"/>
  <c r="Q50" i="1"/>
  <c r="P50" i="1" s="1"/>
  <c r="R442" i="1"/>
  <c r="Q441" i="1"/>
  <c r="R285" i="1"/>
  <c r="Q284" i="1"/>
  <c r="R362" i="1"/>
  <c r="Q361" i="1"/>
  <c r="T66" i="1"/>
  <c r="R343" i="1"/>
  <c r="Q342" i="1"/>
  <c r="R219" i="1"/>
  <c r="Q218" i="1"/>
  <c r="T540" i="1"/>
  <c r="R312" i="1"/>
  <c r="Q311" i="1"/>
  <c r="R184" i="1"/>
  <c r="Q183" i="1"/>
  <c r="T563" i="1"/>
  <c r="R89" i="1"/>
  <c r="Q88" i="1"/>
  <c r="R4" i="1"/>
  <c r="R11" i="1"/>
  <c r="Q10" i="1"/>
  <c r="P10" i="1" s="1"/>
  <c r="R157" i="1"/>
  <c r="Q156" i="1"/>
  <c r="R409" i="1"/>
  <c r="Q408" i="1"/>
  <c r="T89" i="1"/>
  <c r="R540" i="1"/>
  <c r="Q539" i="1"/>
  <c r="P539" i="1" s="1"/>
  <c r="R434" i="1"/>
  <c r="Q433" i="1"/>
  <c r="R261" i="1"/>
  <c r="Q260" i="1"/>
  <c r="R35" i="1"/>
  <c r="Q34" i="1"/>
  <c r="P34" i="1" s="1"/>
  <c r="R389" i="1"/>
  <c r="Q388" i="1"/>
  <c r="R234" i="1"/>
  <c r="Q233" i="1"/>
  <c r="R125" i="1"/>
  <c r="Q124" i="1"/>
  <c r="P124" i="1" s="1"/>
  <c r="R502" i="1"/>
  <c r="Q501" i="1"/>
  <c r="P501" i="1" s="1"/>
  <c r="R563" i="1"/>
  <c r="Q562" i="1"/>
  <c r="R66" i="1"/>
  <c r="Q65" i="1"/>
  <c r="AI12" i="1"/>
  <c r="T156" i="1"/>
  <c r="T502" i="1"/>
  <c r="T4" i="1"/>
  <c r="T36" i="1"/>
  <c r="T434" i="1"/>
  <c r="T51" i="1"/>
  <c r="T442" i="1"/>
  <c r="AI8" i="1"/>
  <c r="T11" i="1"/>
  <c r="AI9" i="1"/>
  <c r="AM7" i="1" s="1"/>
  <c r="AL13" i="1" s="1"/>
  <c r="Q919" i="1" l="1"/>
  <c r="P919" i="1" s="1"/>
  <c r="AF919" i="1" s="1"/>
  <c r="R920" i="1"/>
  <c r="T920" i="1"/>
  <c r="AI14" i="1"/>
  <c r="AL32" i="1" s="1"/>
  <c r="AI3" i="1"/>
  <c r="P830" i="1"/>
  <c r="AF830" i="1" s="1"/>
  <c r="T831" i="1"/>
  <c r="Q831" i="1"/>
  <c r="R832" i="1"/>
  <c r="Y4" i="2"/>
  <c r="Y5" i="2" s="1"/>
  <c r="Y3" i="2"/>
  <c r="T67" i="1"/>
  <c r="AF10" i="1"/>
  <c r="AF539" i="1"/>
  <c r="AF501" i="1"/>
  <c r="P88" i="1"/>
  <c r="AF88" i="1" s="1"/>
  <c r="P156" i="1"/>
  <c r="AF156" i="1" s="1"/>
  <c r="P433" i="1"/>
  <c r="AF433" i="1" s="1"/>
  <c r="P65" i="1"/>
  <c r="AF65" i="1" s="1"/>
  <c r="AF34" i="1"/>
  <c r="T90" i="1"/>
  <c r="AF124" i="1"/>
  <c r="P562" i="1"/>
  <c r="AF562" i="1" s="1"/>
  <c r="P441" i="1"/>
  <c r="AF441" i="1" s="1"/>
  <c r="AF50" i="1"/>
  <c r="AL9" i="1"/>
  <c r="AO7" i="1"/>
  <c r="AL11" i="1"/>
  <c r="AL10" i="1"/>
  <c r="AL12" i="1"/>
  <c r="AL29" i="1"/>
  <c r="R262" i="1"/>
  <c r="Q261" i="1"/>
  <c r="R12" i="1"/>
  <c r="Q11" i="1"/>
  <c r="R220" i="1"/>
  <c r="Q219" i="1"/>
  <c r="R36" i="1"/>
  <c r="Q35" i="1"/>
  <c r="T127" i="1"/>
  <c r="R67" i="1"/>
  <c r="Q66" i="1"/>
  <c r="P66" i="1" s="1"/>
  <c r="R235" i="1"/>
  <c r="Q234" i="1"/>
  <c r="Q4" i="1"/>
  <c r="P4" i="1" s="1"/>
  <c r="R5" i="1"/>
  <c r="R286" i="1"/>
  <c r="Q285" i="1"/>
  <c r="R435" i="1"/>
  <c r="Q435" i="1" s="1"/>
  <c r="Q434" i="1"/>
  <c r="P434" i="1" s="1"/>
  <c r="R344" i="1"/>
  <c r="Q343" i="1"/>
  <c r="R564" i="1"/>
  <c r="Q563" i="1"/>
  <c r="P563" i="1" s="1"/>
  <c r="R390" i="1"/>
  <c r="Q389" i="1"/>
  <c r="R410" i="1"/>
  <c r="Q409" i="1"/>
  <c r="R90" i="1"/>
  <c r="Q89" i="1"/>
  <c r="R443" i="1"/>
  <c r="Q442" i="1"/>
  <c r="R541" i="1"/>
  <c r="Q540" i="1"/>
  <c r="T564" i="1"/>
  <c r="R313" i="1"/>
  <c r="Q312" i="1"/>
  <c r="R503" i="1"/>
  <c r="Q502" i="1"/>
  <c r="R158" i="1"/>
  <c r="Q157" i="1"/>
  <c r="T541" i="1"/>
  <c r="R52" i="1"/>
  <c r="Q51" i="1"/>
  <c r="R126" i="1"/>
  <c r="Q125" i="1"/>
  <c r="R185" i="1"/>
  <c r="Q184" i="1"/>
  <c r="R363" i="1"/>
  <c r="Q362" i="1"/>
  <c r="T91" i="1"/>
  <c r="T435" i="1"/>
  <c r="T68" i="1"/>
  <c r="T37" i="1"/>
  <c r="T443" i="1"/>
  <c r="T5" i="1"/>
  <c r="T157" i="1"/>
  <c r="T52" i="1"/>
  <c r="T503" i="1"/>
  <c r="T12" i="1"/>
  <c r="AI10" i="1"/>
  <c r="AL31" i="1" s="1"/>
  <c r="T921" i="1" l="1"/>
  <c r="Q920" i="1"/>
  <c r="P920" i="1" s="1"/>
  <c r="AF920" i="1" s="1"/>
  <c r="R921" i="1"/>
  <c r="Q832" i="1"/>
  <c r="R833" i="1"/>
  <c r="P831" i="1"/>
  <c r="AF831" i="1" s="1"/>
  <c r="T832" i="1"/>
  <c r="P157" i="1"/>
  <c r="P435" i="1"/>
  <c r="AF4" i="1"/>
  <c r="P502" i="1"/>
  <c r="AF502" i="1" s="1"/>
  <c r="AF563" i="1"/>
  <c r="AF66" i="1"/>
  <c r="P89" i="1"/>
  <c r="AF89" i="1" s="1"/>
  <c r="AF434" i="1"/>
  <c r="P11" i="1"/>
  <c r="AF11" i="1" s="1"/>
  <c r="P125" i="1"/>
  <c r="AF125" i="1" s="1"/>
  <c r="P51" i="1"/>
  <c r="AF51" i="1" s="1"/>
  <c r="T128" i="1"/>
  <c r="P540" i="1"/>
  <c r="AF540" i="1" s="1"/>
  <c r="P442" i="1"/>
  <c r="AF442" i="1" s="1"/>
  <c r="P35" i="1"/>
  <c r="AF35" i="1" s="1"/>
  <c r="AN10" i="1"/>
  <c r="AN11" i="1"/>
  <c r="AN13" i="1"/>
  <c r="AN12" i="1"/>
  <c r="AN9" i="1"/>
  <c r="AL30" i="1"/>
  <c r="AL28" i="1"/>
  <c r="AL26" i="1" s="1"/>
  <c r="AF435" i="1"/>
  <c r="AF157" i="1"/>
  <c r="R504" i="1"/>
  <c r="Q503" i="1"/>
  <c r="P503" i="1" s="1"/>
  <c r="AF503" i="1" s="1"/>
  <c r="R542" i="1"/>
  <c r="Q541" i="1"/>
  <c r="R391" i="1"/>
  <c r="Q390" i="1"/>
  <c r="R68" i="1"/>
  <c r="Q67" i="1"/>
  <c r="T542" i="1"/>
  <c r="R13" i="1"/>
  <c r="Q12" i="1"/>
  <c r="R186" i="1"/>
  <c r="Q185" i="1"/>
  <c r="R444" i="1"/>
  <c r="Q443" i="1"/>
  <c r="P443" i="1" s="1"/>
  <c r="R565" i="1"/>
  <c r="Q564" i="1"/>
  <c r="R287" i="1"/>
  <c r="Q286" i="1"/>
  <c r="R127" i="1"/>
  <c r="Q126" i="1"/>
  <c r="R6" i="1"/>
  <c r="Q5" i="1"/>
  <c r="P5" i="1" s="1"/>
  <c r="R159" i="1"/>
  <c r="Q158" i="1"/>
  <c r="R314" i="1"/>
  <c r="Q313" i="1"/>
  <c r="R91" i="1"/>
  <c r="Q90" i="1"/>
  <c r="P90" i="1" s="1"/>
  <c r="R263" i="1"/>
  <c r="Q262" i="1"/>
  <c r="R37" i="1"/>
  <c r="Q36" i="1"/>
  <c r="R411" i="1"/>
  <c r="Q410" i="1"/>
  <c r="R345" i="1"/>
  <c r="Q344" i="1"/>
  <c r="R236" i="1"/>
  <c r="Q235" i="1"/>
  <c r="T565" i="1"/>
  <c r="R364" i="1"/>
  <c r="Q363" i="1"/>
  <c r="R53" i="1"/>
  <c r="Q52" i="1"/>
  <c r="P52" i="1" s="1"/>
  <c r="R221" i="1"/>
  <c r="Q220" i="1"/>
  <c r="T13" i="1"/>
  <c r="T158" i="1"/>
  <c r="T69" i="1"/>
  <c r="T38" i="1"/>
  <c r="T53" i="1"/>
  <c r="T504" i="1"/>
  <c r="T6" i="1"/>
  <c r="T129" i="1"/>
  <c r="T444" i="1"/>
  <c r="T92" i="1"/>
  <c r="AE936" i="1" l="1"/>
  <c r="AE940" i="1"/>
  <c r="AE939" i="1"/>
  <c r="AE935" i="1"/>
  <c r="AE937" i="1"/>
  <c r="AE938" i="1"/>
  <c r="AE941" i="1"/>
  <c r="AE864" i="1"/>
  <c r="AE872" i="1"/>
  <c r="AE909" i="1"/>
  <c r="AE905" i="1"/>
  <c r="AE910" i="1"/>
  <c r="AE891" i="1"/>
  <c r="AE911" i="1"/>
  <c r="AE901" i="1"/>
  <c r="AE917" i="1"/>
  <c r="AE925" i="1"/>
  <c r="AE933" i="1"/>
  <c r="AE923" i="1"/>
  <c r="AE929" i="1"/>
  <c r="AE913" i="1"/>
  <c r="AE906" i="1"/>
  <c r="AE883" i="1"/>
  <c r="AE884" i="1"/>
  <c r="AE892" i="1"/>
  <c r="AE900" i="1"/>
  <c r="AE899" i="1"/>
  <c r="AE928" i="1"/>
  <c r="AE888" i="1"/>
  <c r="AE880" i="1"/>
  <c r="AE867" i="1"/>
  <c r="AE860" i="1"/>
  <c r="AE863" i="1"/>
  <c r="AE876" i="1"/>
  <c r="AE920" i="1"/>
  <c r="AE887" i="1"/>
  <c r="AE914" i="1"/>
  <c r="AE896" i="1"/>
  <c r="AE915" i="1"/>
  <c r="AE903" i="1"/>
  <c r="AE871" i="1"/>
  <c r="AE875" i="1"/>
  <c r="AE868" i="1"/>
  <c r="AE932" i="1"/>
  <c r="AE916" i="1"/>
  <c r="AE859" i="1"/>
  <c r="AE898" i="1"/>
  <c r="AE895" i="1"/>
  <c r="AE907" i="1"/>
  <c r="AE879" i="1"/>
  <c r="AE921" i="1"/>
  <c r="AE861" i="1"/>
  <c r="AE897" i="1"/>
  <c r="AE930" i="1"/>
  <c r="AE924" i="1"/>
  <c r="AE873" i="1"/>
  <c r="AE926" i="1"/>
  <c r="AE886" i="1"/>
  <c r="AE882" i="1"/>
  <c r="AE890" i="1"/>
  <c r="AE893" i="1"/>
  <c r="AE927" i="1"/>
  <c r="AE931" i="1"/>
  <c r="AE919" i="1"/>
  <c r="AE902" i="1"/>
  <c r="AE862" i="1"/>
  <c r="AE934" i="1"/>
  <c r="AE904" i="1"/>
  <c r="AE878" i="1"/>
  <c r="AE889" i="1"/>
  <c r="AE908" i="1"/>
  <c r="AE885" i="1"/>
  <c r="AE912" i="1"/>
  <c r="AE894" i="1"/>
  <c r="AE918" i="1"/>
  <c r="AE870" i="1"/>
  <c r="AE877" i="1"/>
  <c r="AE874" i="1"/>
  <c r="AE869" i="1"/>
  <c r="AE881" i="1"/>
  <c r="AE866" i="1"/>
  <c r="AE865" i="1"/>
  <c r="AE922" i="1"/>
  <c r="Q921" i="1"/>
  <c r="P921" i="1" s="1"/>
  <c r="AF921" i="1" s="1"/>
  <c r="R922" i="1"/>
  <c r="T922" i="1"/>
  <c r="AE845" i="1"/>
  <c r="AE853" i="1"/>
  <c r="AE844" i="1"/>
  <c r="AE840" i="1"/>
  <c r="AE848" i="1"/>
  <c r="AE852" i="1"/>
  <c r="AE854" i="1"/>
  <c r="AE843" i="1"/>
  <c r="AE855" i="1"/>
  <c r="AE856" i="1"/>
  <c r="AE851" i="1"/>
  <c r="AE858" i="1"/>
  <c r="AE842" i="1"/>
  <c r="AE846" i="1"/>
  <c r="AE857" i="1"/>
  <c r="AE841" i="1"/>
  <c r="AE847" i="1"/>
  <c r="AE849" i="1"/>
  <c r="AE850" i="1"/>
  <c r="P832" i="1"/>
  <c r="AF832" i="1" s="1"/>
  <c r="T833" i="1"/>
  <c r="AE805" i="1"/>
  <c r="AE813" i="1"/>
  <c r="AE821" i="1"/>
  <c r="AE829" i="1"/>
  <c r="AE803" i="1"/>
  <c r="AE811" i="1"/>
  <c r="AE819" i="1"/>
  <c r="AE827" i="1"/>
  <c r="AE826" i="1"/>
  <c r="AE833" i="1"/>
  <c r="AE806" i="1"/>
  <c r="AE797" i="1"/>
  <c r="AE798" i="1"/>
  <c r="AE818" i="1"/>
  <c r="AE817" i="1"/>
  <c r="AE814" i="1"/>
  <c r="AE832" i="1"/>
  <c r="AE830" i="1"/>
  <c r="AE802" i="1"/>
  <c r="AE809" i="1"/>
  <c r="AE837" i="1"/>
  <c r="AE838" i="1"/>
  <c r="AE822" i="1"/>
  <c r="AE825" i="1"/>
  <c r="AE801" i="1"/>
  <c r="AE810" i="1"/>
  <c r="AE834" i="1"/>
  <c r="AE808" i="1"/>
  <c r="AE820" i="1"/>
  <c r="AE816" i="1"/>
  <c r="AE823" i="1"/>
  <c r="AE839" i="1"/>
  <c r="AE835" i="1"/>
  <c r="AE799" i="1"/>
  <c r="AE836" i="1"/>
  <c r="AE804" i="1"/>
  <c r="AE815" i="1"/>
  <c r="AE831" i="1"/>
  <c r="AE812" i="1"/>
  <c r="AE828" i="1"/>
  <c r="AE800" i="1"/>
  <c r="AE824" i="1"/>
  <c r="AE807" i="1"/>
  <c r="Q833" i="1"/>
  <c r="R834" i="1"/>
  <c r="P158" i="1"/>
  <c r="P12" i="1"/>
  <c r="AF12" i="1" s="1"/>
  <c r="P36" i="1"/>
  <c r="AF36" i="1" s="1"/>
  <c r="AF5" i="1"/>
  <c r="AF443" i="1"/>
  <c r="P564" i="1"/>
  <c r="AF564" i="1" s="1"/>
  <c r="P541" i="1"/>
  <c r="AF541" i="1" s="1"/>
  <c r="AF52" i="1"/>
  <c r="AF90" i="1"/>
  <c r="P126" i="1"/>
  <c r="AF126" i="1" s="1"/>
  <c r="P67" i="1"/>
  <c r="AF67" i="1" s="1"/>
  <c r="AE783" i="1"/>
  <c r="AE791" i="1"/>
  <c r="AE794" i="1"/>
  <c r="AE795" i="1"/>
  <c r="AE779" i="1"/>
  <c r="AE778" i="1"/>
  <c r="AE790" i="1"/>
  <c r="AE782" i="1"/>
  <c r="AE787" i="1"/>
  <c r="AE786" i="1"/>
  <c r="AE793" i="1"/>
  <c r="AE792" i="1"/>
  <c r="AE785" i="1"/>
  <c r="AE796" i="1"/>
  <c r="AE781" i="1"/>
  <c r="AE784" i="1"/>
  <c r="AE789" i="1"/>
  <c r="AE780" i="1"/>
  <c r="AE788" i="1"/>
  <c r="AE761" i="1"/>
  <c r="AE772" i="1"/>
  <c r="AE773" i="1"/>
  <c r="AE768" i="1"/>
  <c r="AE760" i="1"/>
  <c r="AE776" i="1"/>
  <c r="AE764" i="1"/>
  <c r="AE765" i="1"/>
  <c r="AE757" i="1"/>
  <c r="AE756" i="1"/>
  <c r="AE774" i="1"/>
  <c r="AE771" i="1"/>
  <c r="AE766" i="1"/>
  <c r="AE759" i="1"/>
  <c r="AE770" i="1"/>
  <c r="AE763" i="1"/>
  <c r="AE767" i="1"/>
  <c r="AE769" i="1"/>
  <c r="AE777" i="1"/>
  <c r="AE775" i="1"/>
  <c r="AE758" i="1"/>
  <c r="AE762" i="1"/>
  <c r="AE752" i="1"/>
  <c r="AE750" i="1"/>
  <c r="AE746" i="1"/>
  <c r="AE738" i="1"/>
  <c r="AE751" i="1"/>
  <c r="AE732" i="1"/>
  <c r="AE728" i="1"/>
  <c r="AE734" i="1"/>
  <c r="AE742" i="1"/>
  <c r="AE740" i="1"/>
  <c r="AE726" i="1"/>
  <c r="AE744" i="1"/>
  <c r="AE747" i="1"/>
  <c r="AE730" i="1"/>
  <c r="AE748" i="1"/>
  <c r="AE755" i="1"/>
  <c r="AE754" i="1"/>
  <c r="AE736" i="1"/>
  <c r="AE727" i="1"/>
  <c r="AE737" i="1"/>
  <c r="AE739" i="1"/>
  <c r="AE729" i="1"/>
  <c r="AE731" i="1"/>
  <c r="AE735" i="1"/>
  <c r="AE753" i="1"/>
  <c r="AE749" i="1"/>
  <c r="AE725" i="1"/>
  <c r="AE745" i="1"/>
  <c r="AE741" i="1"/>
  <c r="AE743" i="1"/>
  <c r="AE733" i="1"/>
  <c r="AE677" i="1"/>
  <c r="AE681" i="1"/>
  <c r="AE678" i="1"/>
  <c r="AE686" i="1"/>
  <c r="AE689" i="1"/>
  <c r="AE684" i="1"/>
  <c r="AE696" i="1"/>
  <c r="AE685" i="1"/>
  <c r="AE682" i="1"/>
  <c r="AE692" i="1"/>
  <c r="AE722" i="1"/>
  <c r="AE693" i="1"/>
  <c r="AE698" i="1"/>
  <c r="AE720" i="1"/>
  <c r="AE702" i="1"/>
  <c r="AE715" i="1"/>
  <c r="AE710" i="1"/>
  <c r="AE688" i="1"/>
  <c r="AE694" i="1"/>
  <c r="AE711" i="1"/>
  <c r="AE721" i="1"/>
  <c r="AE690" i="1"/>
  <c r="AE704" i="1"/>
  <c r="AE703" i="1"/>
  <c r="AE700" i="1"/>
  <c r="AE723" i="1"/>
  <c r="AE680" i="1"/>
  <c r="AE718" i="1"/>
  <c r="AE707" i="1"/>
  <c r="AE705" i="1"/>
  <c r="AE717" i="1"/>
  <c r="AE716" i="1"/>
  <c r="AE697" i="1"/>
  <c r="AE701" i="1"/>
  <c r="AE713" i="1"/>
  <c r="AE712" i="1"/>
  <c r="AE679" i="1"/>
  <c r="AE683" i="1"/>
  <c r="AE706" i="1"/>
  <c r="AE714" i="1"/>
  <c r="AE699" i="1"/>
  <c r="AE708" i="1"/>
  <c r="AE709" i="1"/>
  <c r="AE691" i="1"/>
  <c r="AE724" i="1"/>
  <c r="AE687" i="1"/>
  <c r="AE719" i="1"/>
  <c r="AE695" i="1"/>
  <c r="AE659" i="1"/>
  <c r="AE671" i="1"/>
  <c r="AE663" i="1"/>
  <c r="AE673" i="1"/>
  <c r="AE643" i="1"/>
  <c r="AE660" i="1"/>
  <c r="AE675" i="1"/>
  <c r="AE667" i="1"/>
  <c r="AE674" i="1"/>
  <c r="AE670" i="1"/>
  <c r="AE654" i="1"/>
  <c r="AE652" i="1"/>
  <c r="AE672" i="1"/>
  <c r="AE664" i="1"/>
  <c r="AE665" i="1"/>
  <c r="AE658" i="1"/>
  <c r="AE656" i="1"/>
  <c r="AE662" i="1"/>
  <c r="AE668" i="1"/>
  <c r="AE666" i="1"/>
  <c r="AE657" i="1"/>
  <c r="AE644" i="1"/>
  <c r="AE648" i="1"/>
  <c r="AE650" i="1"/>
  <c r="AE647" i="1"/>
  <c r="AE651" i="1"/>
  <c r="AE661" i="1"/>
  <c r="AE655" i="1"/>
  <c r="AE649" i="1"/>
  <c r="AE653" i="1"/>
  <c r="AE676" i="1"/>
  <c r="AE669" i="1"/>
  <c r="AE646" i="1"/>
  <c r="AE645" i="1"/>
  <c r="AE31" i="1"/>
  <c r="AE633" i="1"/>
  <c r="AE636" i="1"/>
  <c r="AE622" i="1"/>
  <c r="AE624" i="1"/>
  <c r="AE623" i="1"/>
  <c r="AE404" i="1"/>
  <c r="AE612" i="1"/>
  <c r="AE47" i="1"/>
  <c r="AE629" i="1"/>
  <c r="AE634" i="1"/>
  <c r="AE616" i="1"/>
  <c r="AE434" i="1"/>
  <c r="AE628" i="1"/>
  <c r="AE635" i="1"/>
  <c r="AE121" i="1"/>
  <c r="AE621" i="1"/>
  <c r="AE631" i="1"/>
  <c r="AE642" i="1"/>
  <c r="AE626" i="1"/>
  <c r="AE632" i="1"/>
  <c r="AE627" i="1"/>
  <c r="AE630" i="1"/>
  <c r="AE607" i="1"/>
  <c r="AE625" i="1"/>
  <c r="AE595" i="1"/>
  <c r="AE640" i="1"/>
  <c r="AE605" i="1"/>
  <c r="AE615" i="1"/>
  <c r="AE614" i="1"/>
  <c r="AE619" i="1"/>
  <c r="AE641" i="1"/>
  <c r="AE604" i="1"/>
  <c r="AE613" i="1"/>
  <c r="AE639" i="1"/>
  <c r="AE601" i="1"/>
  <c r="AE611" i="1"/>
  <c r="AE610" i="1"/>
  <c r="AE637" i="1"/>
  <c r="AE608" i="1"/>
  <c r="AE596" i="1"/>
  <c r="AE620" i="1"/>
  <c r="AE597" i="1"/>
  <c r="AE600" i="1"/>
  <c r="AE609" i="1"/>
  <c r="AE606" i="1"/>
  <c r="AE617" i="1"/>
  <c r="AE602" i="1"/>
  <c r="AE638" i="1"/>
  <c r="AE599" i="1"/>
  <c r="AE598" i="1"/>
  <c r="AE603" i="1"/>
  <c r="AE618" i="1"/>
  <c r="AE572" i="1"/>
  <c r="AE566" i="1"/>
  <c r="AE534" i="1"/>
  <c r="AE581" i="1"/>
  <c r="AE549" i="1"/>
  <c r="AE555" i="1"/>
  <c r="AE556" i="1"/>
  <c r="AE578" i="1"/>
  <c r="AE546" i="1"/>
  <c r="AE593" i="1"/>
  <c r="AE561" i="1"/>
  <c r="AE529" i="1"/>
  <c r="AE568" i="1"/>
  <c r="AE536" i="1"/>
  <c r="AE575" i="1"/>
  <c r="AE543" i="1"/>
  <c r="AE587" i="1"/>
  <c r="AE532" i="1"/>
  <c r="AE558" i="1"/>
  <c r="AE540" i="1"/>
  <c r="AE573" i="1"/>
  <c r="AE547" i="1"/>
  <c r="AE570" i="1"/>
  <c r="AE538" i="1"/>
  <c r="AE585" i="1"/>
  <c r="AE553" i="1"/>
  <c r="AE592" i="1"/>
  <c r="AE560" i="1"/>
  <c r="AE580" i="1"/>
  <c r="AE567" i="1"/>
  <c r="AE535" i="1"/>
  <c r="AE579" i="1"/>
  <c r="AE582" i="1"/>
  <c r="AE550" i="1"/>
  <c r="AE590" i="1"/>
  <c r="AE565" i="1"/>
  <c r="AE533" i="1"/>
  <c r="AE539" i="1"/>
  <c r="AE594" i="1"/>
  <c r="AE562" i="1"/>
  <c r="AE530" i="1"/>
  <c r="AE577" i="1"/>
  <c r="AE545" i="1"/>
  <c r="AE584" i="1"/>
  <c r="AE552" i="1"/>
  <c r="AE591" i="1"/>
  <c r="AE559" i="1"/>
  <c r="AE574" i="1"/>
  <c r="AE542" i="1"/>
  <c r="AE589" i="1"/>
  <c r="AE557" i="1"/>
  <c r="AE564" i="1"/>
  <c r="AE563" i="1"/>
  <c r="AE586" i="1"/>
  <c r="AE554" i="1"/>
  <c r="AE588" i="1"/>
  <c r="AE569" i="1"/>
  <c r="AE537" i="1"/>
  <c r="AE576" i="1"/>
  <c r="AE544" i="1"/>
  <c r="AE583" i="1"/>
  <c r="AE551" i="1"/>
  <c r="AE531" i="1"/>
  <c r="AE571" i="1"/>
  <c r="AE548" i="1"/>
  <c r="AE541" i="1"/>
  <c r="AE507" i="1"/>
  <c r="AE492" i="1"/>
  <c r="AE497" i="1"/>
  <c r="AE520" i="1"/>
  <c r="AE495" i="1"/>
  <c r="AE526" i="1"/>
  <c r="AE519" i="1"/>
  <c r="AE525" i="1"/>
  <c r="AE493" i="1"/>
  <c r="AE500" i="1"/>
  <c r="AE506" i="1"/>
  <c r="AE521" i="1"/>
  <c r="AE527" i="1"/>
  <c r="AE499" i="1"/>
  <c r="AE502" i="1"/>
  <c r="AE518" i="1"/>
  <c r="AE517" i="1"/>
  <c r="AE524" i="1"/>
  <c r="AE515" i="1"/>
  <c r="AE498" i="1"/>
  <c r="AE513" i="1"/>
  <c r="AE512" i="1"/>
  <c r="AE511" i="1"/>
  <c r="AE514" i="1"/>
  <c r="AE528" i="1"/>
  <c r="AE510" i="1"/>
  <c r="AE509" i="1"/>
  <c r="AE516" i="1"/>
  <c r="AE505" i="1"/>
  <c r="AE522" i="1"/>
  <c r="AE503" i="1"/>
  <c r="AE496" i="1"/>
  <c r="AE504" i="1"/>
  <c r="AE494" i="1"/>
  <c r="AE501" i="1"/>
  <c r="AE508" i="1"/>
  <c r="AE523" i="1"/>
  <c r="AE484" i="1"/>
  <c r="AE473" i="1"/>
  <c r="AE441" i="1"/>
  <c r="AE440" i="1"/>
  <c r="AE463" i="1"/>
  <c r="AE474" i="1"/>
  <c r="AE456" i="1"/>
  <c r="AE438" i="1"/>
  <c r="AE448" i="1"/>
  <c r="AE485" i="1"/>
  <c r="AE453" i="1"/>
  <c r="AE468" i="1"/>
  <c r="AE436" i="1"/>
  <c r="AE435" i="1"/>
  <c r="AE467" i="1"/>
  <c r="AE458" i="1"/>
  <c r="AE465" i="1"/>
  <c r="AE464" i="1"/>
  <c r="AE487" i="1"/>
  <c r="AE455" i="1"/>
  <c r="AE466" i="1"/>
  <c r="AE486" i="1"/>
  <c r="AE490" i="1"/>
  <c r="AE478" i="1"/>
  <c r="AE477" i="1"/>
  <c r="AE445" i="1"/>
  <c r="AE460" i="1"/>
  <c r="AE491" i="1"/>
  <c r="AE459" i="1"/>
  <c r="AE489" i="1"/>
  <c r="AE457" i="1"/>
  <c r="AE482" i="1"/>
  <c r="AE479" i="1"/>
  <c r="AE447" i="1"/>
  <c r="AE442" i="1"/>
  <c r="AE462" i="1"/>
  <c r="AE450" i="1"/>
  <c r="AE470" i="1"/>
  <c r="AE469" i="1"/>
  <c r="AE437" i="1"/>
  <c r="AE452" i="1"/>
  <c r="AE483" i="1"/>
  <c r="AE451" i="1"/>
  <c r="AE481" i="1"/>
  <c r="AE449" i="1"/>
  <c r="AE472" i="1"/>
  <c r="AE471" i="1"/>
  <c r="AE439" i="1"/>
  <c r="AE488" i="1"/>
  <c r="AE446" i="1"/>
  <c r="AE480" i="1"/>
  <c r="AE454" i="1"/>
  <c r="AE461" i="1"/>
  <c r="AE476" i="1"/>
  <c r="AE444" i="1"/>
  <c r="AE475" i="1"/>
  <c r="AE443" i="1"/>
  <c r="AE427" i="1"/>
  <c r="AE426" i="1"/>
  <c r="AE429" i="1"/>
  <c r="AE433" i="1"/>
  <c r="AE432" i="1"/>
  <c r="AE425" i="1"/>
  <c r="AE431" i="1"/>
  <c r="AE428" i="1"/>
  <c r="AE430" i="1"/>
  <c r="AE412" i="1"/>
  <c r="AE418" i="1"/>
  <c r="AE423" i="1"/>
  <c r="AE414" i="1"/>
  <c r="AE413" i="1"/>
  <c r="AE417" i="1"/>
  <c r="AE421" i="1"/>
  <c r="AE420" i="1"/>
  <c r="AE424" i="1"/>
  <c r="AE415" i="1"/>
  <c r="AE419" i="1"/>
  <c r="AE416" i="1"/>
  <c r="AE422" i="1"/>
  <c r="AE406" i="1"/>
  <c r="AE374" i="1"/>
  <c r="AE342" i="1"/>
  <c r="AE310" i="1"/>
  <c r="AE278" i="1"/>
  <c r="AE391" i="1"/>
  <c r="AE397" i="1"/>
  <c r="AE333" i="1"/>
  <c r="AE261" i="1"/>
  <c r="AE373" i="1"/>
  <c r="AE309" i="1"/>
  <c r="AE396" i="1"/>
  <c r="AE364" i="1"/>
  <c r="AE332" i="1"/>
  <c r="AE300" i="1"/>
  <c r="AE268" i="1"/>
  <c r="AE295" i="1"/>
  <c r="AE299" i="1"/>
  <c r="AE410" i="1"/>
  <c r="AE378" i="1"/>
  <c r="AE346" i="1"/>
  <c r="AE314" i="1"/>
  <c r="AE282" i="1"/>
  <c r="AE343" i="1"/>
  <c r="AE379" i="1"/>
  <c r="AE353" i="1"/>
  <c r="AE289" i="1"/>
  <c r="AE377" i="1"/>
  <c r="AE313" i="1"/>
  <c r="AE408" i="1"/>
  <c r="AE376" i="1"/>
  <c r="AE344" i="1"/>
  <c r="AE312" i="1"/>
  <c r="AE280" i="1"/>
  <c r="AE339" i="1"/>
  <c r="AE267" i="1"/>
  <c r="AE395" i="1"/>
  <c r="AE403" i="1"/>
  <c r="AE398" i="1"/>
  <c r="AE366" i="1"/>
  <c r="AE334" i="1"/>
  <c r="AE302" i="1"/>
  <c r="AE270" i="1"/>
  <c r="AE351" i="1"/>
  <c r="AE381" i="1"/>
  <c r="AE317" i="1"/>
  <c r="AE399" i="1"/>
  <c r="AE357" i="1"/>
  <c r="AE293" i="1"/>
  <c r="AE388" i="1"/>
  <c r="AE356" i="1"/>
  <c r="AE324" i="1"/>
  <c r="AE292" i="1"/>
  <c r="AE260" i="1"/>
  <c r="AE263" i="1"/>
  <c r="AE291" i="1"/>
  <c r="AE367" i="1"/>
  <c r="AE363" i="1"/>
  <c r="AE402" i="1"/>
  <c r="AE370" i="1"/>
  <c r="AE338" i="1"/>
  <c r="AE306" i="1"/>
  <c r="AE274" i="1"/>
  <c r="AE303" i="1"/>
  <c r="AE409" i="1"/>
  <c r="AE337" i="1"/>
  <c r="AE273" i="1"/>
  <c r="AE371" i="1"/>
  <c r="AE361" i="1"/>
  <c r="AE297" i="1"/>
  <c r="AE400" i="1"/>
  <c r="AE368" i="1"/>
  <c r="AE336" i="1"/>
  <c r="AE304" i="1"/>
  <c r="AE272" i="1"/>
  <c r="AE275" i="1"/>
  <c r="AE331" i="1"/>
  <c r="AE323" i="1"/>
  <c r="AE390" i="1"/>
  <c r="AE358" i="1"/>
  <c r="AE326" i="1"/>
  <c r="AE294" i="1"/>
  <c r="AE262" i="1"/>
  <c r="AE311" i="1"/>
  <c r="AE365" i="1"/>
  <c r="AE301" i="1"/>
  <c r="AE405" i="1"/>
  <c r="AE341" i="1"/>
  <c r="AE277" i="1"/>
  <c r="AE380" i="1"/>
  <c r="AE348" i="1"/>
  <c r="AE316" i="1"/>
  <c r="AE284" i="1"/>
  <c r="AE383" i="1"/>
  <c r="AE315" i="1"/>
  <c r="AE283" i="1"/>
  <c r="AE327" i="1"/>
  <c r="AE347" i="1"/>
  <c r="AE394" i="1"/>
  <c r="AE362" i="1"/>
  <c r="AE330" i="1"/>
  <c r="AE298" i="1"/>
  <c r="AE266" i="1"/>
  <c r="AE271" i="1"/>
  <c r="AE393" i="1"/>
  <c r="AE321" i="1"/>
  <c r="AE359" i="1"/>
  <c r="AE401" i="1"/>
  <c r="AE345" i="1"/>
  <c r="AE281" i="1"/>
  <c r="AE392" i="1"/>
  <c r="AE360" i="1"/>
  <c r="AE328" i="1"/>
  <c r="AE296" i="1"/>
  <c r="AE264" i="1"/>
  <c r="AE387" i="1"/>
  <c r="AE382" i="1"/>
  <c r="AE350" i="1"/>
  <c r="AE318" i="1"/>
  <c r="AE286" i="1"/>
  <c r="AE407" i="1"/>
  <c r="AE279" i="1"/>
  <c r="AE349" i="1"/>
  <c r="AE285" i="1"/>
  <c r="AE389" i="1"/>
  <c r="AE325" i="1"/>
  <c r="AE269" i="1"/>
  <c r="AE372" i="1"/>
  <c r="AE340" i="1"/>
  <c r="AE308" i="1"/>
  <c r="AE276" i="1"/>
  <c r="AE335" i="1"/>
  <c r="AE355" i="1"/>
  <c r="AE307" i="1"/>
  <c r="AE287" i="1"/>
  <c r="AE386" i="1"/>
  <c r="AE354" i="1"/>
  <c r="AE322" i="1"/>
  <c r="AE290" i="1"/>
  <c r="AE375" i="1"/>
  <c r="AE411" i="1"/>
  <c r="AE369" i="1"/>
  <c r="AE305" i="1"/>
  <c r="AE319" i="1"/>
  <c r="AE385" i="1"/>
  <c r="AE329" i="1"/>
  <c r="AE265" i="1"/>
  <c r="AE384" i="1"/>
  <c r="AE352" i="1"/>
  <c r="AE320" i="1"/>
  <c r="AE288" i="1"/>
  <c r="AE111" i="1"/>
  <c r="AE32" i="1"/>
  <c r="AE64" i="1"/>
  <c r="AE96" i="1"/>
  <c r="AE128" i="1"/>
  <c r="AE160" i="1"/>
  <c r="AE192" i="1"/>
  <c r="AE224" i="1"/>
  <c r="AE256" i="1"/>
  <c r="AE143" i="1"/>
  <c r="AE57" i="1"/>
  <c r="AE153" i="1"/>
  <c r="AE217" i="1"/>
  <c r="AE41" i="1"/>
  <c r="AE145" i="1"/>
  <c r="AE209" i="1"/>
  <c r="AE10" i="1"/>
  <c r="AE42" i="1"/>
  <c r="AE74" i="1"/>
  <c r="AE106" i="1"/>
  <c r="AE138" i="1"/>
  <c r="AE170" i="1"/>
  <c r="AE202" i="1"/>
  <c r="AE234" i="1"/>
  <c r="AE15" i="1"/>
  <c r="AE207" i="1"/>
  <c r="AE11" i="1"/>
  <c r="AE75" i="1"/>
  <c r="AE107" i="1"/>
  <c r="AE171" i="1"/>
  <c r="AE235" i="1"/>
  <c r="AE7" i="1"/>
  <c r="AE191" i="1"/>
  <c r="AE89" i="1"/>
  <c r="AE43" i="1"/>
  <c r="AE20" i="1"/>
  <c r="AE52" i="1"/>
  <c r="AE84" i="1"/>
  <c r="AE116" i="1"/>
  <c r="AE148" i="1"/>
  <c r="AE180" i="1"/>
  <c r="AE212" i="1"/>
  <c r="AE244" i="1"/>
  <c r="AE175" i="1"/>
  <c r="AE13" i="1"/>
  <c r="AE85" i="1"/>
  <c r="AE157" i="1"/>
  <c r="AE205" i="1"/>
  <c r="AE237" i="1"/>
  <c r="AE87" i="1"/>
  <c r="AE231" i="1"/>
  <c r="AE37" i="1"/>
  <c r="AE93" i="1"/>
  <c r="AE149" i="1"/>
  <c r="AE14" i="1"/>
  <c r="AE46" i="1"/>
  <c r="AE78" i="1"/>
  <c r="AE110" i="1"/>
  <c r="AE142" i="1"/>
  <c r="AE174" i="1"/>
  <c r="AE206" i="1"/>
  <c r="AE238" i="1"/>
  <c r="AE195" i="1"/>
  <c r="AE139" i="1"/>
  <c r="AE203" i="1"/>
  <c r="AE259" i="1"/>
  <c r="AE8" i="1"/>
  <c r="AE40" i="1"/>
  <c r="AE72" i="1"/>
  <c r="AE104" i="1"/>
  <c r="AE136" i="1"/>
  <c r="AE168" i="1"/>
  <c r="AE200" i="1"/>
  <c r="AE232" i="1"/>
  <c r="AE23" i="1"/>
  <c r="AE183" i="1"/>
  <c r="AE81" i="1"/>
  <c r="AE169" i="1"/>
  <c r="AE233" i="1"/>
  <c r="AE73" i="1"/>
  <c r="AE161" i="1"/>
  <c r="AE225" i="1"/>
  <c r="AE18" i="1"/>
  <c r="AE50" i="1"/>
  <c r="AE82" i="1"/>
  <c r="AE114" i="1"/>
  <c r="AE146" i="1"/>
  <c r="AE178" i="1"/>
  <c r="AE210" i="1"/>
  <c r="AE242" i="1"/>
  <c r="AE71" i="1"/>
  <c r="AE255" i="1"/>
  <c r="AE35" i="1"/>
  <c r="AE115" i="1"/>
  <c r="AE179" i="1"/>
  <c r="AE243" i="1"/>
  <c r="AE63" i="1"/>
  <c r="AE239" i="1"/>
  <c r="AE3" i="1"/>
  <c r="AE59" i="1"/>
  <c r="AE28" i="1"/>
  <c r="AE60" i="1"/>
  <c r="AE92" i="1"/>
  <c r="AE124" i="1"/>
  <c r="AE156" i="1"/>
  <c r="AE188" i="1"/>
  <c r="AE220" i="1"/>
  <c r="AE252" i="1"/>
  <c r="AE215" i="1"/>
  <c r="AE29" i="1"/>
  <c r="AE101" i="1"/>
  <c r="AE173" i="1"/>
  <c r="AE213" i="1"/>
  <c r="AE245" i="1"/>
  <c r="AE127" i="1"/>
  <c r="AE33" i="1"/>
  <c r="AE53" i="1"/>
  <c r="AE109" i="1"/>
  <c r="AE165" i="1"/>
  <c r="AE22" i="1"/>
  <c r="AE54" i="1"/>
  <c r="AE86" i="1"/>
  <c r="AE118" i="1"/>
  <c r="AE150" i="1"/>
  <c r="AE182" i="1"/>
  <c r="AE214" i="1"/>
  <c r="AE246" i="1"/>
  <c r="AE131" i="1"/>
  <c r="AE83" i="1"/>
  <c r="AE147" i="1"/>
  <c r="AE211" i="1"/>
  <c r="AE16" i="1"/>
  <c r="AE48" i="1"/>
  <c r="AE80" i="1"/>
  <c r="AE112" i="1"/>
  <c r="AE144" i="1"/>
  <c r="AE176" i="1"/>
  <c r="AE208" i="1"/>
  <c r="AE240" i="1"/>
  <c r="AE55" i="1"/>
  <c r="AE223" i="1"/>
  <c r="AE113" i="1"/>
  <c r="AE185" i="1"/>
  <c r="AE249" i="1"/>
  <c r="AE105" i="1"/>
  <c r="AE177" i="1"/>
  <c r="AE241" i="1"/>
  <c r="AE26" i="1"/>
  <c r="AE58" i="1"/>
  <c r="AE90" i="1"/>
  <c r="AE122" i="1"/>
  <c r="AE154" i="1"/>
  <c r="AE186" i="1"/>
  <c r="AE218" i="1"/>
  <c r="AE250" i="1"/>
  <c r="AE119" i="1"/>
  <c r="AE49" i="1"/>
  <c r="AE51" i="1"/>
  <c r="AE91" i="1"/>
  <c r="AE123" i="1"/>
  <c r="AE155" i="1"/>
  <c r="AE187" i="1"/>
  <c r="AE219" i="1"/>
  <c r="AE251" i="1"/>
  <c r="AE103" i="1"/>
  <c r="AE9" i="1"/>
  <c r="AE19" i="1"/>
  <c r="AE4" i="1"/>
  <c r="AE36" i="1"/>
  <c r="AE68" i="1"/>
  <c r="AE100" i="1"/>
  <c r="AE132" i="1"/>
  <c r="AE164" i="1"/>
  <c r="AE196" i="1"/>
  <c r="AE228" i="1"/>
  <c r="AE79" i="1"/>
  <c r="AE247" i="1"/>
  <c r="AE45" i="1"/>
  <c r="AE117" i="1"/>
  <c r="AE181" i="1"/>
  <c r="AE221" i="1"/>
  <c r="AE253" i="1"/>
  <c r="AE159" i="1"/>
  <c r="AE5" i="1"/>
  <c r="AE69" i="1"/>
  <c r="AE125" i="1"/>
  <c r="AE197" i="1"/>
  <c r="AE30" i="1"/>
  <c r="AE62" i="1"/>
  <c r="AE94" i="1"/>
  <c r="AE126" i="1"/>
  <c r="AE158" i="1"/>
  <c r="AE190" i="1"/>
  <c r="AE222" i="1"/>
  <c r="AE254" i="1"/>
  <c r="AE24" i="1"/>
  <c r="AE56" i="1"/>
  <c r="AE88" i="1"/>
  <c r="AE120" i="1"/>
  <c r="AE152" i="1"/>
  <c r="AE184" i="1"/>
  <c r="AE216" i="1"/>
  <c r="AE248" i="1"/>
  <c r="AE95" i="1"/>
  <c r="AE17" i="1"/>
  <c r="AE129" i="1"/>
  <c r="AE201" i="1"/>
  <c r="AE257" i="1"/>
  <c r="AE137" i="1"/>
  <c r="AE193" i="1"/>
  <c r="AE2" i="1"/>
  <c r="AE34" i="1"/>
  <c r="AE66" i="1"/>
  <c r="AE98" i="1"/>
  <c r="AE130" i="1"/>
  <c r="AE162" i="1"/>
  <c r="AE194" i="1"/>
  <c r="AE226" i="1"/>
  <c r="AE258" i="1"/>
  <c r="AE167" i="1"/>
  <c r="AE97" i="1"/>
  <c r="AE67" i="1"/>
  <c r="AE99" i="1"/>
  <c r="AE163" i="1"/>
  <c r="AE227" i="1"/>
  <c r="AE151" i="1"/>
  <c r="AE65" i="1"/>
  <c r="AE27" i="1"/>
  <c r="AE12" i="1"/>
  <c r="AE44" i="1"/>
  <c r="AE76" i="1"/>
  <c r="AE108" i="1"/>
  <c r="AE140" i="1"/>
  <c r="AE172" i="1"/>
  <c r="AE204" i="1"/>
  <c r="AE236" i="1"/>
  <c r="AE135" i="1"/>
  <c r="AE25" i="1"/>
  <c r="AE61" i="1"/>
  <c r="AE133" i="1"/>
  <c r="AE189" i="1"/>
  <c r="AE229" i="1"/>
  <c r="AE39" i="1"/>
  <c r="AE199" i="1"/>
  <c r="AE21" i="1"/>
  <c r="AE77" i="1"/>
  <c r="AE141" i="1"/>
  <c r="AE6" i="1"/>
  <c r="AE38" i="1"/>
  <c r="AE70" i="1"/>
  <c r="AE102" i="1"/>
  <c r="AE134" i="1"/>
  <c r="AE166" i="1"/>
  <c r="AE198" i="1"/>
  <c r="AE230" i="1"/>
  <c r="AF158" i="1"/>
  <c r="R237" i="1"/>
  <c r="Q236" i="1"/>
  <c r="R445" i="1"/>
  <c r="Q444" i="1"/>
  <c r="P444" i="1" s="1"/>
  <c r="R38" i="1"/>
  <c r="Q37" i="1"/>
  <c r="R160" i="1"/>
  <c r="Q159" i="1"/>
  <c r="R69" i="1"/>
  <c r="Q68" i="1"/>
  <c r="R365" i="1"/>
  <c r="Q364" i="1"/>
  <c r="R346" i="1"/>
  <c r="Q345" i="1"/>
  <c r="R187" i="1"/>
  <c r="Q186" i="1"/>
  <c r="R264" i="1"/>
  <c r="Q263" i="1"/>
  <c r="R392" i="1"/>
  <c r="Q391" i="1"/>
  <c r="T566" i="1"/>
  <c r="R412" i="1"/>
  <c r="Q411" i="1"/>
  <c r="R288" i="1"/>
  <c r="Q287" i="1"/>
  <c r="R14" i="1"/>
  <c r="Q13" i="1"/>
  <c r="P13" i="1" s="1"/>
  <c r="R222" i="1"/>
  <c r="Q221" i="1"/>
  <c r="R92" i="1"/>
  <c r="Q91" i="1"/>
  <c r="R7" i="1"/>
  <c r="Q6" i="1"/>
  <c r="T543" i="1"/>
  <c r="R543" i="1"/>
  <c r="Q542" i="1"/>
  <c r="P542" i="1" s="1"/>
  <c r="R566" i="1"/>
  <c r="Q565" i="1"/>
  <c r="P565" i="1" s="1"/>
  <c r="R54" i="1"/>
  <c r="Q53" i="1"/>
  <c r="P53" i="1" s="1"/>
  <c r="R315" i="1"/>
  <c r="Q314" i="1"/>
  <c r="R128" i="1"/>
  <c r="Q127" i="1"/>
  <c r="R505" i="1"/>
  <c r="Q504" i="1"/>
  <c r="T14" i="1"/>
  <c r="T39" i="1"/>
  <c r="T7" i="1"/>
  <c r="T70" i="1"/>
  <c r="T130" i="1"/>
  <c r="T505" i="1"/>
  <c r="T159" i="1"/>
  <c r="T93" i="1"/>
  <c r="T445" i="1"/>
  <c r="T54" i="1"/>
  <c r="Q922" i="1" l="1"/>
  <c r="P922" i="1" s="1"/>
  <c r="AF922" i="1" s="1"/>
  <c r="R923" i="1"/>
  <c r="T923" i="1"/>
  <c r="Q834" i="1"/>
  <c r="R835" i="1"/>
  <c r="P833" i="1"/>
  <c r="AF833" i="1" s="1"/>
  <c r="T834" i="1"/>
  <c r="P159" i="1"/>
  <c r="AF159" i="1" s="1"/>
  <c r="P91" i="1"/>
  <c r="AF91" i="1" s="1"/>
  <c r="AF565" i="1"/>
  <c r="P37" i="1"/>
  <c r="AF37" i="1" s="1"/>
  <c r="P504" i="1"/>
  <c r="AF504" i="1" s="1"/>
  <c r="AF542" i="1"/>
  <c r="AF13" i="1"/>
  <c r="P127" i="1"/>
  <c r="AF127" i="1" s="1"/>
  <c r="P68" i="1"/>
  <c r="AF68" i="1" s="1"/>
  <c r="P6" i="1"/>
  <c r="AF6" i="1" s="1"/>
  <c r="AF444" i="1"/>
  <c r="AF53" i="1"/>
  <c r="R129" i="1"/>
  <c r="Q128" i="1"/>
  <c r="R161" i="1"/>
  <c r="Q160" i="1"/>
  <c r="R567" i="1"/>
  <c r="Q566" i="1"/>
  <c r="P566" i="1" s="1"/>
  <c r="R8" i="1"/>
  <c r="Q8" i="1" s="1"/>
  <c r="Q7" i="1"/>
  <c r="R15" i="1"/>
  <c r="Q14" i="1"/>
  <c r="R393" i="1"/>
  <c r="Q392" i="1"/>
  <c r="R347" i="1"/>
  <c r="Q346" i="1"/>
  <c r="R316" i="1"/>
  <c r="Q315" i="1"/>
  <c r="R39" i="1"/>
  <c r="Q38" i="1"/>
  <c r="R93" i="1"/>
  <c r="Q92" i="1"/>
  <c r="R289" i="1"/>
  <c r="Q288" i="1"/>
  <c r="R265" i="1"/>
  <c r="Q264" i="1"/>
  <c r="R55" i="1"/>
  <c r="Q54" i="1"/>
  <c r="R366" i="1"/>
  <c r="Q365" i="1"/>
  <c r="R446" i="1"/>
  <c r="Q445" i="1"/>
  <c r="R413" i="1"/>
  <c r="Q412" i="1"/>
  <c r="R544" i="1"/>
  <c r="Q543" i="1"/>
  <c r="R506" i="1"/>
  <c r="Q505" i="1"/>
  <c r="P505" i="1" s="1"/>
  <c r="T544" i="1"/>
  <c r="T567" i="1"/>
  <c r="R70" i="1"/>
  <c r="Q69" i="1"/>
  <c r="R238" i="1"/>
  <c r="Q237" i="1"/>
  <c r="R223" i="1"/>
  <c r="Q222" i="1"/>
  <c r="R188" i="1"/>
  <c r="Q187" i="1"/>
  <c r="T15" i="1"/>
  <c r="T446" i="1"/>
  <c r="T131" i="1"/>
  <c r="T94" i="1"/>
  <c r="T71" i="1"/>
  <c r="T8" i="1"/>
  <c r="T160" i="1"/>
  <c r="T55" i="1"/>
  <c r="T506" i="1"/>
  <c r="T40" i="1"/>
  <c r="P160" i="1" l="1"/>
  <c r="T924" i="1"/>
  <c r="Q923" i="1"/>
  <c r="P923" i="1" s="1"/>
  <c r="AF923" i="1" s="1"/>
  <c r="R924" i="1"/>
  <c r="P834" i="1"/>
  <c r="AF834" i="1" s="1"/>
  <c r="T835" i="1"/>
  <c r="Q835" i="1"/>
  <c r="R836" i="1"/>
  <c r="T16" i="1"/>
  <c r="P38" i="1"/>
  <c r="AF38" i="1" s="1"/>
  <c r="P128" i="1"/>
  <c r="AF128" i="1" s="1"/>
  <c r="P69" i="1"/>
  <c r="AF69" i="1" s="1"/>
  <c r="AF566" i="1"/>
  <c r="P54" i="1"/>
  <c r="AF54" i="1" s="1"/>
  <c r="P543" i="1"/>
  <c r="AF543" i="1" s="1"/>
  <c r="P445" i="1"/>
  <c r="AF445" i="1" s="1"/>
  <c r="P7" i="1"/>
  <c r="AF7" i="1" s="1"/>
  <c r="P8" i="1"/>
  <c r="AF8" i="1" s="1"/>
  <c r="AF505" i="1"/>
  <c r="P92" i="1"/>
  <c r="AF92" i="1" s="1"/>
  <c r="P14" i="1"/>
  <c r="AF14" i="1" s="1"/>
  <c r="AF160" i="1"/>
  <c r="R224" i="1"/>
  <c r="Q223" i="1"/>
  <c r="R545" i="1"/>
  <c r="Q544" i="1"/>
  <c r="R317" i="1"/>
  <c r="Q316" i="1"/>
  <c r="T545" i="1"/>
  <c r="R290" i="1"/>
  <c r="Q289" i="1"/>
  <c r="R414" i="1"/>
  <c r="Q413" i="1"/>
  <c r="R56" i="1"/>
  <c r="Q55" i="1"/>
  <c r="R94" i="1"/>
  <c r="Q93" i="1"/>
  <c r="R348" i="1"/>
  <c r="Q347" i="1"/>
  <c r="R568" i="1"/>
  <c r="Q567" i="1"/>
  <c r="R239" i="1"/>
  <c r="Q238" i="1"/>
  <c r="R507" i="1"/>
  <c r="Q506" i="1"/>
  <c r="P506" i="1" s="1"/>
  <c r="R447" i="1"/>
  <c r="Q446" i="1"/>
  <c r="R394" i="1"/>
  <c r="Q393" i="1"/>
  <c r="R162" i="1"/>
  <c r="Q161" i="1"/>
  <c r="R189" i="1"/>
  <c r="Q188" i="1"/>
  <c r="R71" i="1"/>
  <c r="Q70" i="1"/>
  <c r="R40" i="1"/>
  <c r="Q39" i="1"/>
  <c r="T568" i="1"/>
  <c r="R367" i="1"/>
  <c r="Q366" i="1"/>
  <c r="R266" i="1"/>
  <c r="Q265" i="1"/>
  <c r="R16" i="1"/>
  <c r="Q15" i="1"/>
  <c r="R130" i="1"/>
  <c r="Q129" i="1"/>
  <c r="T72" i="1"/>
  <c r="T56" i="1"/>
  <c r="T95" i="1"/>
  <c r="T17" i="1"/>
  <c r="T161" i="1"/>
  <c r="T132" i="1"/>
  <c r="T507" i="1"/>
  <c r="T41" i="1"/>
  <c r="T447" i="1"/>
  <c r="Q924" i="1" l="1"/>
  <c r="R925" i="1"/>
  <c r="P924" i="1"/>
  <c r="AF924" i="1" s="1"/>
  <c r="T925" i="1"/>
  <c r="Q836" i="1"/>
  <c r="R837" i="1"/>
  <c r="P835" i="1"/>
  <c r="AF835" i="1" s="1"/>
  <c r="T836" i="1"/>
  <c r="P39" i="1"/>
  <c r="AF39" i="1" s="1"/>
  <c r="P55" i="1"/>
  <c r="AF55" i="1" s="1"/>
  <c r="P129" i="1"/>
  <c r="AF129" i="1" s="1"/>
  <c r="P544" i="1"/>
  <c r="AF544" i="1" s="1"/>
  <c r="P15" i="1"/>
  <c r="AF15" i="1" s="1"/>
  <c r="P161" i="1"/>
  <c r="P70" i="1"/>
  <c r="AF70" i="1" s="1"/>
  <c r="AF506" i="1"/>
  <c r="P93" i="1"/>
  <c r="AF93" i="1" s="1"/>
  <c r="P446" i="1"/>
  <c r="AF446" i="1" s="1"/>
  <c r="P567" i="1"/>
  <c r="AF567" i="1" s="1"/>
  <c r="AF161" i="1"/>
  <c r="R131" i="1"/>
  <c r="Q130" i="1"/>
  <c r="R190" i="1"/>
  <c r="Q189" i="1"/>
  <c r="R448" i="1"/>
  <c r="Q447" i="1"/>
  <c r="P447" i="1" s="1"/>
  <c r="R569" i="1"/>
  <c r="Q568" i="1"/>
  <c r="R318" i="1"/>
  <c r="Q317" i="1"/>
  <c r="R17" i="1"/>
  <c r="Q16" i="1"/>
  <c r="P16" i="1" s="1"/>
  <c r="R415" i="1"/>
  <c r="Q414" i="1"/>
  <c r="R508" i="1"/>
  <c r="Q507" i="1"/>
  <c r="P507" i="1" s="1"/>
  <c r="AF507" i="1" s="1"/>
  <c r="R349" i="1"/>
  <c r="Q348" i="1"/>
  <c r="R267" i="1"/>
  <c r="Q266" i="1"/>
  <c r="R163" i="1"/>
  <c r="Q162" i="1"/>
  <c r="R41" i="1"/>
  <c r="Q40" i="1"/>
  <c r="R240" i="1"/>
  <c r="Q239" i="1"/>
  <c r="R95" i="1"/>
  <c r="Q94" i="1"/>
  <c r="R291" i="1"/>
  <c r="Q290" i="1"/>
  <c r="R546" i="1"/>
  <c r="Q545" i="1"/>
  <c r="P545" i="1" s="1"/>
  <c r="R368" i="1"/>
  <c r="Q367" i="1"/>
  <c r="R72" i="1"/>
  <c r="Q71" i="1"/>
  <c r="R395" i="1"/>
  <c r="Q394" i="1"/>
  <c r="T546" i="1"/>
  <c r="T569" i="1"/>
  <c r="R57" i="1"/>
  <c r="Q56" i="1"/>
  <c r="R225" i="1"/>
  <c r="Q224" i="1"/>
  <c r="T42" i="1"/>
  <c r="T18" i="1"/>
  <c r="T508" i="1"/>
  <c r="T96" i="1"/>
  <c r="T133" i="1"/>
  <c r="T57" i="1"/>
  <c r="T448" i="1"/>
  <c r="T162" i="1"/>
  <c r="T73" i="1"/>
  <c r="T926" i="1" l="1"/>
  <c r="Q925" i="1"/>
  <c r="P925" i="1" s="1"/>
  <c r="AF925" i="1" s="1"/>
  <c r="R926" i="1"/>
  <c r="P836" i="1"/>
  <c r="AF836" i="1" s="1"/>
  <c r="T837" i="1"/>
  <c r="Q837" i="1"/>
  <c r="R838" i="1"/>
  <c r="P162" i="1"/>
  <c r="AF162" i="1" s="1"/>
  <c r="P40" i="1"/>
  <c r="AF40" i="1" s="1"/>
  <c r="AF545" i="1"/>
  <c r="P568" i="1"/>
  <c r="AF568" i="1" s="1"/>
  <c r="AF16" i="1"/>
  <c r="AF447" i="1"/>
  <c r="P71" i="1"/>
  <c r="AF71" i="1" s="1"/>
  <c r="P56" i="1"/>
  <c r="AF56" i="1" s="1"/>
  <c r="P130" i="1"/>
  <c r="AF130" i="1" s="1"/>
  <c r="P94" i="1"/>
  <c r="AF94" i="1" s="1"/>
  <c r="T547" i="1"/>
  <c r="R96" i="1"/>
  <c r="Q95" i="1"/>
  <c r="R268" i="1"/>
  <c r="Q267" i="1"/>
  <c r="R226" i="1"/>
  <c r="Q225" i="1"/>
  <c r="R570" i="1"/>
  <c r="Q569" i="1"/>
  <c r="R241" i="1"/>
  <c r="Q240" i="1"/>
  <c r="R416" i="1"/>
  <c r="Q415" i="1"/>
  <c r="R396" i="1"/>
  <c r="Q395" i="1"/>
  <c r="R350" i="1"/>
  <c r="Q349" i="1"/>
  <c r="R449" i="1"/>
  <c r="Q448" i="1"/>
  <c r="R547" i="1"/>
  <c r="Q546" i="1"/>
  <c r="R42" i="1"/>
  <c r="Q41" i="1"/>
  <c r="R18" i="1"/>
  <c r="Q17" i="1"/>
  <c r="R58" i="1"/>
  <c r="Q57" i="1"/>
  <c r="P57" i="1" s="1"/>
  <c r="R73" i="1"/>
  <c r="Q72" i="1"/>
  <c r="R509" i="1"/>
  <c r="Q508" i="1"/>
  <c r="R191" i="1"/>
  <c r="Q190" i="1"/>
  <c r="R292" i="1"/>
  <c r="Q291" i="1"/>
  <c r="R164" i="1"/>
  <c r="Q163" i="1"/>
  <c r="T570" i="1"/>
  <c r="R369" i="1"/>
  <c r="Q368" i="1"/>
  <c r="R319" i="1"/>
  <c r="Q318" i="1"/>
  <c r="R132" i="1"/>
  <c r="Q131" i="1"/>
  <c r="T97" i="1"/>
  <c r="T449" i="1"/>
  <c r="T509" i="1"/>
  <c r="T58" i="1"/>
  <c r="T19" i="1"/>
  <c r="T163" i="1"/>
  <c r="T74" i="1"/>
  <c r="T134" i="1"/>
  <c r="T43" i="1"/>
  <c r="T927" i="1" l="1"/>
  <c r="Q926" i="1"/>
  <c r="P926" i="1" s="1"/>
  <c r="AF926" i="1" s="1"/>
  <c r="R927" i="1"/>
  <c r="Q838" i="1"/>
  <c r="R839" i="1"/>
  <c r="R840" i="1" s="1"/>
  <c r="Q840" i="1" s="1"/>
  <c r="P837" i="1"/>
  <c r="AF837" i="1" s="1"/>
  <c r="T838" i="1"/>
  <c r="P163" i="1"/>
  <c r="AF163" i="1" s="1"/>
  <c r="P72" i="1"/>
  <c r="AF72" i="1" s="1"/>
  <c r="P546" i="1"/>
  <c r="AF546" i="1" s="1"/>
  <c r="AF57" i="1"/>
  <c r="P131" i="1"/>
  <c r="AF131" i="1" s="1"/>
  <c r="P95" i="1"/>
  <c r="AF95" i="1" s="1"/>
  <c r="P17" i="1"/>
  <c r="AF17" i="1" s="1"/>
  <c r="P41" i="1"/>
  <c r="AF41" i="1" s="1"/>
  <c r="P569" i="1"/>
  <c r="AF569" i="1" s="1"/>
  <c r="P448" i="1"/>
  <c r="AF448" i="1" s="1"/>
  <c r="P508" i="1"/>
  <c r="AF508" i="1" s="1"/>
  <c r="R548" i="1"/>
  <c r="Q547" i="1"/>
  <c r="P547" i="1" s="1"/>
  <c r="R133" i="1"/>
  <c r="Q132" i="1"/>
  <c r="T571" i="1"/>
  <c r="R417" i="1"/>
  <c r="Q416" i="1"/>
  <c r="R59" i="1"/>
  <c r="Q58" i="1"/>
  <c r="P58" i="1" s="1"/>
  <c r="R450" i="1"/>
  <c r="Q449" i="1"/>
  <c r="P449" i="1" s="1"/>
  <c r="R320" i="1"/>
  <c r="Q319" i="1"/>
  <c r="R192" i="1"/>
  <c r="Q191" i="1"/>
  <c r="R242" i="1"/>
  <c r="Q241" i="1"/>
  <c r="R269" i="1"/>
  <c r="Q268" i="1"/>
  <c r="R19" i="1"/>
  <c r="Q18" i="1"/>
  <c r="R351" i="1"/>
  <c r="Q350" i="1"/>
  <c r="R165" i="1"/>
  <c r="Q164" i="1"/>
  <c r="R510" i="1"/>
  <c r="Q509" i="1"/>
  <c r="P509" i="1" s="1"/>
  <c r="R571" i="1"/>
  <c r="Q570" i="1"/>
  <c r="P570" i="1" s="1"/>
  <c r="R97" i="1"/>
  <c r="Q96" i="1"/>
  <c r="R43" i="1"/>
  <c r="Q42" i="1"/>
  <c r="R397" i="1"/>
  <c r="Q396" i="1"/>
  <c r="T548" i="1"/>
  <c r="R370" i="1"/>
  <c r="Q369" i="1"/>
  <c r="R293" i="1"/>
  <c r="Q292" i="1"/>
  <c r="R74" i="1"/>
  <c r="Q73" i="1"/>
  <c r="R227" i="1"/>
  <c r="Q226" i="1"/>
  <c r="T135" i="1"/>
  <c r="T59" i="1"/>
  <c r="T75" i="1"/>
  <c r="T510" i="1"/>
  <c r="T164" i="1"/>
  <c r="P164" i="1" s="1"/>
  <c r="T450" i="1"/>
  <c r="T44" i="1"/>
  <c r="T20" i="1"/>
  <c r="T98" i="1"/>
  <c r="Q927" i="1" l="1"/>
  <c r="P927" i="1" s="1"/>
  <c r="AF927" i="1" s="1"/>
  <c r="R928" i="1"/>
  <c r="T928" i="1"/>
  <c r="P838" i="1"/>
  <c r="AF838" i="1" s="1"/>
  <c r="T839" i="1"/>
  <c r="T840" i="1" s="1"/>
  <c r="P840" i="1" s="1"/>
  <c r="AF840" i="1" s="1"/>
  <c r="Q839" i="1"/>
  <c r="AF547" i="1"/>
  <c r="P73" i="1"/>
  <c r="AF73" i="1" s="1"/>
  <c r="P42" i="1"/>
  <c r="AF42" i="1" s="1"/>
  <c r="AF58" i="1"/>
  <c r="AF570" i="1"/>
  <c r="P18" i="1"/>
  <c r="AF18" i="1" s="1"/>
  <c r="P96" i="1"/>
  <c r="AF96" i="1" s="1"/>
  <c r="P132" i="1"/>
  <c r="AF132" i="1" s="1"/>
  <c r="AF509" i="1"/>
  <c r="AF449" i="1"/>
  <c r="AF164" i="1"/>
  <c r="R572" i="1"/>
  <c r="Q571" i="1"/>
  <c r="P571" i="1" s="1"/>
  <c r="R20" i="1"/>
  <c r="Q19" i="1"/>
  <c r="R418" i="1"/>
  <c r="Q417" i="1"/>
  <c r="R228" i="1"/>
  <c r="Q227" i="1"/>
  <c r="R44" i="1"/>
  <c r="Q43" i="1"/>
  <c r="R321" i="1"/>
  <c r="Q320" i="1"/>
  <c r="T572" i="1"/>
  <c r="R511" i="1"/>
  <c r="Q510" i="1"/>
  <c r="P510" i="1" s="1"/>
  <c r="R270" i="1"/>
  <c r="Q269" i="1"/>
  <c r="T549" i="1"/>
  <c r="R166" i="1"/>
  <c r="Q165" i="1"/>
  <c r="R451" i="1"/>
  <c r="Q450" i="1"/>
  <c r="P450" i="1" s="1"/>
  <c r="R134" i="1"/>
  <c r="Q133" i="1"/>
  <c r="R75" i="1"/>
  <c r="Q74" i="1"/>
  <c r="R294" i="1"/>
  <c r="Q293" i="1"/>
  <c r="R243" i="1"/>
  <c r="Q242" i="1"/>
  <c r="R98" i="1"/>
  <c r="Q97" i="1"/>
  <c r="R352" i="1"/>
  <c r="Q351" i="1"/>
  <c r="R60" i="1"/>
  <c r="Q59" i="1"/>
  <c r="R371" i="1"/>
  <c r="Q370" i="1"/>
  <c r="R398" i="1"/>
  <c r="Q397" i="1"/>
  <c r="R193" i="1"/>
  <c r="Q192" i="1"/>
  <c r="R549" i="1"/>
  <c r="Q548" i="1"/>
  <c r="T76" i="1"/>
  <c r="T451" i="1"/>
  <c r="T60" i="1"/>
  <c r="T99" i="1"/>
  <c r="T165" i="1"/>
  <c r="T136" i="1"/>
  <c r="T45" i="1"/>
  <c r="AJ19" i="1"/>
  <c r="AI20" i="1"/>
  <c r="T21" i="1"/>
  <c r="T511" i="1"/>
  <c r="T929" i="1" l="1"/>
  <c r="Q928" i="1"/>
  <c r="P928" i="1" s="1"/>
  <c r="AF928" i="1" s="1"/>
  <c r="R929" i="1"/>
  <c r="P839" i="1"/>
  <c r="AF839" i="1" s="1"/>
  <c r="P19" i="1"/>
  <c r="AF19" i="1" s="1"/>
  <c r="P74" i="1"/>
  <c r="AF74" i="1" s="1"/>
  <c r="P43" i="1"/>
  <c r="AF43" i="1" s="1"/>
  <c r="AF571" i="1"/>
  <c r="P165" i="1"/>
  <c r="AF165" i="1" s="1"/>
  <c r="P548" i="1"/>
  <c r="AF548" i="1" s="1"/>
  <c r="AF450" i="1"/>
  <c r="P97" i="1"/>
  <c r="AF97" i="1" s="1"/>
  <c r="P133" i="1"/>
  <c r="AF133" i="1" s="1"/>
  <c r="AF510" i="1"/>
  <c r="P59" i="1"/>
  <c r="AF59" i="1" s="1"/>
  <c r="AI24" i="1"/>
  <c r="AI32" i="1" s="1"/>
  <c r="AM8" i="1"/>
  <c r="R229" i="1"/>
  <c r="Q228" i="1"/>
  <c r="R550" i="1"/>
  <c r="Q549" i="1"/>
  <c r="T573" i="1"/>
  <c r="R61" i="1"/>
  <c r="Q60" i="1"/>
  <c r="P60" i="1" s="1"/>
  <c r="R135" i="1"/>
  <c r="Q134" i="1"/>
  <c r="R194" i="1"/>
  <c r="Q193" i="1"/>
  <c r="R244" i="1"/>
  <c r="Q243" i="1"/>
  <c r="R271" i="1"/>
  <c r="Q270" i="1"/>
  <c r="R419" i="1"/>
  <c r="Q418" i="1"/>
  <c r="R353" i="1"/>
  <c r="Q352" i="1"/>
  <c r="R452" i="1"/>
  <c r="Q451" i="1"/>
  <c r="P451" i="1" s="1"/>
  <c r="R322" i="1"/>
  <c r="Q321" i="1"/>
  <c r="R399" i="1"/>
  <c r="Q398" i="1"/>
  <c r="R295" i="1"/>
  <c r="Q294" i="1"/>
  <c r="R512" i="1"/>
  <c r="Q511" i="1"/>
  <c r="R21" i="1"/>
  <c r="Q20" i="1"/>
  <c r="R99" i="1"/>
  <c r="Q98" i="1"/>
  <c r="R167" i="1"/>
  <c r="Q166" i="1"/>
  <c r="R45" i="1"/>
  <c r="Q44" i="1"/>
  <c r="R372" i="1"/>
  <c r="Q371" i="1"/>
  <c r="R76" i="1"/>
  <c r="Q75" i="1"/>
  <c r="T550" i="1"/>
  <c r="R573" i="1"/>
  <c r="Q572" i="1"/>
  <c r="T61" i="1"/>
  <c r="T512" i="1"/>
  <c r="T137" i="1"/>
  <c r="T452" i="1"/>
  <c r="AJ20" i="1"/>
  <c r="AJ24" i="1" s="1"/>
  <c r="AK19" i="1"/>
  <c r="AK20" i="1" s="1"/>
  <c r="T100" i="1"/>
  <c r="T46" i="1"/>
  <c r="T22" i="1"/>
  <c r="T166" i="1"/>
  <c r="T77" i="1"/>
  <c r="Q929" i="1" l="1"/>
  <c r="R930" i="1"/>
  <c r="P929" i="1"/>
  <c r="AF929" i="1" s="1"/>
  <c r="T930" i="1"/>
  <c r="P166" i="1"/>
  <c r="P75" i="1"/>
  <c r="AF75" i="1" s="1"/>
  <c r="P134" i="1"/>
  <c r="AF134" i="1" s="1"/>
  <c r="P44" i="1"/>
  <c r="AF44" i="1" s="1"/>
  <c r="AF451" i="1"/>
  <c r="P549" i="1"/>
  <c r="AF549" i="1" s="1"/>
  <c r="P572" i="1"/>
  <c r="AF572" i="1" s="1"/>
  <c r="P98" i="1"/>
  <c r="AF98" i="1" s="1"/>
  <c r="P20" i="1"/>
  <c r="AF20" i="1" s="1"/>
  <c r="AF60" i="1"/>
  <c r="P511" i="1"/>
  <c r="AF511" i="1" s="1"/>
  <c r="AI29" i="1"/>
  <c r="AI28" i="1" s="1"/>
  <c r="AI26" i="1" s="1"/>
  <c r="AI31" i="1"/>
  <c r="AK24" i="1"/>
  <c r="AK32" i="1" s="1"/>
  <c r="AO8" i="1"/>
  <c r="AL8" i="1"/>
  <c r="AN20" i="1" s="1"/>
  <c r="AM14" i="1"/>
  <c r="AL14" i="1" s="1"/>
  <c r="AF166" i="1"/>
  <c r="AJ32" i="1"/>
  <c r="AJ31" i="1"/>
  <c r="AJ29" i="1"/>
  <c r="R100" i="1"/>
  <c r="Q99" i="1"/>
  <c r="R296" i="1"/>
  <c r="Q295" i="1"/>
  <c r="T574" i="1"/>
  <c r="R574" i="1"/>
  <c r="Q573" i="1"/>
  <c r="R354" i="1"/>
  <c r="Q353" i="1"/>
  <c r="R195" i="1"/>
  <c r="Q194" i="1"/>
  <c r="T551" i="1"/>
  <c r="T552" i="1" s="1"/>
  <c r="R46" i="1"/>
  <c r="Q45" i="1"/>
  <c r="R400" i="1"/>
  <c r="Q399" i="1"/>
  <c r="R420" i="1"/>
  <c r="Q419" i="1"/>
  <c r="R551" i="1"/>
  <c r="Q550" i="1"/>
  <c r="R22" i="1"/>
  <c r="Q21" i="1"/>
  <c r="R77" i="1"/>
  <c r="Q76" i="1"/>
  <c r="R323" i="1"/>
  <c r="Q322" i="1"/>
  <c r="R272" i="1"/>
  <c r="Q271" i="1"/>
  <c r="R136" i="1"/>
  <c r="Q135" i="1"/>
  <c r="R230" i="1"/>
  <c r="Q229" i="1"/>
  <c r="R168" i="1"/>
  <c r="Q167" i="1"/>
  <c r="R513" i="1"/>
  <c r="Q512" i="1"/>
  <c r="R373" i="1"/>
  <c r="Q372" i="1"/>
  <c r="R453" i="1"/>
  <c r="Q452" i="1"/>
  <c r="R245" i="1"/>
  <c r="Q244" i="1"/>
  <c r="R62" i="1"/>
  <c r="Q61" i="1"/>
  <c r="P61" i="1" s="1"/>
  <c r="T138" i="1"/>
  <c r="T78" i="1"/>
  <c r="T513" i="1"/>
  <c r="T101" i="1"/>
  <c r="T453" i="1"/>
  <c r="T23" i="1"/>
  <c r="T167" i="1"/>
  <c r="T47" i="1"/>
  <c r="T62" i="1"/>
  <c r="AX33" i="1" l="1"/>
  <c r="AX34" i="1"/>
  <c r="AC936" i="1"/>
  <c r="AC940" i="1"/>
  <c r="AC939" i="1"/>
  <c r="AC935" i="1"/>
  <c r="AC937" i="1"/>
  <c r="AC941" i="1"/>
  <c r="AC938" i="1"/>
  <c r="AC867" i="1"/>
  <c r="AC859" i="1"/>
  <c r="AC883" i="1"/>
  <c r="AC898" i="1"/>
  <c r="AC900" i="1"/>
  <c r="AC903" i="1"/>
  <c r="AC915" i="1"/>
  <c r="AC905" i="1"/>
  <c r="AC909" i="1"/>
  <c r="AC875" i="1"/>
  <c r="AC923" i="1"/>
  <c r="AC895" i="1"/>
  <c r="AC901" i="1"/>
  <c r="AC916" i="1"/>
  <c r="AC921" i="1"/>
  <c r="AC928" i="1"/>
  <c r="AC888" i="1"/>
  <c r="AC896" i="1"/>
  <c r="AC863" i="1"/>
  <c r="AC914" i="1"/>
  <c r="AC879" i="1"/>
  <c r="AC880" i="1"/>
  <c r="AC891" i="1"/>
  <c r="AC907" i="1"/>
  <c r="AC892" i="1"/>
  <c r="AC884" i="1"/>
  <c r="AC860" i="1"/>
  <c r="AC932" i="1"/>
  <c r="AC864" i="1"/>
  <c r="AC868" i="1"/>
  <c r="AC876" i="1"/>
  <c r="AC911" i="1"/>
  <c r="AC899" i="1"/>
  <c r="AC920" i="1"/>
  <c r="AC925" i="1"/>
  <c r="AC887" i="1"/>
  <c r="AC910" i="1"/>
  <c r="AC913" i="1"/>
  <c r="AC872" i="1"/>
  <c r="AC933" i="1"/>
  <c r="AC929" i="1"/>
  <c r="AC871" i="1"/>
  <c r="AC917" i="1"/>
  <c r="AC906" i="1"/>
  <c r="AC927" i="1"/>
  <c r="AC862" i="1"/>
  <c r="AC889" i="1"/>
  <c r="AC885" i="1"/>
  <c r="AC890" i="1"/>
  <c r="AC918" i="1"/>
  <c r="AC877" i="1"/>
  <c r="AC919" i="1"/>
  <c r="AC870" i="1"/>
  <c r="AC904" i="1"/>
  <c r="AC924" i="1"/>
  <c r="AC886" i="1"/>
  <c r="AC882" i="1"/>
  <c r="AC881" i="1"/>
  <c r="AC866" i="1"/>
  <c r="AC865" i="1"/>
  <c r="AC922" i="1"/>
  <c r="AC931" i="1"/>
  <c r="AC874" i="1"/>
  <c r="AC902" i="1"/>
  <c r="AC869" i="1"/>
  <c r="AC934" i="1"/>
  <c r="AC930" i="1"/>
  <c r="AC894" i="1"/>
  <c r="AC861" i="1"/>
  <c r="AC878" i="1"/>
  <c r="AC912" i="1"/>
  <c r="AC908" i="1"/>
  <c r="AC893" i="1"/>
  <c r="AC897" i="1"/>
  <c r="AC873" i="1"/>
  <c r="AC926" i="1"/>
  <c r="T931" i="1"/>
  <c r="Q930" i="1"/>
  <c r="P930" i="1" s="1"/>
  <c r="AF930" i="1" s="1"/>
  <c r="R931" i="1"/>
  <c r="Q551" i="1"/>
  <c r="R552" i="1"/>
  <c r="Q552" i="1" s="1"/>
  <c r="P552" i="1" s="1"/>
  <c r="AF552" i="1" s="1"/>
  <c r="AC853" i="1"/>
  <c r="AC848" i="1"/>
  <c r="AC856" i="1"/>
  <c r="AC843" i="1"/>
  <c r="AC844" i="1"/>
  <c r="AC855" i="1"/>
  <c r="AC845" i="1"/>
  <c r="AC854" i="1"/>
  <c r="AC840" i="1"/>
  <c r="AC852" i="1"/>
  <c r="AC851" i="1"/>
  <c r="AC858" i="1"/>
  <c r="AC841" i="1"/>
  <c r="AC847" i="1"/>
  <c r="AC849" i="1"/>
  <c r="AC857" i="1"/>
  <c r="AC850" i="1"/>
  <c r="AC842" i="1"/>
  <c r="AC846" i="1"/>
  <c r="AX31" i="1"/>
  <c r="AX32" i="1"/>
  <c r="AC809" i="1"/>
  <c r="AC817" i="1"/>
  <c r="AC805" i="1"/>
  <c r="AC825" i="1"/>
  <c r="AC821" i="1"/>
  <c r="AC829" i="1"/>
  <c r="AC813" i="1"/>
  <c r="AC797" i="1"/>
  <c r="AC803" i="1"/>
  <c r="AC832" i="1"/>
  <c r="AC819" i="1"/>
  <c r="AC818" i="1"/>
  <c r="AC838" i="1"/>
  <c r="AC830" i="1"/>
  <c r="AC814" i="1"/>
  <c r="AC827" i="1"/>
  <c r="AC837" i="1"/>
  <c r="AC801" i="1"/>
  <c r="AC826" i="1"/>
  <c r="AC822" i="1"/>
  <c r="AC802" i="1"/>
  <c r="AC810" i="1"/>
  <c r="AC811" i="1"/>
  <c r="AC806" i="1"/>
  <c r="AC833" i="1"/>
  <c r="AC798" i="1"/>
  <c r="AC820" i="1"/>
  <c r="AC816" i="1"/>
  <c r="AC823" i="1"/>
  <c r="AC804" i="1"/>
  <c r="AC824" i="1"/>
  <c r="AC835" i="1"/>
  <c r="AC836" i="1"/>
  <c r="AC815" i="1"/>
  <c r="AC812" i="1"/>
  <c r="AC831" i="1"/>
  <c r="AC799" i="1"/>
  <c r="AC800" i="1"/>
  <c r="AC834" i="1"/>
  <c r="AC807" i="1"/>
  <c r="AC828" i="1"/>
  <c r="AC808" i="1"/>
  <c r="AC839" i="1"/>
  <c r="P167" i="1"/>
  <c r="P21" i="1"/>
  <c r="AF21" i="1" s="1"/>
  <c r="P76" i="1"/>
  <c r="AF76" i="1" s="1"/>
  <c r="P551" i="1"/>
  <c r="AF551" i="1" s="1"/>
  <c r="P512" i="1"/>
  <c r="AF512" i="1" s="1"/>
  <c r="P135" i="1"/>
  <c r="AF135" i="1" s="1"/>
  <c r="T756" i="1"/>
  <c r="P550" i="1"/>
  <c r="AF550" i="1" s="1"/>
  <c r="P45" i="1"/>
  <c r="AF45" i="1" s="1"/>
  <c r="R756" i="1"/>
  <c r="P99" i="1"/>
  <c r="AF99" i="1" s="1"/>
  <c r="AF61" i="1"/>
  <c r="P573" i="1"/>
  <c r="AF573" i="1" s="1"/>
  <c r="P452" i="1"/>
  <c r="AF452" i="1" s="1"/>
  <c r="AJ10" i="1"/>
  <c r="AC794" i="1"/>
  <c r="AC778" i="1"/>
  <c r="AC786" i="1"/>
  <c r="AC787" i="1"/>
  <c r="AC791" i="1"/>
  <c r="AC782" i="1"/>
  <c r="AC790" i="1"/>
  <c r="AC783" i="1"/>
  <c r="AC795" i="1"/>
  <c r="AC779" i="1"/>
  <c r="AC784" i="1"/>
  <c r="AC789" i="1"/>
  <c r="AC780" i="1"/>
  <c r="AC792" i="1"/>
  <c r="AC796" i="1"/>
  <c r="AC781" i="1"/>
  <c r="AC788" i="1"/>
  <c r="AC785" i="1"/>
  <c r="AC793" i="1"/>
  <c r="AX29" i="1"/>
  <c r="AX30" i="1"/>
  <c r="AC764" i="1"/>
  <c r="AC756" i="1"/>
  <c r="AC772" i="1"/>
  <c r="AC773" i="1"/>
  <c r="AC757" i="1"/>
  <c r="AC760" i="1"/>
  <c r="AC765" i="1"/>
  <c r="AC761" i="1"/>
  <c r="AC776" i="1"/>
  <c r="AC768" i="1"/>
  <c r="AC763" i="1"/>
  <c r="AC767" i="1"/>
  <c r="AC766" i="1"/>
  <c r="AC775" i="1"/>
  <c r="AC774" i="1"/>
  <c r="AC758" i="1"/>
  <c r="AC762" i="1"/>
  <c r="AC769" i="1"/>
  <c r="AC777" i="1"/>
  <c r="AC770" i="1"/>
  <c r="AC771" i="1"/>
  <c r="AC759" i="1"/>
  <c r="AL5" i="1"/>
  <c r="AC5" i="1"/>
  <c r="AC9" i="1"/>
  <c r="AC13" i="1"/>
  <c r="AC17" i="1"/>
  <c r="AC21" i="1"/>
  <c r="AC25" i="1"/>
  <c r="AC29" i="1"/>
  <c r="AC33" i="1"/>
  <c r="AC37" i="1"/>
  <c r="AC41" i="1"/>
  <c r="AC45" i="1"/>
  <c r="AC49" i="1"/>
  <c r="AC53" i="1"/>
  <c r="AC57" i="1"/>
  <c r="AC61" i="1"/>
  <c r="AC65" i="1"/>
  <c r="AC69" i="1"/>
  <c r="AC73" i="1"/>
  <c r="AC77" i="1"/>
  <c r="AC81" i="1"/>
  <c r="AC85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1" i="1"/>
  <c r="AC145" i="1"/>
  <c r="AC149" i="1"/>
  <c r="AC153" i="1"/>
  <c r="AC157" i="1"/>
  <c r="AC161" i="1"/>
  <c r="AC165" i="1"/>
  <c r="AC169" i="1"/>
  <c r="AC173" i="1"/>
  <c r="AC177" i="1"/>
  <c r="AC181" i="1"/>
  <c r="AC185" i="1"/>
  <c r="AC189" i="1"/>
  <c r="AC193" i="1"/>
  <c r="AC197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81" i="1"/>
  <c r="AC285" i="1"/>
  <c r="AC289" i="1"/>
  <c r="AC293" i="1"/>
  <c r="AC297" i="1"/>
  <c r="AC301" i="1"/>
  <c r="AC305" i="1"/>
  <c r="AC309" i="1"/>
  <c r="AC313" i="1"/>
  <c r="AC317" i="1"/>
  <c r="AC321" i="1"/>
  <c r="AC325" i="1"/>
  <c r="AC329" i="1"/>
  <c r="AC333" i="1"/>
  <c r="AC337" i="1"/>
  <c r="AC341" i="1"/>
  <c r="AC20" i="1"/>
  <c r="AC27" i="1"/>
  <c r="AC34" i="1"/>
  <c r="AC52" i="1"/>
  <c r="AC59" i="1"/>
  <c r="AC66" i="1"/>
  <c r="AC84" i="1"/>
  <c r="AC91" i="1"/>
  <c r="AC98" i="1"/>
  <c r="AC116" i="1"/>
  <c r="AC123" i="1"/>
  <c r="AC130" i="1"/>
  <c r="AC148" i="1"/>
  <c r="AC8" i="1"/>
  <c r="AC15" i="1"/>
  <c r="AC22" i="1"/>
  <c r="AC40" i="1"/>
  <c r="AC47" i="1"/>
  <c r="AC54" i="1"/>
  <c r="AC72" i="1"/>
  <c r="AC79" i="1"/>
  <c r="AC86" i="1"/>
  <c r="AC104" i="1"/>
  <c r="AC111" i="1"/>
  <c r="AC118" i="1"/>
  <c r="AC136" i="1"/>
  <c r="AC143" i="1"/>
  <c r="AC150" i="1"/>
  <c r="AC155" i="1"/>
  <c r="AC160" i="1"/>
  <c r="AC166" i="1"/>
  <c r="AC171" i="1"/>
  <c r="AC176" i="1"/>
  <c r="AC182" i="1"/>
  <c r="AC187" i="1"/>
  <c r="AC192" i="1"/>
  <c r="AC198" i="1"/>
  <c r="AC203" i="1"/>
  <c r="AC208" i="1"/>
  <c r="AC214" i="1"/>
  <c r="AC219" i="1"/>
  <c r="AC224" i="1"/>
  <c r="AC230" i="1"/>
  <c r="AC235" i="1"/>
  <c r="AC240" i="1"/>
  <c r="AC246" i="1"/>
  <c r="AC251" i="1"/>
  <c r="AC256" i="1"/>
  <c r="AC262" i="1"/>
  <c r="AC267" i="1"/>
  <c r="AC272" i="1"/>
  <c r="AC278" i="1"/>
  <c r="AC283" i="1"/>
  <c r="AC288" i="1"/>
  <c r="AC294" i="1"/>
  <c r="AC299" i="1"/>
  <c r="AC304" i="1"/>
  <c r="AC310" i="1"/>
  <c r="AC315" i="1"/>
  <c r="AC320" i="1"/>
  <c r="AC326" i="1"/>
  <c r="AC3" i="1"/>
  <c r="AC10" i="1"/>
  <c r="AC28" i="1"/>
  <c r="AC35" i="1"/>
  <c r="AC42" i="1"/>
  <c r="AC60" i="1"/>
  <c r="AC67" i="1"/>
  <c r="AC74" i="1"/>
  <c r="AC92" i="1"/>
  <c r="AC99" i="1"/>
  <c r="AC106" i="1"/>
  <c r="AC124" i="1"/>
  <c r="AC131" i="1"/>
  <c r="AC138" i="1"/>
  <c r="AC16" i="1"/>
  <c r="AC23" i="1"/>
  <c r="AC30" i="1"/>
  <c r="AC48" i="1"/>
  <c r="AC55" i="1"/>
  <c r="AC62" i="1"/>
  <c r="AC80" i="1"/>
  <c r="AC87" i="1"/>
  <c r="AC94" i="1"/>
  <c r="AC112" i="1"/>
  <c r="AC119" i="1"/>
  <c r="AC126" i="1"/>
  <c r="AC144" i="1"/>
  <c r="AC151" i="1"/>
  <c r="AC156" i="1"/>
  <c r="AC162" i="1"/>
  <c r="AC167" i="1"/>
  <c r="AC172" i="1"/>
  <c r="AC178" i="1"/>
  <c r="AC183" i="1"/>
  <c r="AC188" i="1"/>
  <c r="AC194" i="1"/>
  <c r="AC199" i="1"/>
  <c r="AC204" i="1"/>
  <c r="AC210" i="1"/>
  <c r="AC215" i="1"/>
  <c r="AC220" i="1"/>
  <c r="AC226" i="1"/>
  <c r="AC231" i="1"/>
  <c r="AC236" i="1"/>
  <c r="AC242" i="1"/>
  <c r="AC247" i="1"/>
  <c r="AC252" i="1"/>
  <c r="AC258" i="1"/>
  <c r="AC263" i="1"/>
  <c r="AC268" i="1"/>
  <c r="AC274" i="1"/>
  <c r="AC279" i="1"/>
  <c r="AC284" i="1"/>
  <c r="AC290" i="1"/>
  <c r="AC295" i="1"/>
  <c r="AC300" i="1"/>
  <c r="AC306" i="1"/>
  <c r="AC311" i="1"/>
  <c r="AC316" i="1"/>
  <c r="AC322" i="1"/>
  <c r="AC327" i="1"/>
  <c r="AC4" i="1"/>
  <c r="AC11" i="1"/>
  <c r="AC18" i="1"/>
  <c r="AC36" i="1"/>
  <c r="AC43" i="1"/>
  <c r="AC50" i="1"/>
  <c r="AC68" i="1"/>
  <c r="AC75" i="1"/>
  <c r="AC82" i="1"/>
  <c r="AC100" i="1"/>
  <c r="AC107" i="1"/>
  <c r="AC114" i="1"/>
  <c r="AC132" i="1"/>
  <c r="AC139" i="1"/>
  <c r="AC146" i="1"/>
  <c r="AC6" i="1"/>
  <c r="AC24" i="1"/>
  <c r="AC31" i="1"/>
  <c r="AC38" i="1"/>
  <c r="AC56" i="1"/>
  <c r="AC63" i="1"/>
  <c r="AC70" i="1"/>
  <c r="AC88" i="1"/>
  <c r="AC95" i="1"/>
  <c r="AC102" i="1"/>
  <c r="AC120" i="1"/>
  <c r="AC127" i="1"/>
  <c r="AC134" i="1"/>
  <c r="AC152" i="1"/>
  <c r="AC158" i="1"/>
  <c r="AC163" i="1"/>
  <c r="AC168" i="1"/>
  <c r="AC174" i="1"/>
  <c r="AC179" i="1"/>
  <c r="AC184" i="1"/>
  <c r="AC190" i="1"/>
  <c r="AC195" i="1"/>
  <c r="AC200" i="1"/>
  <c r="AC206" i="1"/>
  <c r="AC211" i="1"/>
  <c r="AC216" i="1"/>
  <c r="AC222" i="1"/>
  <c r="AC227" i="1"/>
  <c r="AC232" i="1"/>
  <c r="AC238" i="1"/>
  <c r="AC243" i="1"/>
  <c r="AC248" i="1"/>
  <c r="AC254" i="1"/>
  <c r="AC259" i="1"/>
  <c r="AC264" i="1"/>
  <c r="AC270" i="1"/>
  <c r="AC275" i="1"/>
  <c r="AC280" i="1"/>
  <c r="AC286" i="1"/>
  <c r="AC291" i="1"/>
  <c r="AC296" i="1"/>
  <c r="AC302" i="1"/>
  <c r="AC307" i="1"/>
  <c r="AC312" i="1"/>
  <c r="AC318" i="1"/>
  <c r="AC323" i="1"/>
  <c r="AC328" i="1"/>
  <c r="AC334" i="1"/>
  <c r="AC339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12" i="1"/>
  <c r="AC19" i="1"/>
  <c r="AC26" i="1"/>
  <c r="AC44" i="1"/>
  <c r="AC51" i="1"/>
  <c r="AC58" i="1"/>
  <c r="AC76" i="1"/>
  <c r="AC83" i="1"/>
  <c r="AC90" i="1"/>
  <c r="AC108" i="1"/>
  <c r="AC115" i="1"/>
  <c r="AC122" i="1"/>
  <c r="AC140" i="1"/>
  <c r="AC147" i="1"/>
  <c r="AC46" i="1"/>
  <c r="AC96" i="1"/>
  <c r="AC191" i="1"/>
  <c r="AC234" i="1"/>
  <c r="AC276" i="1"/>
  <c r="AC319" i="1"/>
  <c r="AC340" i="1"/>
  <c r="AC351" i="1"/>
  <c r="AC362" i="1"/>
  <c r="AC373" i="1"/>
  <c r="AC383" i="1"/>
  <c r="AC394" i="1"/>
  <c r="AC405" i="1"/>
  <c r="AC415" i="1"/>
  <c r="AC426" i="1"/>
  <c r="AC434" i="1"/>
  <c r="AC441" i="1"/>
  <c r="AC103" i="1"/>
  <c r="AC154" i="1"/>
  <c r="AC196" i="1"/>
  <c r="AC239" i="1"/>
  <c r="AC282" i="1"/>
  <c r="AC324" i="1"/>
  <c r="AC342" i="1"/>
  <c r="AC353" i="1"/>
  <c r="AC363" i="1"/>
  <c r="AC374" i="1"/>
  <c r="AC385" i="1"/>
  <c r="AC395" i="1"/>
  <c r="AC406" i="1"/>
  <c r="AC417" i="1"/>
  <c r="AC427" i="1"/>
  <c r="AC435" i="1"/>
  <c r="AC447" i="1"/>
  <c r="AC451" i="1"/>
  <c r="AC455" i="1"/>
  <c r="AC459" i="1"/>
  <c r="AC463" i="1"/>
  <c r="AC467" i="1"/>
  <c r="AC471" i="1"/>
  <c r="AC475" i="1"/>
  <c r="AC479" i="1"/>
  <c r="AC483" i="1"/>
  <c r="AC487" i="1"/>
  <c r="AC491" i="1"/>
  <c r="AC7" i="1"/>
  <c r="AC110" i="1"/>
  <c r="AC159" i="1"/>
  <c r="AC202" i="1"/>
  <c r="AC244" i="1"/>
  <c r="AC287" i="1"/>
  <c r="AC330" i="1"/>
  <c r="AC343" i="1"/>
  <c r="AC354" i="1"/>
  <c r="AC365" i="1"/>
  <c r="AC375" i="1"/>
  <c r="AC386" i="1"/>
  <c r="AC397" i="1"/>
  <c r="AC407" i="1"/>
  <c r="AC418" i="1"/>
  <c r="AC429" i="1"/>
  <c r="AC442" i="1"/>
  <c r="AC14" i="1"/>
  <c r="AC64" i="1"/>
  <c r="AC164" i="1"/>
  <c r="AC207" i="1"/>
  <c r="AC250" i="1"/>
  <c r="AC292" i="1"/>
  <c r="AC331" i="1"/>
  <c r="AC345" i="1"/>
  <c r="AC355" i="1"/>
  <c r="AC366" i="1"/>
  <c r="AC377" i="1"/>
  <c r="AC387" i="1"/>
  <c r="AC398" i="1"/>
  <c r="AC409" i="1"/>
  <c r="AC419" i="1"/>
  <c r="AC430" i="1"/>
  <c r="AC437" i="1"/>
  <c r="AC443" i="1"/>
  <c r="AC448" i="1"/>
  <c r="AC452" i="1"/>
  <c r="AC456" i="1"/>
  <c r="AC460" i="1"/>
  <c r="AC464" i="1"/>
  <c r="AC468" i="1"/>
  <c r="AC472" i="1"/>
  <c r="AC476" i="1"/>
  <c r="AC480" i="1"/>
  <c r="AC484" i="1"/>
  <c r="AC488" i="1"/>
  <c r="AC492" i="1"/>
  <c r="AC71" i="1"/>
  <c r="AC170" i="1"/>
  <c r="AC212" i="1"/>
  <c r="AC255" i="1"/>
  <c r="AC298" i="1"/>
  <c r="AC332" i="1"/>
  <c r="AC346" i="1"/>
  <c r="AC357" i="1"/>
  <c r="AC367" i="1"/>
  <c r="AC378" i="1"/>
  <c r="AC389" i="1"/>
  <c r="AC399" i="1"/>
  <c r="AC410" i="1"/>
  <c r="AC421" i="1"/>
  <c r="AC431" i="1"/>
  <c r="AC78" i="1"/>
  <c r="AC128" i="1"/>
  <c r="AC175" i="1"/>
  <c r="AC218" i="1"/>
  <c r="AC260" i="1"/>
  <c r="AC303" i="1"/>
  <c r="AC335" i="1"/>
  <c r="AC347" i="1"/>
  <c r="AC358" i="1"/>
  <c r="AC369" i="1"/>
  <c r="AC379" i="1"/>
  <c r="AC390" i="1"/>
  <c r="AC401" i="1"/>
  <c r="AC411" i="1"/>
  <c r="AC422" i="1"/>
  <c r="AC438" i="1"/>
  <c r="AC445" i="1"/>
  <c r="AC449" i="1"/>
  <c r="AC453" i="1"/>
  <c r="AC457" i="1"/>
  <c r="AC461" i="1"/>
  <c r="AC465" i="1"/>
  <c r="AC469" i="1"/>
  <c r="AC473" i="1"/>
  <c r="AC477" i="1"/>
  <c r="AC481" i="1"/>
  <c r="AC485" i="1"/>
  <c r="AC489" i="1"/>
  <c r="AC493" i="1"/>
  <c r="AC32" i="1"/>
  <c r="AC135" i="1"/>
  <c r="AC180" i="1"/>
  <c r="AC223" i="1"/>
  <c r="AC266" i="1"/>
  <c r="AC308" i="1"/>
  <c r="AC336" i="1"/>
  <c r="AC349" i="1"/>
  <c r="AC359" i="1"/>
  <c r="AC370" i="1"/>
  <c r="AC381" i="1"/>
  <c r="AC391" i="1"/>
  <c r="AC402" i="1"/>
  <c r="AC413" i="1"/>
  <c r="AC423" i="1"/>
  <c r="AC433" i="1"/>
  <c r="AC439" i="1"/>
  <c r="AC314" i="1"/>
  <c r="AC414" i="1"/>
  <c r="AC462" i="1"/>
  <c r="AC2" i="1"/>
  <c r="AC338" i="1"/>
  <c r="AC425" i="1"/>
  <c r="AC466" i="1"/>
  <c r="AC39" i="1"/>
  <c r="AC350" i="1"/>
  <c r="AC470" i="1"/>
  <c r="AC361" i="1"/>
  <c r="AC474" i="1"/>
  <c r="AC142" i="1"/>
  <c r="AC371" i="1"/>
  <c r="AC446" i="1"/>
  <c r="AC478" i="1"/>
  <c r="AC403" i="1"/>
  <c r="AC490" i="1"/>
  <c r="AC186" i="1"/>
  <c r="AC382" i="1"/>
  <c r="AC450" i="1"/>
  <c r="AC482" i="1"/>
  <c r="AC271" i="1"/>
  <c r="AC228" i="1"/>
  <c r="AC393" i="1"/>
  <c r="AC454" i="1"/>
  <c r="AC486" i="1"/>
  <c r="AC458" i="1"/>
  <c r="AC751" i="1"/>
  <c r="AC752" i="1"/>
  <c r="AC747" i="1"/>
  <c r="AC748" i="1"/>
  <c r="AC727" i="1"/>
  <c r="AC744" i="1"/>
  <c r="AC755" i="1"/>
  <c r="AC754" i="1"/>
  <c r="AC737" i="1"/>
  <c r="AC742" i="1"/>
  <c r="AC743" i="1"/>
  <c r="AC741" i="1"/>
  <c r="AC749" i="1"/>
  <c r="AC732" i="1"/>
  <c r="AC734" i="1"/>
  <c r="AC730" i="1"/>
  <c r="AC729" i="1"/>
  <c r="AC731" i="1"/>
  <c r="AC746" i="1"/>
  <c r="AC733" i="1"/>
  <c r="AC738" i="1"/>
  <c r="AC745" i="1"/>
  <c r="AC753" i="1"/>
  <c r="AC740" i="1"/>
  <c r="AC736" i="1"/>
  <c r="AC728" i="1"/>
  <c r="AC739" i="1"/>
  <c r="AC735" i="1"/>
  <c r="AC726" i="1"/>
  <c r="AC725" i="1"/>
  <c r="AC750" i="1"/>
  <c r="AC713" i="1"/>
  <c r="AC684" i="1"/>
  <c r="AC711" i="1"/>
  <c r="AC680" i="1"/>
  <c r="AC707" i="1"/>
  <c r="AC694" i="1"/>
  <c r="AC720" i="1"/>
  <c r="AC723" i="1"/>
  <c r="AC679" i="1"/>
  <c r="AC716" i="1"/>
  <c r="AC688" i="1"/>
  <c r="AC715" i="1"/>
  <c r="AC722" i="1"/>
  <c r="AC681" i="1"/>
  <c r="AC696" i="1"/>
  <c r="AC673" i="1"/>
  <c r="AC685" i="1"/>
  <c r="AC703" i="1"/>
  <c r="AC664" i="1"/>
  <c r="AC699" i="1"/>
  <c r="AC662" i="1"/>
  <c r="AC678" i="1"/>
  <c r="AC682" i="1"/>
  <c r="AC709" i="1"/>
  <c r="AC667" i="1"/>
  <c r="AC697" i="1"/>
  <c r="AC704" i="1"/>
  <c r="AC665" i="1"/>
  <c r="AC677" i="1"/>
  <c r="AC721" i="1"/>
  <c r="AC660" i="1"/>
  <c r="AC687" i="1"/>
  <c r="AC674" i="1"/>
  <c r="AC658" i="1"/>
  <c r="AC712" i="1"/>
  <c r="AC686" i="1"/>
  <c r="AC710" i="1"/>
  <c r="AC663" i="1"/>
  <c r="AC683" i="1"/>
  <c r="AC700" i="1"/>
  <c r="AC657" i="1"/>
  <c r="AC689" i="1"/>
  <c r="AC672" i="1"/>
  <c r="AC714" i="1"/>
  <c r="AC691" i="1"/>
  <c r="AC698" i="1"/>
  <c r="AC670" i="1"/>
  <c r="AC702" i="1"/>
  <c r="AC706" i="1"/>
  <c r="AC705" i="1"/>
  <c r="AC690" i="1"/>
  <c r="AC724" i="1"/>
  <c r="AC675" i="1"/>
  <c r="AC659" i="1"/>
  <c r="AC666" i="1"/>
  <c r="AC718" i="1"/>
  <c r="AC693" i="1"/>
  <c r="AC701" i="1"/>
  <c r="AC695" i="1"/>
  <c r="AC708" i="1"/>
  <c r="AC717" i="1"/>
  <c r="AC668" i="1"/>
  <c r="AC692" i="1"/>
  <c r="AC719" i="1"/>
  <c r="AC671" i="1"/>
  <c r="AC647" i="1"/>
  <c r="AC651" i="1"/>
  <c r="AC622" i="1"/>
  <c r="AC628" i="1"/>
  <c r="AC629" i="1"/>
  <c r="AC631" i="1"/>
  <c r="AC655" i="1"/>
  <c r="AC634" i="1"/>
  <c r="AC646" i="1"/>
  <c r="AC650" i="1"/>
  <c r="AC645" i="1"/>
  <c r="AC676" i="1"/>
  <c r="AC653" i="1"/>
  <c r="AC624" i="1"/>
  <c r="AC669" i="1"/>
  <c r="AC621" i="1"/>
  <c r="AC627" i="1"/>
  <c r="AC656" i="1"/>
  <c r="AC630" i="1"/>
  <c r="AC649" i="1"/>
  <c r="AC654" i="1"/>
  <c r="AC648" i="1"/>
  <c r="AC643" i="1"/>
  <c r="AC616" i="1"/>
  <c r="AC652" i="1"/>
  <c r="AC632" i="1"/>
  <c r="AC623" i="1"/>
  <c r="AC661" i="1"/>
  <c r="AC626" i="1"/>
  <c r="AC635" i="1"/>
  <c r="AC633" i="1"/>
  <c r="AC644" i="1"/>
  <c r="AC612" i="1"/>
  <c r="AC597" i="1"/>
  <c r="AC620" i="1"/>
  <c r="AC600" i="1"/>
  <c r="AC606" i="1"/>
  <c r="AC610" i="1"/>
  <c r="AC614" i="1"/>
  <c r="AC625" i="1"/>
  <c r="AC596" i="1"/>
  <c r="AC640" i="1"/>
  <c r="AC598" i="1"/>
  <c r="AC613" i="1"/>
  <c r="AC607" i="1"/>
  <c r="AC601" i="1"/>
  <c r="AC603" i="1"/>
  <c r="AC638" i="1"/>
  <c r="AC642" i="1"/>
  <c r="AC599" i="1"/>
  <c r="AC609" i="1"/>
  <c r="AC641" i="1"/>
  <c r="AC639" i="1"/>
  <c r="AC617" i="1"/>
  <c r="AC602" i="1"/>
  <c r="AC605" i="1"/>
  <c r="AC619" i="1"/>
  <c r="AC595" i="1"/>
  <c r="AC608" i="1"/>
  <c r="AC615" i="1"/>
  <c r="AC637" i="1"/>
  <c r="AC636" i="1"/>
  <c r="AC604" i="1"/>
  <c r="AC618" i="1"/>
  <c r="AC611" i="1"/>
  <c r="AC588" i="1"/>
  <c r="AC547" i="1"/>
  <c r="AC545" i="1"/>
  <c r="AC569" i="1"/>
  <c r="AC568" i="1"/>
  <c r="AC536" i="1"/>
  <c r="AC591" i="1"/>
  <c r="AC559" i="1"/>
  <c r="AC580" i="1"/>
  <c r="AC589" i="1"/>
  <c r="AC557" i="1"/>
  <c r="AC538" i="1"/>
  <c r="AC594" i="1"/>
  <c r="AC562" i="1"/>
  <c r="AC530" i="1"/>
  <c r="AC582" i="1"/>
  <c r="AC550" i="1"/>
  <c r="AC540" i="1"/>
  <c r="AC539" i="1"/>
  <c r="AC556" i="1"/>
  <c r="AC537" i="1"/>
  <c r="AC592" i="1"/>
  <c r="AC560" i="1"/>
  <c r="AC564" i="1"/>
  <c r="AC583" i="1"/>
  <c r="AC551" i="1"/>
  <c r="AC579" i="1"/>
  <c r="AC581" i="1"/>
  <c r="AC549" i="1"/>
  <c r="AC558" i="1"/>
  <c r="AC586" i="1"/>
  <c r="AC554" i="1"/>
  <c r="AC574" i="1"/>
  <c r="AC542" i="1"/>
  <c r="AC563" i="1"/>
  <c r="AC531" i="1"/>
  <c r="AC561" i="1"/>
  <c r="AC529" i="1"/>
  <c r="AC584" i="1"/>
  <c r="AC552" i="1"/>
  <c r="AC587" i="1"/>
  <c r="AC575" i="1"/>
  <c r="AC543" i="1"/>
  <c r="AC593" i="1"/>
  <c r="AC573" i="1"/>
  <c r="AC533" i="1"/>
  <c r="AC590" i="1"/>
  <c r="AC578" i="1"/>
  <c r="AC546" i="1"/>
  <c r="AC566" i="1"/>
  <c r="AC534" i="1"/>
  <c r="AC570" i="1"/>
  <c r="AC555" i="1"/>
  <c r="AC572" i="1"/>
  <c r="AC553" i="1"/>
  <c r="AC532" i="1"/>
  <c r="AC576" i="1"/>
  <c r="AC544" i="1"/>
  <c r="AC577" i="1"/>
  <c r="AC567" i="1"/>
  <c r="AC535" i="1"/>
  <c r="AC585" i="1"/>
  <c r="AC565" i="1"/>
  <c r="AC548" i="1"/>
  <c r="AC571" i="1"/>
  <c r="AC541" i="1"/>
  <c r="AC515" i="1"/>
  <c r="AC513" i="1"/>
  <c r="AC519" i="1"/>
  <c r="AC521" i="1"/>
  <c r="AC512" i="1"/>
  <c r="AC517" i="1"/>
  <c r="AC528" i="1"/>
  <c r="AC516" i="1"/>
  <c r="AC502" i="1"/>
  <c r="AC505" i="1"/>
  <c r="AC503" i="1"/>
  <c r="AC496" i="1"/>
  <c r="AC527" i="1"/>
  <c r="AC509" i="1"/>
  <c r="AC504" i="1"/>
  <c r="AC508" i="1"/>
  <c r="AC514" i="1"/>
  <c r="AC494" i="1"/>
  <c r="AC506" i="1"/>
  <c r="AC518" i="1"/>
  <c r="AC497" i="1"/>
  <c r="AC495" i="1"/>
  <c r="AC523" i="1"/>
  <c r="AC501" i="1"/>
  <c r="AC511" i="1"/>
  <c r="AC500" i="1"/>
  <c r="AC526" i="1"/>
  <c r="AC520" i="1"/>
  <c r="AC507" i="1"/>
  <c r="AC525" i="1"/>
  <c r="AC499" i="1"/>
  <c r="AC524" i="1"/>
  <c r="AC498" i="1"/>
  <c r="AC510" i="1"/>
  <c r="AC522" i="1"/>
  <c r="AX28" i="1"/>
  <c r="AX19" i="1"/>
  <c r="AX14" i="1"/>
  <c r="AX9" i="1"/>
  <c r="AX24" i="1"/>
  <c r="AX5" i="1"/>
  <c r="AX8" i="1"/>
  <c r="AX15" i="1"/>
  <c r="AX20" i="1"/>
  <c r="AX18" i="1"/>
  <c r="AX26" i="1"/>
  <c r="AX27" i="1"/>
  <c r="AX25" i="1"/>
  <c r="AX10" i="1"/>
  <c r="AX16" i="1"/>
  <c r="AX4" i="1"/>
  <c r="AX7" i="1"/>
  <c r="AX21" i="1"/>
  <c r="AX23" i="1"/>
  <c r="AX13" i="1"/>
  <c r="AX22" i="1"/>
  <c r="AX17" i="1"/>
  <c r="AX11" i="1"/>
  <c r="AX6" i="1"/>
  <c r="AX12" i="1"/>
  <c r="AX3" i="1"/>
  <c r="AI30" i="1"/>
  <c r="AI37" i="1" s="1"/>
  <c r="AK29" i="1"/>
  <c r="AK30" i="1" s="1"/>
  <c r="AK31" i="1"/>
  <c r="AN8" i="1"/>
  <c r="AO20" i="1" s="1"/>
  <c r="AO14" i="1"/>
  <c r="AN14" i="1" s="1"/>
  <c r="AJ30" i="1"/>
  <c r="AJ28" i="1"/>
  <c r="AJ26" i="1" s="1"/>
  <c r="AF167" i="1"/>
  <c r="R324" i="1"/>
  <c r="Q323" i="1"/>
  <c r="R47" i="1"/>
  <c r="Q46" i="1"/>
  <c r="R575" i="1"/>
  <c r="Q574" i="1"/>
  <c r="P574" i="1" s="1"/>
  <c r="R63" i="1"/>
  <c r="Q63" i="1" s="1"/>
  <c r="Q62" i="1"/>
  <c r="P62" i="1" s="1"/>
  <c r="R231" i="1"/>
  <c r="Q231" i="1" s="1"/>
  <c r="Q230" i="1"/>
  <c r="R78" i="1"/>
  <c r="Q77" i="1"/>
  <c r="R421" i="1"/>
  <c r="Q420" i="1"/>
  <c r="T575" i="1"/>
  <c r="R246" i="1"/>
  <c r="Q245" i="1"/>
  <c r="R514" i="1"/>
  <c r="Q513" i="1"/>
  <c r="R137" i="1"/>
  <c r="Q136" i="1"/>
  <c r="R454" i="1"/>
  <c r="Q453" i="1"/>
  <c r="P453" i="1" s="1"/>
  <c r="R169" i="1"/>
  <c r="Q168" i="1"/>
  <c r="R196" i="1"/>
  <c r="Q195" i="1"/>
  <c r="R297" i="1"/>
  <c r="Q296" i="1"/>
  <c r="R273" i="1"/>
  <c r="Q272" i="1"/>
  <c r="R23" i="1"/>
  <c r="Q22" i="1"/>
  <c r="R374" i="1"/>
  <c r="Q373" i="1"/>
  <c r="R401" i="1"/>
  <c r="Q400" i="1"/>
  <c r="R355" i="1"/>
  <c r="Q354" i="1"/>
  <c r="R101" i="1"/>
  <c r="Q100" i="1"/>
  <c r="T48" i="1"/>
  <c r="T102" i="1"/>
  <c r="T168" i="1"/>
  <c r="T514" i="1"/>
  <c r="T79" i="1"/>
  <c r="T24" i="1"/>
  <c r="T63" i="1"/>
  <c r="P63" i="1" s="1"/>
  <c r="T454" i="1"/>
  <c r="T139" i="1"/>
  <c r="AD935" i="1" l="1"/>
  <c r="AD939" i="1"/>
  <c r="AD936" i="1"/>
  <c r="AD940" i="1"/>
  <c r="AD937" i="1"/>
  <c r="AD938" i="1"/>
  <c r="AD941" i="1"/>
  <c r="AD859" i="1"/>
  <c r="AD867" i="1"/>
  <c r="AD875" i="1"/>
  <c r="AD872" i="1"/>
  <c r="AD876" i="1"/>
  <c r="AD864" i="1"/>
  <c r="AD883" i="1"/>
  <c r="AD909" i="1"/>
  <c r="AD905" i="1"/>
  <c r="AD916" i="1"/>
  <c r="AD925" i="1"/>
  <c r="AD933" i="1"/>
  <c r="AD928" i="1"/>
  <c r="AD891" i="1"/>
  <c r="AD888" i="1"/>
  <c r="AD921" i="1"/>
  <c r="AD884" i="1"/>
  <c r="AD860" i="1"/>
  <c r="AD871" i="1"/>
  <c r="AD901" i="1"/>
  <c r="AD911" i="1"/>
  <c r="AD880" i="1"/>
  <c r="AD907" i="1"/>
  <c r="AD932" i="1"/>
  <c r="AD910" i="1"/>
  <c r="AD913" i="1"/>
  <c r="AD892" i="1"/>
  <c r="AD914" i="1"/>
  <c r="AD879" i="1"/>
  <c r="AD898" i="1"/>
  <c r="AD896" i="1"/>
  <c r="AD868" i="1"/>
  <c r="AD863" i="1"/>
  <c r="AD900" i="1"/>
  <c r="AD920" i="1"/>
  <c r="AD923" i="1"/>
  <c r="AD887" i="1"/>
  <c r="AD906" i="1"/>
  <c r="AD915" i="1"/>
  <c r="AD903" i="1"/>
  <c r="AD899" i="1"/>
  <c r="AD929" i="1"/>
  <c r="AD917" i="1"/>
  <c r="AD895" i="1"/>
  <c r="AD873" i="1"/>
  <c r="AD894" i="1"/>
  <c r="AD926" i="1"/>
  <c r="AD886" i="1"/>
  <c r="AD882" i="1"/>
  <c r="AD890" i="1"/>
  <c r="AD919" i="1"/>
  <c r="AD908" i="1"/>
  <c r="AD927" i="1"/>
  <c r="AD931" i="1"/>
  <c r="AD862" i="1"/>
  <c r="AD889" i="1"/>
  <c r="AD885" i="1"/>
  <c r="AD878" i="1"/>
  <c r="AD877" i="1"/>
  <c r="AD924" i="1"/>
  <c r="AD918" i="1"/>
  <c r="AD870" i="1"/>
  <c r="AD897" i="1"/>
  <c r="AD922" i="1"/>
  <c r="AD904" i="1"/>
  <c r="AD881" i="1"/>
  <c r="AD866" i="1"/>
  <c r="AD865" i="1"/>
  <c r="AD912" i="1"/>
  <c r="AD893" i="1"/>
  <c r="AD874" i="1"/>
  <c r="AD902" i="1"/>
  <c r="AD869" i="1"/>
  <c r="AD934" i="1"/>
  <c r="AD930" i="1"/>
  <c r="AD861" i="1"/>
  <c r="T932" i="1"/>
  <c r="Q931" i="1"/>
  <c r="P931" i="1" s="1"/>
  <c r="AF931" i="1" s="1"/>
  <c r="R932" i="1"/>
  <c r="AD840" i="1"/>
  <c r="AD848" i="1"/>
  <c r="AD845" i="1"/>
  <c r="AD856" i="1"/>
  <c r="AD852" i="1"/>
  <c r="AD844" i="1"/>
  <c r="AD843" i="1"/>
  <c r="AD855" i="1"/>
  <c r="AD851" i="1"/>
  <c r="AD853" i="1"/>
  <c r="AD854" i="1"/>
  <c r="AD842" i="1"/>
  <c r="AD846" i="1"/>
  <c r="AD858" i="1"/>
  <c r="AD841" i="1"/>
  <c r="AD847" i="1"/>
  <c r="AD850" i="1"/>
  <c r="AD849" i="1"/>
  <c r="AD857" i="1"/>
  <c r="BV17" i="1"/>
  <c r="AJ13" i="1"/>
  <c r="AD797" i="1"/>
  <c r="AD805" i="1"/>
  <c r="AD813" i="1"/>
  <c r="AD821" i="1"/>
  <c r="AD838" i="1"/>
  <c r="AD802" i="1"/>
  <c r="AD818" i="1"/>
  <c r="AD822" i="1"/>
  <c r="AD810" i="1"/>
  <c r="AD829" i="1"/>
  <c r="AD826" i="1"/>
  <c r="AD832" i="1"/>
  <c r="AD806" i="1"/>
  <c r="AD833" i="1"/>
  <c r="AD798" i="1"/>
  <c r="AD830" i="1"/>
  <c r="AD811" i="1"/>
  <c r="AD801" i="1"/>
  <c r="AD814" i="1"/>
  <c r="AD825" i="1"/>
  <c r="AD809" i="1"/>
  <c r="AD827" i="1"/>
  <c r="AD817" i="1"/>
  <c r="AD819" i="1"/>
  <c r="AD837" i="1"/>
  <c r="AD803" i="1"/>
  <c r="AD834" i="1"/>
  <c r="AD807" i="1"/>
  <c r="AD828" i="1"/>
  <c r="AD839" i="1"/>
  <c r="AD835" i="1"/>
  <c r="AD823" i="1"/>
  <c r="AD831" i="1"/>
  <c r="AD799" i="1"/>
  <c r="AD804" i="1"/>
  <c r="AD815" i="1"/>
  <c r="AD836" i="1"/>
  <c r="AD812" i="1"/>
  <c r="AD800" i="1"/>
  <c r="AD824" i="1"/>
  <c r="AD820" i="1"/>
  <c r="AD816" i="1"/>
  <c r="AD808" i="1"/>
  <c r="AL4" i="1"/>
  <c r="AJ6" i="1" s="1"/>
  <c r="AJ5" i="1"/>
  <c r="P168" i="1"/>
  <c r="P22" i="1"/>
  <c r="AF22" i="1" s="1"/>
  <c r="P77" i="1"/>
  <c r="AF77" i="1" s="1"/>
  <c r="P46" i="1"/>
  <c r="AF46" i="1" s="1"/>
  <c r="P100" i="1"/>
  <c r="AF100" i="1" s="1"/>
  <c r="AF453" i="1"/>
  <c r="AF62" i="1"/>
  <c r="T757" i="1"/>
  <c r="P513" i="1"/>
  <c r="AF513" i="1" s="1"/>
  <c r="P136" i="1"/>
  <c r="AF136" i="1" s="1"/>
  <c r="AF574" i="1"/>
  <c r="Q756" i="1"/>
  <c r="P756" i="1" s="1"/>
  <c r="R757" i="1"/>
  <c r="AD778" i="1"/>
  <c r="AD790" i="1"/>
  <c r="AD791" i="1"/>
  <c r="AD782" i="1"/>
  <c r="AD783" i="1"/>
  <c r="AD795" i="1"/>
  <c r="AD779" i="1"/>
  <c r="AD787" i="1"/>
  <c r="AD786" i="1"/>
  <c r="AD794" i="1"/>
  <c r="AD780" i="1"/>
  <c r="AD785" i="1"/>
  <c r="AD784" i="1"/>
  <c r="AD789" i="1"/>
  <c r="AD792" i="1"/>
  <c r="AD796" i="1"/>
  <c r="AD788" i="1"/>
  <c r="AD793" i="1"/>
  <c r="AD781" i="1"/>
  <c r="AD756" i="1"/>
  <c r="AD764" i="1"/>
  <c r="AD772" i="1"/>
  <c r="AD761" i="1"/>
  <c r="AD773" i="1"/>
  <c r="AD765" i="1"/>
  <c r="AD776" i="1"/>
  <c r="AD768" i="1"/>
  <c r="AD760" i="1"/>
  <c r="AD757" i="1"/>
  <c r="AD771" i="1"/>
  <c r="AD759" i="1"/>
  <c r="AD763" i="1"/>
  <c r="AD767" i="1"/>
  <c r="AD766" i="1"/>
  <c r="AD775" i="1"/>
  <c r="AD769" i="1"/>
  <c r="AD774" i="1"/>
  <c r="AD758" i="1"/>
  <c r="AD762" i="1"/>
  <c r="AD770" i="1"/>
  <c r="AD777" i="1"/>
  <c r="AN5" i="1"/>
  <c r="AO5" i="1" s="1"/>
  <c r="AD4" i="1"/>
  <c r="AD8" i="1"/>
  <c r="AD12" i="1"/>
  <c r="AD16" i="1"/>
  <c r="AD20" i="1"/>
  <c r="AD24" i="1"/>
  <c r="AD28" i="1"/>
  <c r="AD32" i="1"/>
  <c r="AD36" i="1"/>
  <c r="AD40" i="1"/>
  <c r="AD44" i="1"/>
  <c r="AD48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4" i="1"/>
  <c r="AD108" i="1"/>
  <c r="AD112" i="1"/>
  <c r="AD116" i="1"/>
  <c r="AD120" i="1"/>
  <c r="AD124" i="1"/>
  <c r="AD128" i="1"/>
  <c r="AD132" i="1"/>
  <c r="AD136" i="1"/>
  <c r="AD140" i="1"/>
  <c r="AD144" i="1"/>
  <c r="AD148" i="1"/>
  <c r="AD5" i="1"/>
  <c r="AD9" i="1"/>
  <c r="AD13" i="1"/>
  <c r="AD17" i="1"/>
  <c r="AD21" i="1"/>
  <c r="AD25" i="1"/>
  <c r="AD29" i="1"/>
  <c r="AD33" i="1"/>
  <c r="AD37" i="1"/>
  <c r="AD41" i="1"/>
  <c r="AD45" i="1"/>
  <c r="AD49" i="1"/>
  <c r="AD53" i="1"/>
  <c r="AD57" i="1"/>
  <c r="AD61" i="1"/>
  <c r="AD65" i="1"/>
  <c r="AD69" i="1"/>
  <c r="AD73" i="1"/>
  <c r="AD77" i="1"/>
  <c r="AD81" i="1"/>
  <c r="AD85" i="1"/>
  <c r="AD89" i="1"/>
  <c r="AD93" i="1"/>
  <c r="AD97" i="1"/>
  <c r="AD101" i="1"/>
  <c r="AD105" i="1"/>
  <c r="AD109" i="1"/>
  <c r="AD113" i="1"/>
  <c r="AD117" i="1"/>
  <c r="AD121" i="1"/>
  <c r="AD125" i="1"/>
  <c r="AD129" i="1"/>
  <c r="AD133" i="1"/>
  <c r="AD137" i="1"/>
  <c r="AD141" i="1"/>
  <c r="AD145" i="1"/>
  <c r="AD149" i="1"/>
  <c r="AD153" i="1"/>
  <c r="AD157" i="1"/>
  <c r="AD161" i="1"/>
  <c r="AD165" i="1"/>
  <c r="AD169" i="1"/>
  <c r="AD173" i="1"/>
  <c r="AD177" i="1"/>
  <c r="AD181" i="1"/>
  <c r="AD185" i="1"/>
  <c r="AD189" i="1"/>
  <c r="AD193" i="1"/>
  <c r="AD197" i="1"/>
  <c r="AD201" i="1"/>
  <c r="AD205" i="1"/>
  <c r="AD209" i="1"/>
  <c r="AD213" i="1"/>
  <c r="AD217" i="1"/>
  <c r="AD221" i="1"/>
  <c r="AD225" i="1"/>
  <c r="AD229" i="1"/>
  <c r="AD233" i="1"/>
  <c r="AD237" i="1"/>
  <c r="AD241" i="1"/>
  <c r="AD245" i="1"/>
  <c r="AD249" i="1"/>
  <c r="AD253" i="1"/>
  <c r="AD257" i="1"/>
  <c r="AD261" i="1"/>
  <c r="AD265" i="1"/>
  <c r="AD269" i="1"/>
  <c r="AD273" i="1"/>
  <c r="AD277" i="1"/>
  <c r="AD281" i="1"/>
  <c r="AD285" i="1"/>
  <c r="AD289" i="1"/>
  <c r="AD293" i="1"/>
  <c r="AD297" i="1"/>
  <c r="AD301" i="1"/>
  <c r="AD305" i="1"/>
  <c r="AD309" i="1"/>
  <c r="AD313" i="1"/>
  <c r="AD317" i="1"/>
  <c r="AD321" i="1"/>
  <c r="AD325" i="1"/>
  <c r="AD329" i="1"/>
  <c r="AD333" i="1"/>
  <c r="AD337" i="1"/>
  <c r="AD341" i="1"/>
  <c r="AD7" i="1"/>
  <c r="AD14" i="1"/>
  <c r="AD39" i="1"/>
  <c r="AD46" i="1"/>
  <c r="AD71" i="1"/>
  <c r="AD78" i="1"/>
  <c r="AD103" i="1"/>
  <c r="AD110" i="1"/>
  <c r="AD135" i="1"/>
  <c r="AD142" i="1"/>
  <c r="AD154" i="1"/>
  <c r="AD159" i="1"/>
  <c r="AD164" i="1"/>
  <c r="AD170" i="1"/>
  <c r="AD175" i="1"/>
  <c r="AD180" i="1"/>
  <c r="AD186" i="1"/>
  <c r="AD191" i="1"/>
  <c r="AD196" i="1"/>
  <c r="AD202" i="1"/>
  <c r="AD207" i="1"/>
  <c r="AD212" i="1"/>
  <c r="AD218" i="1"/>
  <c r="AD223" i="1"/>
  <c r="AD228" i="1"/>
  <c r="AD234" i="1"/>
  <c r="AD239" i="1"/>
  <c r="AD244" i="1"/>
  <c r="AD250" i="1"/>
  <c r="AD255" i="1"/>
  <c r="AD260" i="1"/>
  <c r="AD266" i="1"/>
  <c r="AD271" i="1"/>
  <c r="AD276" i="1"/>
  <c r="AD282" i="1"/>
  <c r="AD287" i="1"/>
  <c r="AD292" i="1"/>
  <c r="AD298" i="1"/>
  <c r="AD303" i="1"/>
  <c r="AD308" i="1"/>
  <c r="AD314" i="1"/>
  <c r="AD319" i="1"/>
  <c r="AD324" i="1"/>
  <c r="AD330" i="1"/>
  <c r="AD335" i="1"/>
  <c r="AD340" i="1"/>
  <c r="AD345" i="1"/>
  <c r="AD349" i="1"/>
  <c r="AD353" i="1"/>
  <c r="AD357" i="1"/>
  <c r="AD361" i="1"/>
  <c r="AD365" i="1"/>
  <c r="AD369" i="1"/>
  <c r="AD373" i="1"/>
  <c r="AD377" i="1"/>
  <c r="AD381" i="1"/>
  <c r="AD385" i="1"/>
  <c r="AD389" i="1"/>
  <c r="AD393" i="1"/>
  <c r="AD397" i="1"/>
  <c r="AD401" i="1"/>
  <c r="AD405" i="1"/>
  <c r="AD409" i="1"/>
  <c r="AD413" i="1"/>
  <c r="AD417" i="1"/>
  <c r="AD421" i="1"/>
  <c r="AD425" i="1"/>
  <c r="AD429" i="1"/>
  <c r="AD27" i="1"/>
  <c r="AD34" i="1"/>
  <c r="AD59" i="1"/>
  <c r="AD66" i="1"/>
  <c r="AD91" i="1"/>
  <c r="AD98" i="1"/>
  <c r="AD123" i="1"/>
  <c r="AD130" i="1"/>
  <c r="AD15" i="1"/>
  <c r="AD22" i="1"/>
  <c r="AD47" i="1"/>
  <c r="AD54" i="1"/>
  <c r="AD79" i="1"/>
  <c r="AD86" i="1"/>
  <c r="AD111" i="1"/>
  <c r="AD118" i="1"/>
  <c r="AD143" i="1"/>
  <c r="AD150" i="1"/>
  <c r="AD155" i="1"/>
  <c r="AD160" i="1"/>
  <c r="AD166" i="1"/>
  <c r="AD171" i="1"/>
  <c r="AD176" i="1"/>
  <c r="AD182" i="1"/>
  <c r="AD187" i="1"/>
  <c r="AD192" i="1"/>
  <c r="AD198" i="1"/>
  <c r="AD203" i="1"/>
  <c r="AD208" i="1"/>
  <c r="AD214" i="1"/>
  <c r="AD219" i="1"/>
  <c r="AD224" i="1"/>
  <c r="AD230" i="1"/>
  <c r="AD235" i="1"/>
  <c r="AD240" i="1"/>
  <c r="AD246" i="1"/>
  <c r="AD251" i="1"/>
  <c r="AD256" i="1"/>
  <c r="AD262" i="1"/>
  <c r="AD267" i="1"/>
  <c r="AD272" i="1"/>
  <c r="AD278" i="1"/>
  <c r="AD283" i="1"/>
  <c r="AD288" i="1"/>
  <c r="AD294" i="1"/>
  <c r="AD299" i="1"/>
  <c r="AD304" i="1"/>
  <c r="AD310" i="1"/>
  <c r="AD315" i="1"/>
  <c r="AD320" i="1"/>
  <c r="AD326" i="1"/>
  <c r="AD331" i="1"/>
  <c r="AD336" i="1"/>
  <c r="AD342" i="1"/>
  <c r="AD346" i="1"/>
  <c r="AD350" i="1"/>
  <c r="AD354" i="1"/>
  <c r="AD358" i="1"/>
  <c r="AD362" i="1"/>
  <c r="AD366" i="1"/>
  <c r="AD370" i="1"/>
  <c r="AD374" i="1"/>
  <c r="AD378" i="1"/>
  <c r="AD382" i="1"/>
  <c r="AD386" i="1"/>
  <c r="AD390" i="1"/>
  <c r="AD394" i="1"/>
  <c r="AD398" i="1"/>
  <c r="AD402" i="1"/>
  <c r="AD406" i="1"/>
  <c r="AD410" i="1"/>
  <c r="AD414" i="1"/>
  <c r="AD418" i="1"/>
  <c r="AD422" i="1"/>
  <c r="AD426" i="1"/>
  <c r="AD430" i="1"/>
  <c r="AD434" i="1"/>
  <c r="AD438" i="1"/>
  <c r="AD442" i="1"/>
  <c r="AD3" i="1"/>
  <c r="AD10" i="1"/>
  <c r="AD35" i="1"/>
  <c r="AD42" i="1"/>
  <c r="AD67" i="1"/>
  <c r="AD74" i="1"/>
  <c r="AD99" i="1"/>
  <c r="AD106" i="1"/>
  <c r="AD131" i="1"/>
  <c r="AD138" i="1"/>
  <c r="AD23" i="1"/>
  <c r="AD30" i="1"/>
  <c r="AD55" i="1"/>
  <c r="AD62" i="1"/>
  <c r="AD87" i="1"/>
  <c r="AD94" i="1"/>
  <c r="AD119" i="1"/>
  <c r="AD126" i="1"/>
  <c r="AD151" i="1"/>
  <c r="AD156" i="1"/>
  <c r="AD162" i="1"/>
  <c r="AD167" i="1"/>
  <c r="AD172" i="1"/>
  <c r="AD178" i="1"/>
  <c r="AD183" i="1"/>
  <c r="AD188" i="1"/>
  <c r="AD194" i="1"/>
  <c r="AD199" i="1"/>
  <c r="AD204" i="1"/>
  <c r="AD210" i="1"/>
  <c r="AD215" i="1"/>
  <c r="AD220" i="1"/>
  <c r="AD226" i="1"/>
  <c r="AD231" i="1"/>
  <c r="AD236" i="1"/>
  <c r="AD242" i="1"/>
  <c r="AD247" i="1"/>
  <c r="AD252" i="1"/>
  <c r="AD258" i="1"/>
  <c r="AD263" i="1"/>
  <c r="AD268" i="1"/>
  <c r="AD274" i="1"/>
  <c r="AD279" i="1"/>
  <c r="AD284" i="1"/>
  <c r="AD290" i="1"/>
  <c r="AD295" i="1"/>
  <c r="AD300" i="1"/>
  <c r="AD306" i="1"/>
  <c r="AD311" i="1"/>
  <c r="AD316" i="1"/>
  <c r="AD322" i="1"/>
  <c r="AD327" i="1"/>
  <c r="AD332" i="1"/>
  <c r="AD338" i="1"/>
  <c r="AD343" i="1"/>
  <c r="AD347" i="1"/>
  <c r="AD351" i="1"/>
  <c r="AD355" i="1"/>
  <c r="AD359" i="1"/>
  <c r="AD363" i="1"/>
  <c r="AD367" i="1"/>
  <c r="AD371" i="1"/>
  <c r="AD375" i="1"/>
  <c r="AD379" i="1"/>
  <c r="AD383" i="1"/>
  <c r="AD387" i="1"/>
  <c r="AD391" i="1"/>
  <c r="AD395" i="1"/>
  <c r="AD399" i="1"/>
  <c r="AD403" i="1"/>
  <c r="AD407" i="1"/>
  <c r="AD411" i="1"/>
  <c r="AD415" i="1"/>
  <c r="AD419" i="1"/>
  <c r="AD423" i="1"/>
  <c r="AD427" i="1"/>
  <c r="AD11" i="1"/>
  <c r="AD18" i="1"/>
  <c r="AD43" i="1"/>
  <c r="AD50" i="1"/>
  <c r="AD75" i="1"/>
  <c r="AD82" i="1"/>
  <c r="AD107" i="1"/>
  <c r="AD114" i="1"/>
  <c r="AD139" i="1"/>
  <c r="AD146" i="1"/>
  <c r="AD6" i="1"/>
  <c r="AD31" i="1"/>
  <c r="AD38" i="1"/>
  <c r="AD63" i="1"/>
  <c r="AD70" i="1"/>
  <c r="AD95" i="1"/>
  <c r="AD102" i="1"/>
  <c r="AD127" i="1"/>
  <c r="AD134" i="1"/>
  <c r="AD152" i="1"/>
  <c r="AD158" i="1"/>
  <c r="AD163" i="1"/>
  <c r="AD168" i="1"/>
  <c r="AD174" i="1"/>
  <c r="AD179" i="1"/>
  <c r="AD184" i="1"/>
  <c r="AD190" i="1"/>
  <c r="AD195" i="1"/>
  <c r="AD200" i="1"/>
  <c r="AD206" i="1"/>
  <c r="AD211" i="1"/>
  <c r="AD216" i="1"/>
  <c r="AD222" i="1"/>
  <c r="AD227" i="1"/>
  <c r="AD232" i="1"/>
  <c r="AD238" i="1"/>
  <c r="AD243" i="1"/>
  <c r="AD248" i="1"/>
  <c r="AD254" i="1"/>
  <c r="AD259" i="1"/>
  <c r="AD264" i="1"/>
  <c r="AD270" i="1"/>
  <c r="AD275" i="1"/>
  <c r="AD280" i="1"/>
  <c r="AD286" i="1"/>
  <c r="AD291" i="1"/>
  <c r="AD296" i="1"/>
  <c r="AD302" i="1"/>
  <c r="AD307" i="1"/>
  <c r="AD312" i="1"/>
  <c r="AD318" i="1"/>
  <c r="AD323" i="1"/>
  <c r="AD328" i="1"/>
  <c r="AD334" i="1"/>
  <c r="AD339" i="1"/>
  <c r="AD344" i="1"/>
  <c r="AD348" i="1"/>
  <c r="AD352" i="1"/>
  <c r="AD356" i="1"/>
  <c r="AD360" i="1"/>
  <c r="AD364" i="1"/>
  <c r="AD368" i="1"/>
  <c r="AD372" i="1"/>
  <c r="AD376" i="1"/>
  <c r="AD380" i="1"/>
  <c r="AD384" i="1"/>
  <c r="AD388" i="1"/>
  <c r="AD392" i="1"/>
  <c r="AD396" i="1"/>
  <c r="AD400" i="1"/>
  <c r="AD404" i="1"/>
  <c r="AD408" i="1"/>
  <c r="AD412" i="1"/>
  <c r="AD416" i="1"/>
  <c r="AD420" i="1"/>
  <c r="AD424" i="1"/>
  <c r="AD428" i="1"/>
  <c r="AD432" i="1"/>
  <c r="AD436" i="1"/>
  <c r="AD440" i="1"/>
  <c r="AD444" i="1"/>
  <c r="AD147" i="1"/>
  <c r="AD446" i="1"/>
  <c r="AD450" i="1"/>
  <c r="AD454" i="1"/>
  <c r="AD458" i="1"/>
  <c r="AD462" i="1"/>
  <c r="AD466" i="1"/>
  <c r="AD470" i="1"/>
  <c r="AD474" i="1"/>
  <c r="AD478" i="1"/>
  <c r="AD482" i="1"/>
  <c r="AD486" i="1"/>
  <c r="AD490" i="1"/>
  <c r="AD51" i="1"/>
  <c r="AD441" i="1"/>
  <c r="AD58" i="1"/>
  <c r="AD435" i="1"/>
  <c r="AD447" i="1"/>
  <c r="AD451" i="1"/>
  <c r="AD455" i="1"/>
  <c r="AD459" i="1"/>
  <c r="AD463" i="1"/>
  <c r="AD467" i="1"/>
  <c r="AD471" i="1"/>
  <c r="AD475" i="1"/>
  <c r="AD479" i="1"/>
  <c r="AD483" i="1"/>
  <c r="AD487" i="1"/>
  <c r="AD491" i="1"/>
  <c r="AD115" i="1"/>
  <c r="AD19" i="1"/>
  <c r="AD122" i="1"/>
  <c r="AD437" i="1"/>
  <c r="AD443" i="1"/>
  <c r="AD448" i="1"/>
  <c r="AD452" i="1"/>
  <c r="AD456" i="1"/>
  <c r="AD460" i="1"/>
  <c r="AD464" i="1"/>
  <c r="AD468" i="1"/>
  <c r="AD472" i="1"/>
  <c r="AD476" i="1"/>
  <c r="AD480" i="1"/>
  <c r="AD484" i="1"/>
  <c r="AD488" i="1"/>
  <c r="AD492" i="1"/>
  <c r="AD26" i="1"/>
  <c r="AD431" i="1"/>
  <c r="AD83" i="1"/>
  <c r="AD445" i="1"/>
  <c r="AD449" i="1"/>
  <c r="AD453" i="1"/>
  <c r="AD457" i="1"/>
  <c r="AD461" i="1"/>
  <c r="AD465" i="1"/>
  <c r="AD469" i="1"/>
  <c r="AD473" i="1"/>
  <c r="AD477" i="1"/>
  <c r="AD481" i="1"/>
  <c r="AD485" i="1"/>
  <c r="AD489" i="1"/>
  <c r="AD493" i="1"/>
  <c r="AD433" i="1"/>
  <c r="AD90" i="1"/>
  <c r="AD439" i="1"/>
  <c r="AD2" i="1"/>
  <c r="AD752" i="1"/>
  <c r="AD751" i="1"/>
  <c r="AD748" i="1"/>
  <c r="AD747" i="1"/>
  <c r="AD744" i="1"/>
  <c r="AD727" i="1"/>
  <c r="AD754" i="1"/>
  <c r="AD755" i="1"/>
  <c r="AD733" i="1"/>
  <c r="AD749" i="1"/>
  <c r="AD732" i="1"/>
  <c r="AD739" i="1"/>
  <c r="AD737" i="1"/>
  <c r="AD742" i="1"/>
  <c r="AD735" i="1"/>
  <c r="AD743" i="1"/>
  <c r="AD741" i="1"/>
  <c r="AD746" i="1"/>
  <c r="AD734" i="1"/>
  <c r="AD730" i="1"/>
  <c r="AD729" i="1"/>
  <c r="AD731" i="1"/>
  <c r="AD745" i="1"/>
  <c r="AD753" i="1"/>
  <c r="AD740" i="1"/>
  <c r="AD736" i="1"/>
  <c r="AD726" i="1"/>
  <c r="AD728" i="1"/>
  <c r="AD738" i="1"/>
  <c r="AD725" i="1"/>
  <c r="AD750" i="1"/>
  <c r="AD713" i="1"/>
  <c r="AD684" i="1"/>
  <c r="AD711" i="1"/>
  <c r="AD694" i="1"/>
  <c r="AD720" i="1"/>
  <c r="AD680" i="1"/>
  <c r="AD707" i="1"/>
  <c r="AD716" i="1"/>
  <c r="AD723" i="1"/>
  <c r="AD679" i="1"/>
  <c r="AD688" i="1"/>
  <c r="AD715" i="1"/>
  <c r="AD722" i="1"/>
  <c r="AD662" i="1"/>
  <c r="AD678" i="1"/>
  <c r="AD682" i="1"/>
  <c r="AD691" i="1"/>
  <c r="AD671" i="1"/>
  <c r="AD701" i="1"/>
  <c r="AD681" i="1"/>
  <c r="AD696" i="1"/>
  <c r="AD673" i="1"/>
  <c r="AD685" i="1"/>
  <c r="AD703" i="1"/>
  <c r="AD664" i="1"/>
  <c r="AD699" i="1"/>
  <c r="AD718" i="1"/>
  <c r="AD674" i="1"/>
  <c r="AD658" i="1"/>
  <c r="AD712" i="1"/>
  <c r="AD709" i="1"/>
  <c r="AD686" i="1"/>
  <c r="AD710" i="1"/>
  <c r="AD667" i="1"/>
  <c r="AD695" i="1"/>
  <c r="AD719" i="1"/>
  <c r="AD697" i="1"/>
  <c r="AD704" i="1"/>
  <c r="AD665" i="1"/>
  <c r="AD677" i="1"/>
  <c r="AD721" i="1"/>
  <c r="AD660" i="1"/>
  <c r="AD687" i="1"/>
  <c r="AD693" i="1"/>
  <c r="AD670" i="1"/>
  <c r="AD702" i="1"/>
  <c r="AD706" i="1"/>
  <c r="AD690" i="1"/>
  <c r="AD724" i="1"/>
  <c r="AD663" i="1"/>
  <c r="AD683" i="1"/>
  <c r="AD700" i="1"/>
  <c r="AD657" i="1"/>
  <c r="AD689" i="1"/>
  <c r="AD672" i="1"/>
  <c r="AD714" i="1"/>
  <c r="AD717" i="1"/>
  <c r="AD668" i="1"/>
  <c r="AD692" i="1"/>
  <c r="AD666" i="1"/>
  <c r="AD705" i="1"/>
  <c r="AD675" i="1"/>
  <c r="AD659" i="1"/>
  <c r="AD698" i="1"/>
  <c r="AD708" i="1"/>
  <c r="AD612" i="1"/>
  <c r="AD643" i="1"/>
  <c r="AD635" i="1"/>
  <c r="AD649" i="1"/>
  <c r="AD653" i="1"/>
  <c r="AD634" i="1"/>
  <c r="AD646" i="1"/>
  <c r="AD650" i="1"/>
  <c r="AD647" i="1"/>
  <c r="AD651" i="1"/>
  <c r="AD633" i="1"/>
  <c r="AD644" i="1"/>
  <c r="AD628" i="1"/>
  <c r="AD629" i="1"/>
  <c r="AD631" i="1"/>
  <c r="AD655" i="1"/>
  <c r="AD630" i="1"/>
  <c r="AD654" i="1"/>
  <c r="AD645" i="1"/>
  <c r="AD676" i="1"/>
  <c r="AD624" i="1"/>
  <c r="AD669" i="1"/>
  <c r="AD621" i="1"/>
  <c r="AD627" i="1"/>
  <c r="AD656" i="1"/>
  <c r="AD626" i="1"/>
  <c r="AD648" i="1"/>
  <c r="AD616" i="1"/>
  <c r="AD652" i="1"/>
  <c r="AD632" i="1"/>
  <c r="AD623" i="1"/>
  <c r="AD661" i="1"/>
  <c r="AD622" i="1"/>
  <c r="AD614" i="1"/>
  <c r="AD611" i="1"/>
  <c r="AD605" i="1"/>
  <c r="AD636" i="1"/>
  <c r="AD619" i="1"/>
  <c r="AD597" i="1"/>
  <c r="AD620" i="1"/>
  <c r="AD600" i="1"/>
  <c r="AD638" i="1"/>
  <c r="AD606" i="1"/>
  <c r="AD642" i="1"/>
  <c r="AD625" i="1"/>
  <c r="AD596" i="1"/>
  <c r="AD640" i="1"/>
  <c r="AD613" i="1"/>
  <c r="AD607" i="1"/>
  <c r="AD601" i="1"/>
  <c r="AD603" i="1"/>
  <c r="AD602" i="1"/>
  <c r="AD604" i="1"/>
  <c r="AD599" i="1"/>
  <c r="AD609" i="1"/>
  <c r="AD641" i="1"/>
  <c r="AD639" i="1"/>
  <c r="AD617" i="1"/>
  <c r="AD618" i="1"/>
  <c r="AD610" i="1"/>
  <c r="AD598" i="1"/>
  <c r="AD595" i="1"/>
  <c r="AD608" i="1"/>
  <c r="AD615" i="1"/>
  <c r="AD637" i="1"/>
  <c r="AD594" i="1"/>
  <c r="AD562" i="1"/>
  <c r="AD530" i="1"/>
  <c r="AD582" i="1"/>
  <c r="AD550" i="1"/>
  <c r="AD565" i="1"/>
  <c r="AD588" i="1"/>
  <c r="AD547" i="1"/>
  <c r="AD545" i="1"/>
  <c r="AD569" i="1"/>
  <c r="AD568" i="1"/>
  <c r="AD536" i="1"/>
  <c r="AD591" i="1"/>
  <c r="AD559" i="1"/>
  <c r="AD580" i="1"/>
  <c r="AD589" i="1"/>
  <c r="AD557" i="1"/>
  <c r="AD553" i="1"/>
  <c r="AD567" i="1"/>
  <c r="AD586" i="1"/>
  <c r="AD554" i="1"/>
  <c r="AD574" i="1"/>
  <c r="AD542" i="1"/>
  <c r="AD555" i="1"/>
  <c r="AD544" i="1"/>
  <c r="AD577" i="1"/>
  <c r="AD540" i="1"/>
  <c r="AD539" i="1"/>
  <c r="AD556" i="1"/>
  <c r="AD537" i="1"/>
  <c r="AD592" i="1"/>
  <c r="AD560" i="1"/>
  <c r="AD564" i="1"/>
  <c r="AD583" i="1"/>
  <c r="AD551" i="1"/>
  <c r="AD579" i="1"/>
  <c r="AD581" i="1"/>
  <c r="AD549" i="1"/>
  <c r="AD532" i="1"/>
  <c r="AD585" i="1"/>
  <c r="AD578" i="1"/>
  <c r="AD546" i="1"/>
  <c r="AD566" i="1"/>
  <c r="AD534" i="1"/>
  <c r="AD572" i="1"/>
  <c r="AD563" i="1"/>
  <c r="AD531" i="1"/>
  <c r="AD561" i="1"/>
  <c r="AD529" i="1"/>
  <c r="AD584" i="1"/>
  <c r="AD552" i="1"/>
  <c r="AD587" i="1"/>
  <c r="AD575" i="1"/>
  <c r="AD543" i="1"/>
  <c r="AD593" i="1"/>
  <c r="AD573" i="1"/>
  <c r="AD533" i="1"/>
  <c r="AD535" i="1"/>
  <c r="AD570" i="1"/>
  <c r="AD538" i="1"/>
  <c r="AD590" i="1"/>
  <c r="AD558" i="1"/>
  <c r="AD576" i="1"/>
  <c r="AD548" i="1"/>
  <c r="AD571" i="1"/>
  <c r="AD541" i="1"/>
  <c r="AD502" i="1"/>
  <c r="AD515" i="1"/>
  <c r="AD513" i="1"/>
  <c r="AD519" i="1"/>
  <c r="AD521" i="1"/>
  <c r="AD512" i="1"/>
  <c r="AD517" i="1"/>
  <c r="AD528" i="1"/>
  <c r="AD516" i="1"/>
  <c r="AD514" i="1"/>
  <c r="AD494" i="1"/>
  <c r="AD505" i="1"/>
  <c r="AD503" i="1"/>
  <c r="AD496" i="1"/>
  <c r="AD527" i="1"/>
  <c r="AD509" i="1"/>
  <c r="AD504" i="1"/>
  <c r="AD508" i="1"/>
  <c r="AD495" i="1"/>
  <c r="AD523" i="1"/>
  <c r="AD501" i="1"/>
  <c r="AD511" i="1"/>
  <c r="AD506" i="1"/>
  <c r="AD518" i="1"/>
  <c r="AD526" i="1"/>
  <c r="AD497" i="1"/>
  <c r="AD500" i="1"/>
  <c r="AD498" i="1"/>
  <c r="AD510" i="1"/>
  <c r="AD522" i="1"/>
  <c r="AD520" i="1"/>
  <c r="AD507" i="1"/>
  <c r="AD525" i="1"/>
  <c r="AD499" i="1"/>
  <c r="AD524" i="1"/>
  <c r="AI34" i="1"/>
  <c r="AI36" i="1"/>
  <c r="AL35" i="1"/>
  <c r="AK28" i="1"/>
  <c r="AK26" i="1" s="1"/>
  <c r="AJ37" i="1"/>
  <c r="AL34" i="1"/>
  <c r="AJ35" i="1"/>
  <c r="AL36" i="1"/>
  <c r="AJ36" i="1"/>
  <c r="AK34" i="1"/>
  <c r="AK35" i="1"/>
  <c r="AK37" i="1"/>
  <c r="AF63" i="1"/>
  <c r="AF168" i="1"/>
  <c r="R402" i="1"/>
  <c r="Q401" i="1"/>
  <c r="R274" i="1"/>
  <c r="Q273" i="1"/>
  <c r="R455" i="1"/>
  <c r="Q454" i="1"/>
  <c r="R515" i="1"/>
  <c r="Q514" i="1"/>
  <c r="R422" i="1"/>
  <c r="Q421" i="1"/>
  <c r="R375" i="1"/>
  <c r="Q374" i="1"/>
  <c r="R576" i="1"/>
  <c r="Q575" i="1"/>
  <c r="R298" i="1"/>
  <c r="Q297" i="1"/>
  <c r="R247" i="1"/>
  <c r="Q246" i="1"/>
  <c r="R79" i="1"/>
  <c r="Q78" i="1"/>
  <c r="R102" i="1"/>
  <c r="Q101" i="1"/>
  <c r="R138" i="1"/>
  <c r="Q137" i="1"/>
  <c r="R48" i="1"/>
  <c r="Q48" i="1" s="1"/>
  <c r="P48" i="1" s="1"/>
  <c r="Q47" i="1"/>
  <c r="R197" i="1"/>
  <c r="Q196" i="1"/>
  <c r="T576" i="1"/>
  <c r="R356" i="1"/>
  <c r="Q355" i="1"/>
  <c r="R24" i="1"/>
  <c r="Q23" i="1"/>
  <c r="R170" i="1"/>
  <c r="Q169" i="1"/>
  <c r="R325" i="1"/>
  <c r="Q324" i="1"/>
  <c r="T515" i="1"/>
  <c r="T169" i="1"/>
  <c r="T25" i="1"/>
  <c r="T103" i="1"/>
  <c r="T455" i="1"/>
  <c r="T140" i="1"/>
  <c r="T80" i="1"/>
  <c r="T933" i="1" l="1"/>
  <c r="R933" i="1"/>
  <c r="Q932" i="1"/>
  <c r="P932" i="1" s="1"/>
  <c r="AF932" i="1" s="1"/>
  <c r="P23" i="1"/>
  <c r="AF23" i="1" s="1"/>
  <c r="AF48" i="1"/>
  <c r="T758" i="1"/>
  <c r="P101" i="1"/>
  <c r="AF101" i="1" s="1"/>
  <c r="Q757" i="1"/>
  <c r="P757" i="1" s="1"/>
  <c r="R758" i="1"/>
  <c r="P454" i="1"/>
  <c r="AF454" i="1" s="1"/>
  <c r="P169" i="1"/>
  <c r="AF169" i="1" s="1"/>
  <c r="AF756" i="1"/>
  <c r="P575" i="1"/>
  <c r="AF575" i="1" s="1"/>
  <c r="P47" i="1"/>
  <c r="AF47" i="1" s="1"/>
  <c r="P78" i="1"/>
  <c r="AF78" i="1" s="1"/>
  <c r="P137" i="1"/>
  <c r="AF137" i="1" s="1"/>
  <c r="P514" i="1"/>
  <c r="AF514" i="1" s="1"/>
  <c r="AN4" i="1"/>
  <c r="R139" i="1"/>
  <c r="Q138" i="1"/>
  <c r="R299" i="1"/>
  <c r="Q298" i="1"/>
  <c r="R516" i="1"/>
  <c r="Q515" i="1"/>
  <c r="R326" i="1"/>
  <c r="Q325" i="1"/>
  <c r="R198" i="1"/>
  <c r="Q197" i="1"/>
  <c r="R103" i="1"/>
  <c r="Q102" i="1"/>
  <c r="R357" i="1"/>
  <c r="Q356" i="1"/>
  <c r="R577" i="1"/>
  <c r="Q576" i="1"/>
  <c r="R456" i="1"/>
  <c r="Q455" i="1"/>
  <c r="P455" i="1" s="1"/>
  <c r="R80" i="1"/>
  <c r="Q79" i="1"/>
  <c r="R376" i="1"/>
  <c r="Q375" i="1"/>
  <c r="R275" i="1"/>
  <c r="Q274" i="1"/>
  <c r="R171" i="1"/>
  <c r="Q170" i="1"/>
  <c r="R25" i="1"/>
  <c r="Q24" i="1"/>
  <c r="T577" i="1"/>
  <c r="R248" i="1"/>
  <c r="Q247" i="1"/>
  <c r="R423" i="1"/>
  <c r="Q422" i="1"/>
  <c r="R403" i="1"/>
  <c r="Q402" i="1"/>
  <c r="T81" i="1"/>
  <c r="T26" i="1"/>
  <c r="T141" i="1"/>
  <c r="T170" i="1"/>
  <c r="T104" i="1"/>
  <c r="T456" i="1"/>
  <c r="T516" i="1"/>
  <c r="Q933" i="1" l="1"/>
  <c r="R934" i="1"/>
  <c r="P933" i="1"/>
  <c r="AF933" i="1" s="1"/>
  <c r="T934" i="1"/>
  <c r="T935" i="1" s="1"/>
  <c r="P170" i="1"/>
  <c r="AF170" i="1" s="1"/>
  <c r="Q758" i="1"/>
  <c r="P758" i="1" s="1"/>
  <c r="R759" i="1"/>
  <c r="AF757" i="1"/>
  <c r="P24" i="1"/>
  <c r="AF24" i="1" s="1"/>
  <c r="P79" i="1"/>
  <c r="AF79" i="1" s="1"/>
  <c r="P102" i="1"/>
  <c r="AF102" i="1" s="1"/>
  <c r="T759" i="1"/>
  <c r="AF455" i="1"/>
  <c r="P138" i="1"/>
  <c r="AF138" i="1" s="1"/>
  <c r="P576" i="1"/>
  <c r="AF576" i="1" s="1"/>
  <c r="P515" i="1"/>
  <c r="AF515" i="1" s="1"/>
  <c r="R172" i="1"/>
  <c r="Q171" i="1"/>
  <c r="R249" i="1"/>
  <c r="Q248" i="1"/>
  <c r="R457" i="1"/>
  <c r="Q456" i="1"/>
  <c r="R517" i="1"/>
  <c r="Q516" i="1"/>
  <c r="P516" i="1" s="1"/>
  <c r="R276" i="1"/>
  <c r="Q275" i="1"/>
  <c r="R104" i="1"/>
  <c r="Q103" i="1"/>
  <c r="R578" i="1"/>
  <c r="Q577" i="1"/>
  <c r="P577" i="1" s="1"/>
  <c r="R300" i="1"/>
  <c r="Q299" i="1"/>
  <c r="T578" i="1"/>
  <c r="R404" i="1"/>
  <c r="Q403" i="1"/>
  <c r="R377" i="1"/>
  <c r="Q376" i="1"/>
  <c r="R199" i="1"/>
  <c r="Q198" i="1"/>
  <c r="R358" i="1"/>
  <c r="Q358" i="1" s="1"/>
  <c r="Q357" i="1"/>
  <c r="R26" i="1"/>
  <c r="Q25" i="1"/>
  <c r="R424" i="1"/>
  <c r="Q423" i="1"/>
  <c r="R81" i="1"/>
  <c r="Q80" i="1"/>
  <c r="R327" i="1"/>
  <c r="Q326" i="1"/>
  <c r="R140" i="1"/>
  <c r="Q139" i="1"/>
  <c r="T171" i="1"/>
  <c r="T142" i="1"/>
  <c r="T27" i="1"/>
  <c r="T517" i="1"/>
  <c r="T457" i="1"/>
  <c r="T105" i="1"/>
  <c r="T82" i="1"/>
  <c r="T936" i="1" l="1"/>
  <c r="Q934" i="1"/>
  <c r="R935" i="1"/>
  <c r="P934" i="1"/>
  <c r="AF934" i="1" s="1"/>
  <c r="P171" i="1"/>
  <c r="AF171" i="1" s="1"/>
  <c r="P103" i="1"/>
  <c r="AF103" i="1" s="1"/>
  <c r="P456" i="1"/>
  <c r="AF456" i="1" s="1"/>
  <c r="P80" i="1"/>
  <c r="AF80" i="1" s="1"/>
  <c r="AF577" i="1"/>
  <c r="P139" i="1"/>
  <c r="AF139" i="1" s="1"/>
  <c r="P25" i="1"/>
  <c r="AF25" i="1" s="1"/>
  <c r="R760" i="1"/>
  <c r="Q759" i="1"/>
  <c r="P759" i="1" s="1"/>
  <c r="AF516" i="1"/>
  <c r="T760" i="1"/>
  <c r="AF758" i="1"/>
  <c r="R301" i="1"/>
  <c r="Q300" i="1"/>
  <c r="R518" i="1"/>
  <c r="Q517" i="1"/>
  <c r="R378" i="1"/>
  <c r="Q377" i="1"/>
  <c r="R579" i="1"/>
  <c r="Q578" i="1"/>
  <c r="P578" i="1" s="1"/>
  <c r="R458" i="1"/>
  <c r="Q457" i="1"/>
  <c r="P457" i="1" s="1"/>
  <c r="R405" i="1"/>
  <c r="Q405" i="1" s="1"/>
  <c r="Q404" i="1"/>
  <c r="T579" i="1"/>
  <c r="R105" i="1"/>
  <c r="Q104" i="1"/>
  <c r="R250" i="1"/>
  <c r="Q249" i="1"/>
  <c r="R82" i="1"/>
  <c r="Q81" i="1"/>
  <c r="R141" i="1"/>
  <c r="Q140" i="1"/>
  <c r="R425" i="1"/>
  <c r="Q424" i="1"/>
  <c r="R277" i="1"/>
  <c r="Q276" i="1"/>
  <c r="R173" i="1"/>
  <c r="Q172" i="1"/>
  <c r="R328" i="1"/>
  <c r="Q327" i="1"/>
  <c r="R27" i="1"/>
  <c r="Q26" i="1"/>
  <c r="R200" i="1"/>
  <c r="Q199" i="1"/>
  <c r="T28" i="1"/>
  <c r="T106" i="1"/>
  <c r="T143" i="1"/>
  <c r="T518" i="1"/>
  <c r="T83" i="1"/>
  <c r="T458" i="1"/>
  <c r="T172" i="1"/>
  <c r="Q935" i="1" l="1"/>
  <c r="P935" i="1" s="1"/>
  <c r="AF935" i="1" s="1"/>
  <c r="R936" i="1"/>
  <c r="T937" i="1"/>
  <c r="T761" i="1"/>
  <c r="Q760" i="1"/>
  <c r="R761" i="1"/>
  <c r="AF759" i="1"/>
  <c r="P81" i="1"/>
  <c r="AF81" i="1" s="1"/>
  <c r="AF457" i="1"/>
  <c r="P517" i="1"/>
  <c r="AF517" i="1" s="1"/>
  <c r="P26" i="1"/>
  <c r="AF26" i="1" s="1"/>
  <c r="P104" i="1"/>
  <c r="AF104" i="1" s="1"/>
  <c r="P140" i="1"/>
  <c r="AF140" i="1" s="1"/>
  <c r="P172" i="1"/>
  <c r="AF172" i="1" s="1"/>
  <c r="AF578" i="1"/>
  <c r="R28" i="1"/>
  <c r="Q27" i="1"/>
  <c r="R278" i="1"/>
  <c r="Q277" i="1"/>
  <c r="R83" i="1"/>
  <c r="Q82" i="1"/>
  <c r="R379" i="1"/>
  <c r="Q378" i="1"/>
  <c r="R329" i="1"/>
  <c r="Q328" i="1"/>
  <c r="R519" i="1"/>
  <c r="Q518" i="1"/>
  <c r="R426" i="1"/>
  <c r="Q425" i="1"/>
  <c r="R251" i="1"/>
  <c r="Q250" i="1"/>
  <c r="R459" i="1"/>
  <c r="Q458" i="1"/>
  <c r="R302" i="1"/>
  <c r="Q301" i="1"/>
  <c r="R142" i="1"/>
  <c r="Q141" i="1"/>
  <c r="R106" i="1"/>
  <c r="Q105" i="1"/>
  <c r="R201" i="1"/>
  <c r="Q200" i="1"/>
  <c r="R174" i="1"/>
  <c r="Q173" i="1"/>
  <c r="T580" i="1"/>
  <c r="R580" i="1"/>
  <c r="Q579" i="1"/>
  <c r="P579" i="1" s="1"/>
  <c r="T144" i="1"/>
  <c r="T459" i="1"/>
  <c r="T107" i="1"/>
  <c r="T519" i="1"/>
  <c r="T173" i="1"/>
  <c r="T84" i="1"/>
  <c r="T29" i="1"/>
  <c r="T938" i="1" l="1"/>
  <c r="T939" i="1" s="1"/>
  <c r="T940" i="1" s="1"/>
  <c r="T941" i="1" s="1"/>
  <c r="Q936" i="1"/>
  <c r="P936" i="1" s="1"/>
  <c r="AF936" i="1" s="1"/>
  <c r="R937" i="1"/>
  <c r="P173" i="1"/>
  <c r="AF173" i="1" s="1"/>
  <c r="P82" i="1"/>
  <c r="AF82" i="1" s="1"/>
  <c r="Q761" i="1"/>
  <c r="P761" i="1" s="1"/>
  <c r="R762" i="1"/>
  <c r="P27" i="1"/>
  <c r="AF27" i="1" s="1"/>
  <c r="P141" i="1"/>
  <c r="AF141" i="1" s="1"/>
  <c r="P458" i="1"/>
  <c r="AF458" i="1" s="1"/>
  <c r="T762" i="1"/>
  <c r="P105" i="1"/>
  <c r="AF105" i="1" s="1"/>
  <c r="P760" i="1"/>
  <c r="AF760" i="1" s="1"/>
  <c r="AF579" i="1"/>
  <c r="P518" i="1"/>
  <c r="AF518" i="1" s="1"/>
  <c r="R581" i="1"/>
  <c r="Q580" i="1"/>
  <c r="P580" i="1" s="1"/>
  <c r="R427" i="1"/>
  <c r="Q426" i="1"/>
  <c r="R380" i="1"/>
  <c r="Q379" i="1"/>
  <c r="R303" i="1"/>
  <c r="Q302" i="1"/>
  <c r="R520" i="1"/>
  <c r="Q519" i="1"/>
  <c r="P519" i="1" s="1"/>
  <c r="R84" i="1"/>
  <c r="Q83" i="1"/>
  <c r="T581" i="1"/>
  <c r="R175" i="1"/>
  <c r="Q174" i="1"/>
  <c r="R107" i="1"/>
  <c r="Q106" i="1"/>
  <c r="R460" i="1"/>
  <c r="Q459" i="1"/>
  <c r="P459" i="1" s="1"/>
  <c r="R330" i="1"/>
  <c r="Q329" i="1"/>
  <c r="R279" i="1"/>
  <c r="Q278" i="1"/>
  <c r="R202" i="1"/>
  <c r="Q201" i="1"/>
  <c r="R143" i="1"/>
  <c r="Q142" i="1"/>
  <c r="R252" i="1"/>
  <c r="Q251" i="1"/>
  <c r="R29" i="1"/>
  <c r="Q28" i="1"/>
  <c r="T30" i="1"/>
  <c r="T85" i="1"/>
  <c r="T460" i="1"/>
  <c r="T108" i="1"/>
  <c r="T520" i="1"/>
  <c r="T174" i="1"/>
  <c r="T145" i="1"/>
  <c r="Q937" i="1" l="1"/>
  <c r="P937" i="1" s="1"/>
  <c r="AF937" i="1" s="1"/>
  <c r="R938" i="1"/>
  <c r="P83" i="1"/>
  <c r="AF83" i="1" s="1"/>
  <c r="AF761" i="1"/>
  <c r="Q762" i="1"/>
  <c r="P762" i="1" s="1"/>
  <c r="R763" i="1"/>
  <c r="P142" i="1"/>
  <c r="AF142" i="1" s="1"/>
  <c r="AF459" i="1"/>
  <c r="AF519" i="1"/>
  <c r="AF580" i="1"/>
  <c r="P106" i="1"/>
  <c r="AF106" i="1" s="1"/>
  <c r="T763" i="1"/>
  <c r="P174" i="1"/>
  <c r="AF174" i="1" s="1"/>
  <c r="P28" i="1"/>
  <c r="AF28" i="1" s="1"/>
  <c r="R461" i="1"/>
  <c r="Q460" i="1"/>
  <c r="R85" i="1"/>
  <c r="Q84" i="1"/>
  <c r="R381" i="1"/>
  <c r="Q380" i="1"/>
  <c r="R253" i="1"/>
  <c r="Q252" i="1"/>
  <c r="R108" i="1"/>
  <c r="Q107" i="1"/>
  <c r="R521" i="1"/>
  <c r="Q520" i="1"/>
  <c r="P520" i="1" s="1"/>
  <c r="R428" i="1"/>
  <c r="Q428" i="1" s="1"/>
  <c r="Q427" i="1"/>
  <c r="R280" i="1"/>
  <c r="Q279" i="1"/>
  <c r="R176" i="1"/>
  <c r="Q175" i="1"/>
  <c r="R304" i="1"/>
  <c r="Q303" i="1"/>
  <c r="R582" i="1"/>
  <c r="Q581" i="1"/>
  <c r="P581" i="1" s="1"/>
  <c r="R30" i="1"/>
  <c r="Q29" i="1"/>
  <c r="R144" i="1"/>
  <c r="Q143" i="1"/>
  <c r="R203" i="1"/>
  <c r="Q202" i="1"/>
  <c r="R331" i="1"/>
  <c r="Q330" i="1"/>
  <c r="T582" i="1"/>
  <c r="T109" i="1"/>
  <c r="T461" i="1"/>
  <c r="T86" i="1"/>
  <c r="T175" i="1"/>
  <c r="T146" i="1"/>
  <c r="T521" i="1"/>
  <c r="T31" i="1"/>
  <c r="Q938" i="1" l="1"/>
  <c r="P938" i="1" s="1"/>
  <c r="AF938" i="1" s="1"/>
  <c r="R939" i="1"/>
  <c r="P175" i="1"/>
  <c r="Q763" i="1"/>
  <c r="P763" i="1" s="1"/>
  <c r="R764" i="1"/>
  <c r="P84" i="1"/>
  <c r="AF84" i="1" s="1"/>
  <c r="P29" i="1"/>
  <c r="AF29" i="1" s="1"/>
  <c r="AF581" i="1"/>
  <c r="AF762" i="1"/>
  <c r="AF520" i="1"/>
  <c r="P143" i="1"/>
  <c r="AF143" i="1" s="1"/>
  <c r="P107" i="1"/>
  <c r="AF107" i="1" s="1"/>
  <c r="P460" i="1"/>
  <c r="AF460" i="1" s="1"/>
  <c r="T764" i="1"/>
  <c r="AF175" i="1"/>
  <c r="R204" i="1"/>
  <c r="Q203" i="1"/>
  <c r="R583" i="1"/>
  <c r="Q582" i="1"/>
  <c r="P582" i="1" s="1"/>
  <c r="R281" i="1"/>
  <c r="Q281" i="1" s="1"/>
  <c r="Q280" i="1"/>
  <c r="R254" i="1"/>
  <c r="Q253" i="1"/>
  <c r="R305" i="1"/>
  <c r="Q304" i="1"/>
  <c r="T583" i="1"/>
  <c r="R145" i="1"/>
  <c r="Q144" i="1"/>
  <c r="R382" i="1"/>
  <c r="Q381" i="1"/>
  <c r="R522" i="1"/>
  <c r="Q521" i="1"/>
  <c r="P521" i="1" s="1"/>
  <c r="R86" i="1"/>
  <c r="Q86" i="1" s="1"/>
  <c r="P86" i="1" s="1"/>
  <c r="Q85" i="1"/>
  <c r="R332" i="1"/>
  <c r="Q331" i="1"/>
  <c r="R31" i="1"/>
  <c r="Q30" i="1"/>
  <c r="R177" i="1"/>
  <c r="Q176" i="1"/>
  <c r="R109" i="1"/>
  <c r="Q108" i="1"/>
  <c r="R462" i="1"/>
  <c r="Q461" i="1"/>
  <c r="P461" i="1" s="1"/>
  <c r="T176" i="1"/>
  <c r="T32" i="1"/>
  <c r="T522" i="1"/>
  <c r="T462" i="1"/>
  <c r="T147" i="1"/>
  <c r="T110" i="1"/>
  <c r="Q939" i="1" l="1"/>
  <c r="P939" i="1" s="1"/>
  <c r="AF939" i="1" s="1"/>
  <c r="R940" i="1"/>
  <c r="P176" i="1"/>
  <c r="P30" i="1"/>
  <c r="AF30" i="1" s="1"/>
  <c r="T765" i="1"/>
  <c r="AF582" i="1"/>
  <c r="AF461" i="1"/>
  <c r="P144" i="1"/>
  <c r="AF144" i="1" s="1"/>
  <c r="P85" i="1"/>
  <c r="AF85" i="1" s="1"/>
  <c r="AF86" i="1"/>
  <c r="P108" i="1"/>
  <c r="AF108" i="1" s="1"/>
  <c r="AF521" i="1"/>
  <c r="R765" i="1"/>
  <c r="Q764" i="1"/>
  <c r="AF763" i="1"/>
  <c r="AF176" i="1"/>
  <c r="R146" i="1"/>
  <c r="Q145" i="1"/>
  <c r="T584" i="1"/>
  <c r="R32" i="1"/>
  <c r="Q32" i="1" s="1"/>
  <c r="P32" i="1" s="1"/>
  <c r="Q31" i="1"/>
  <c r="R523" i="1"/>
  <c r="Q522" i="1"/>
  <c r="P522" i="1" s="1"/>
  <c r="R463" i="1"/>
  <c r="Q462" i="1"/>
  <c r="P462" i="1" s="1"/>
  <c r="R333" i="1"/>
  <c r="Q332" i="1"/>
  <c r="R306" i="1"/>
  <c r="Q305" i="1"/>
  <c r="R110" i="1"/>
  <c r="Q109" i="1"/>
  <c r="R584" i="1"/>
  <c r="Q583" i="1"/>
  <c r="R383" i="1"/>
  <c r="Q382" i="1"/>
  <c r="R178" i="1"/>
  <c r="Q177" i="1"/>
  <c r="R255" i="1"/>
  <c r="Q254" i="1"/>
  <c r="R205" i="1"/>
  <c r="Q204" i="1"/>
  <c r="T111" i="1"/>
  <c r="T463" i="1"/>
  <c r="T523" i="1"/>
  <c r="T148" i="1"/>
  <c r="T177" i="1"/>
  <c r="P177" i="1" s="1"/>
  <c r="Q940" i="1" l="1"/>
  <c r="P940" i="1" s="1"/>
  <c r="AF940" i="1" s="1"/>
  <c r="R941" i="1"/>
  <c r="Q941" i="1" s="1"/>
  <c r="P941" i="1" s="1"/>
  <c r="AF941" i="1" s="1"/>
  <c r="P109" i="1"/>
  <c r="AF109" i="1" s="1"/>
  <c r="AF522" i="1"/>
  <c r="P31" i="1"/>
  <c r="AF31" i="1" s="1"/>
  <c r="Q765" i="1"/>
  <c r="R766" i="1"/>
  <c r="AF32" i="1"/>
  <c r="T766" i="1"/>
  <c r="P764" i="1"/>
  <c r="AF764" i="1" s="1"/>
  <c r="P145" i="1"/>
  <c r="AF145" i="1" s="1"/>
  <c r="AF462" i="1"/>
  <c r="P583" i="1"/>
  <c r="AF583" i="1" s="1"/>
  <c r="R334" i="1"/>
  <c r="Q333" i="1"/>
  <c r="R256" i="1"/>
  <c r="Q255" i="1"/>
  <c r="R585" i="1"/>
  <c r="Q584" i="1"/>
  <c r="P584" i="1" s="1"/>
  <c r="R464" i="1"/>
  <c r="Q463" i="1"/>
  <c r="P463" i="1" s="1"/>
  <c r="R111" i="1"/>
  <c r="Q110" i="1"/>
  <c r="T585" i="1"/>
  <c r="R206" i="1"/>
  <c r="Q205" i="1"/>
  <c r="AF177" i="1"/>
  <c r="R179" i="1"/>
  <c r="Q178" i="1"/>
  <c r="R524" i="1"/>
  <c r="Q523" i="1"/>
  <c r="P523" i="1" s="1"/>
  <c r="R307" i="1"/>
  <c r="Q306" i="1"/>
  <c r="R384" i="1"/>
  <c r="Q383" i="1"/>
  <c r="R147" i="1"/>
  <c r="Q146" i="1"/>
  <c r="T149" i="1"/>
  <c r="T524" i="1"/>
  <c r="T464" i="1"/>
  <c r="T178" i="1"/>
  <c r="T112" i="1"/>
  <c r="P110" i="1" l="1"/>
  <c r="AF110" i="1" s="1"/>
  <c r="AF523" i="1"/>
  <c r="Q766" i="1"/>
  <c r="P766" i="1" s="1"/>
  <c r="R767" i="1"/>
  <c r="AF584" i="1"/>
  <c r="P146" i="1"/>
  <c r="AF146" i="1" s="1"/>
  <c r="T767" i="1"/>
  <c r="P765" i="1"/>
  <c r="AF765" i="1" s="1"/>
  <c r="AF463" i="1"/>
  <c r="P178" i="1"/>
  <c r="AF178" i="1" s="1"/>
  <c r="R308" i="1"/>
  <c r="Q308" i="1" s="1"/>
  <c r="Q307" i="1"/>
  <c r="R207" i="1"/>
  <c r="Q206" i="1"/>
  <c r="R465" i="1"/>
  <c r="Q464" i="1"/>
  <c r="T586" i="1"/>
  <c r="R148" i="1"/>
  <c r="Q147" i="1"/>
  <c r="R586" i="1"/>
  <c r="Q585" i="1"/>
  <c r="R525" i="1"/>
  <c r="Q524" i="1"/>
  <c r="P524" i="1" s="1"/>
  <c r="R112" i="1"/>
  <c r="Q111" i="1"/>
  <c r="R257" i="1"/>
  <c r="Q256" i="1"/>
  <c r="R180" i="1"/>
  <c r="Q179" i="1"/>
  <c r="R335" i="1"/>
  <c r="Q334" i="1"/>
  <c r="R385" i="1"/>
  <c r="Q385" i="1" s="1"/>
  <c r="Q384" i="1"/>
  <c r="T179" i="1"/>
  <c r="T465" i="1"/>
  <c r="T525" i="1"/>
  <c r="T113" i="1"/>
  <c r="T150" i="1"/>
  <c r="P179" i="1" l="1"/>
  <c r="AF179" i="1" s="1"/>
  <c r="Q767" i="1"/>
  <c r="P767" i="1" s="1"/>
  <c r="R768" i="1"/>
  <c r="AF766" i="1"/>
  <c r="P147" i="1"/>
  <c r="AF147" i="1" s="1"/>
  <c r="T768" i="1"/>
  <c r="P111" i="1"/>
  <c r="AF111" i="1" s="1"/>
  <c r="P585" i="1"/>
  <c r="AF585" i="1" s="1"/>
  <c r="P464" i="1"/>
  <c r="AF464" i="1" s="1"/>
  <c r="AF524" i="1"/>
  <c r="T587" i="1"/>
  <c r="R181" i="1"/>
  <c r="Q181" i="1" s="1"/>
  <c r="Q180" i="1"/>
  <c r="R526" i="1"/>
  <c r="Q525" i="1"/>
  <c r="P525" i="1" s="1"/>
  <c r="R466" i="1"/>
  <c r="Q465" i="1"/>
  <c r="P465" i="1" s="1"/>
  <c r="R258" i="1"/>
  <c r="Q258" i="1" s="1"/>
  <c r="Q257" i="1"/>
  <c r="R587" i="1"/>
  <c r="Q586" i="1"/>
  <c r="R208" i="1"/>
  <c r="Q207" i="1"/>
  <c r="R336" i="1"/>
  <c r="Q335" i="1"/>
  <c r="R113" i="1"/>
  <c r="Q112" i="1"/>
  <c r="R149" i="1"/>
  <c r="Q148" i="1"/>
  <c r="T114" i="1"/>
  <c r="T466" i="1"/>
  <c r="T526" i="1"/>
  <c r="T151" i="1"/>
  <c r="T180" i="1"/>
  <c r="P180" i="1" l="1"/>
  <c r="P148" i="1"/>
  <c r="AF148" i="1" s="1"/>
  <c r="P586" i="1"/>
  <c r="AF586" i="1" s="1"/>
  <c r="P112" i="1"/>
  <c r="AF112" i="1" s="1"/>
  <c r="AF465" i="1"/>
  <c r="T769" i="1"/>
  <c r="R769" i="1"/>
  <c r="Q768" i="1"/>
  <c r="AF767" i="1"/>
  <c r="AF525" i="1"/>
  <c r="AF180" i="1"/>
  <c r="R209" i="1"/>
  <c r="Q208" i="1"/>
  <c r="R588" i="1"/>
  <c r="Q587" i="1"/>
  <c r="P587" i="1" s="1"/>
  <c r="R527" i="1"/>
  <c r="Q526" i="1"/>
  <c r="P526" i="1" s="1"/>
  <c r="R337" i="1"/>
  <c r="Q336" i="1"/>
  <c r="R114" i="1"/>
  <c r="Q113" i="1"/>
  <c r="T588" i="1"/>
  <c r="R150" i="1"/>
  <c r="Q149" i="1"/>
  <c r="R467" i="1"/>
  <c r="Q466" i="1"/>
  <c r="T527" i="1"/>
  <c r="T467" i="1"/>
  <c r="T152" i="1"/>
  <c r="T181" i="1"/>
  <c r="T115" i="1"/>
  <c r="AF587" i="1" l="1"/>
  <c r="R770" i="1"/>
  <c r="Q769" i="1"/>
  <c r="P181" i="1"/>
  <c r="AF181" i="1" s="1"/>
  <c r="T770" i="1"/>
  <c r="P768" i="1"/>
  <c r="AF768" i="1" s="1"/>
  <c r="P113" i="1"/>
  <c r="AF113" i="1" s="1"/>
  <c r="P149" i="1"/>
  <c r="AF149" i="1" s="1"/>
  <c r="AF526" i="1"/>
  <c r="P466" i="1"/>
  <c r="AF466" i="1" s="1"/>
  <c r="R468" i="1"/>
  <c r="Q467" i="1"/>
  <c r="R528" i="1"/>
  <c r="Q527" i="1"/>
  <c r="P527" i="1" s="1"/>
  <c r="R151" i="1"/>
  <c r="Q150" i="1"/>
  <c r="R338" i="1"/>
  <c r="Q337" i="1"/>
  <c r="R589" i="1"/>
  <c r="Q588" i="1"/>
  <c r="R115" i="1"/>
  <c r="Q114" i="1"/>
  <c r="T589" i="1"/>
  <c r="R210" i="1"/>
  <c r="Q209" i="1"/>
  <c r="T468" i="1"/>
  <c r="T153" i="1"/>
  <c r="T182" i="1"/>
  <c r="T116" i="1"/>
  <c r="T528" i="1"/>
  <c r="T529" i="1" s="1"/>
  <c r="Q528" i="1" l="1"/>
  <c r="R529" i="1"/>
  <c r="Q529" i="1" s="1"/>
  <c r="P529" i="1" s="1"/>
  <c r="AF529" i="1" s="1"/>
  <c r="P182" i="1"/>
  <c r="AF182" i="1" s="1"/>
  <c r="P528" i="1"/>
  <c r="AF528" i="1" s="1"/>
  <c r="Q770" i="1"/>
  <c r="P770" i="1" s="1"/>
  <c r="R771" i="1"/>
  <c r="P150" i="1"/>
  <c r="AF150" i="1" s="1"/>
  <c r="T771" i="1"/>
  <c r="P769" i="1"/>
  <c r="AF769" i="1" s="1"/>
  <c r="P588" i="1"/>
  <c r="AF588" i="1" s="1"/>
  <c r="P114" i="1"/>
  <c r="AF114" i="1" s="1"/>
  <c r="AF527" i="1"/>
  <c r="P467" i="1"/>
  <c r="AF467" i="1" s="1"/>
  <c r="R211" i="1"/>
  <c r="Q210" i="1"/>
  <c r="R339" i="1"/>
  <c r="Q339" i="1" s="1"/>
  <c r="Q338" i="1"/>
  <c r="R469" i="1"/>
  <c r="Q468" i="1"/>
  <c r="P468" i="1" s="1"/>
  <c r="R590" i="1"/>
  <c r="Q589" i="1"/>
  <c r="R152" i="1"/>
  <c r="Q151" i="1"/>
  <c r="T590" i="1"/>
  <c r="R116" i="1"/>
  <c r="Q115" i="1"/>
  <c r="T117" i="1"/>
  <c r="T183" i="1"/>
  <c r="T154" i="1"/>
  <c r="T469" i="1"/>
  <c r="P183" i="1" l="1"/>
  <c r="AF183" i="1" s="1"/>
  <c r="T725" i="1"/>
  <c r="T726" i="1" s="1"/>
  <c r="AF468" i="1"/>
  <c r="T772" i="1"/>
  <c r="P589" i="1"/>
  <c r="AF589" i="1" s="1"/>
  <c r="P115" i="1"/>
  <c r="AF115" i="1" s="1"/>
  <c r="P151" i="1"/>
  <c r="AF151" i="1" s="1"/>
  <c r="Q771" i="1"/>
  <c r="P771" i="1" s="1"/>
  <c r="R772" i="1"/>
  <c r="AF770" i="1"/>
  <c r="R591" i="1"/>
  <c r="Q590" i="1"/>
  <c r="R470" i="1"/>
  <c r="Q469" i="1"/>
  <c r="P469" i="1" s="1"/>
  <c r="R153" i="1"/>
  <c r="Q152" i="1"/>
  <c r="R117" i="1"/>
  <c r="Q116" i="1"/>
  <c r="T591" i="1"/>
  <c r="R212" i="1"/>
  <c r="Q211" i="1"/>
  <c r="T470" i="1"/>
  <c r="T184" i="1"/>
  <c r="T118" i="1"/>
  <c r="P116" i="1" l="1"/>
  <c r="AF116" i="1" s="1"/>
  <c r="P590" i="1"/>
  <c r="AF590" i="1" s="1"/>
  <c r="R773" i="1"/>
  <c r="Q772" i="1"/>
  <c r="P772" i="1" s="1"/>
  <c r="P184" i="1"/>
  <c r="AF184" i="1" s="1"/>
  <c r="AF771" i="1"/>
  <c r="P152" i="1"/>
  <c r="AF152" i="1" s="1"/>
  <c r="AF469" i="1"/>
  <c r="T773" i="1"/>
  <c r="T727" i="1"/>
  <c r="R213" i="1"/>
  <c r="Q212" i="1"/>
  <c r="T592" i="1"/>
  <c r="R118" i="1"/>
  <c r="Q117" i="1"/>
  <c r="R471" i="1"/>
  <c r="Q470" i="1"/>
  <c r="P470" i="1" s="1"/>
  <c r="R154" i="1"/>
  <c r="Q154" i="1" s="1"/>
  <c r="Q153" i="1"/>
  <c r="R592" i="1"/>
  <c r="Q591" i="1"/>
  <c r="T119" i="1"/>
  <c r="T185" i="1"/>
  <c r="T471" i="1"/>
  <c r="P154" i="1" l="1"/>
  <c r="AF154" i="1" s="1"/>
  <c r="R774" i="1"/>
  <c r="Q773" i="1"/>
  <c r="P773" i="1" s="1"/>
  <c r="P153" i="1"/>
  <c r="AF153" i="1" s="1"/>
  <c r="AF470" i="1"/>
  <c r="T774" i="1"/>
  <c r="P185" i="1"/>
  <c r="AF185" i="1" s="1"/>
  <c r="P117" i="1"/>
  <c r="AF117" i="1" s="1"/>
  <c r="T728" i="1"/>
  <c r="AF772" i="1"/>
  <c r="P591" i="1"/>
  <c r="AF591" i="1" s="1"/>
  <c r="R725" i="1"/>
  <c r="R593" i="1"/>
  <c r="Q592" i="1"/>
  <c r="P592" i="1" s="1"/>
  <c r="T593" i="1"/>
  <c r="R119" i="1"/>
  <c r="Q118" i="1"/>
  <c r="R472" i="1"/>
  <c r="Q471" i="1"/>
  <c r="R214" i="1"/>
  <c r="Q213" i="1"/>
  <c r="T472" i="1"/>
  <c r="T186" i="1"/>
  <c r="T120" i="1"/>
  <c r="T775" i="1" l="1"/>
  <c r="Q774" i="1"/>
  <c r="R775" i="1"/>
  <c r="P186" i="1"/>
  <c r="AF186" i="1" s="1"/>
  <c r="P118" i="1"/>
  <c r="AF118" i="1" s="1"/>
  <c r="AF592" i="1"/>
  <c r="P471" i="1"/>
  <c r="AF471" i="1" s="1"/>
  <c r="AF773" i="1"/>
  <c r="T643" i="1"/>
  <c r="T729" i="1"/>
  <c r="Q725" i="1"/>
  <c r="R726" i="1"/>
  <c r="R120" i="1"/>
  <c r="Q119" i="1"/>
  <c r="T594" i="1"/>
  <c r="R215" i="1"/>
  <c r="Q214" i="1"/>
  <c r="R473" i="1"/>
  <c r="Q472" i="1"/>
  <c r="Q593" i="1"/>
  <c r="R594" i="1"/>
  <c r="T121" i="1"/>
  <c r="T187" i="1"/>
  <c r="T473" i="1"/>
  <c r="P725" i="1" l="1"/>
  <c r="AF725" i="1" s="1"/>
  <c r="T776" i="1"/>
  <c r="R776" i="1"/>
  <c r="Q775" i="1"/>
  <c r="P775" i="1" s="1"/>
  <c r="T730" i="1"/>
  <c r="P187" i="1"/>
  <c r="AF187" i="1" s="1"/>
  <c r="T595" i="1"/>
  <c r="P774" i="1"/>
  <c r="AF774" i="1" s="1"/>
  <c r="P119" i="1"/>
  <c r="AF119" i="1" s="1"/>
  <c r="T644" i="1"/>
  <c r="P593" i="1"/>
  <c r="AF593" i="1" s="1"/>
  <c r="P472" i="1"/>
  <c r="AF472" i="1" s="1"/>
  <c r="Q726" i="1"/>
  <c r="R727" i="1"/>
  <c r="R216" i="1"/>
  <c r="Q216" i="1" s="1"/>
  <c r="Q215" i="1"/>
  <c r="Q594" i="1"/>
  <c r="P594" i="1" s="1"/>
  <c r="R595" i="1"/>
  <c r="R474" i="1"/>
  <c r="Q473" i="1"/>
  <c r="R121" i="1"/>
  <c r="Q120" i="1"/>
  <c r="T474" i="1"/>
  <c r="T188" i="1"/>
  <c r="T122" i="1"/>
  <c r="AF775" i="1" l="1"/>
  <c r="P188" i="1"/>
  <c r="AF188" i="1" s="1"/>
  <c r="Q776" i="1"/>
  <c r="R777" i="1"/>
  <c r="P120" i="1"/>
  <c r="AF120" i="1" s="1"/>
  <c r="T645" i="1"/>
  <c r="AF594" i="1"/>
  <c r="T731" i="1"/>
  <c r="T596" i="1"/>
  <c r="T777" i="1"/>
  <c r="T778" i="1" s="1"/>
  <c r="P726" i="1"/>
  <c r="AF726" i="1" s="1"/>
  <c r="P473" i="1"/>
  <c r="AF473" i="1" s="1"/>
  <c r="R643" i="1"/>
  <c r="Q595" i="1"/>
  <c r="R596" i="1"/>
  <c r="R728" i="1"/>
  <c r="Q727" i="1"/>
  <c r="R122" i="1"/>
  <c r="Q122" i="1" s="1"/>
  <c r="Q121" i="1"/>
  <c r="R475" i="1"/>
  <c r="Q474" i="1"/>
  <c r="P474" i="1" s="1"/>
  <c r="T189" i="1"/>
  <c r="T475" i="1"/>
  <c r="Q777" i="1" l="1"/>
  <c r="R778" i="1"/>
  <c r="Q778" i="1" s="1"/>
  <c r="P778" i="1" s="1"/>
  <c r="AF778" i="1" s="1"/>
  <c r="P777" i="1"/>
  <c r="AF474" i="1"/>
  <c r="T597" i="1"/>
  <c r="T646" i="1"/>
  <c r="P727" i="1"/>
  <c r="AF727" i="1" s="1"/>
  <c r="T732" i="1"/>
  <c r="P121" i="1"/>
  <c r="AF121" i="1" s="1"/>
  <c r="AF777" i="1"/>
  <c r="P776" i="1"/>
  <c r="AF776" i="1" s="1"/>
  <c r="P122" i="1"/>
  <c r="AF122" i="1" s="1"/>
  <c r="P189" i="1"/>
  <c r="AF189" i="1" s="1"/>
  <c r="P595" i="1"/>
  <c r="AF595" i="1" s="1"/>
  <c r="R729" i="1"/>
  <c r="Q728" i="1"/>
  <c r="Q596" i="1"/>
  <c r="P596" i="1" s="1"/>
  <c r="R597" i="1"/>
  <c r="Q643" i="1"/>
  <c r="R644" i="1"/>
  <c r="R476" i="1"/>
  <c r="Q475" i="1"/>
  <c r="T476" i="1"/>
  <c r="T190" i="1"/>
  <c r="T647" i="1" l="1"/>
  <c r="P643" i="1"/>
  <c r="AF643" i="1" s="1"/>
  <c r="T598" i="1"/>
  <c r="AF596" i="1"/>
  <c r="T733" i="1"/>
  <c r="P190" i="1"/>
  <c r="P728" i="1"/>
  <c r="AF728" i="1" s="1"/>
  <c r="P475" i="1"/>
  <c r="AF475" i="1" s="1"/>
  <c r="Q644" i="1"/>
  <c r="R645" i="1"/>
  <c r="Q597" i="1"/>
  <c r="P597" i="1" s="1"/>
  <c r="R598" i="1"/>
  <c r="Q729" i="1"/>
  <c r="R730" i="1"/>
  <c r="R477" i="1"/>
  <c r="Q476" i="1"/>
  <c r="T191" i="1"/>
  <c r="T477" i="1"/>
  <c r="T599" i="1" l="1"/>
  <c r="P476" i="1"/>
  <c r="AF476" i="1" s="1"/>
  <c r="P729" i="1"/>
  <c r="AF729" i="1" s="1"/>
  <c r="AF597" i="1"/>
  <c r="AF190" i="1"/>
  <c r="T734" i="1"/>
  <c r="P191" i="1"/>
  <c r="AF191" i="1" s="1"/>
  <c r="P644" i="1"/>
  <c r="AF644" i="1" s="1"/>
  <c r="T648" i="1"/>
  <c r="Q598" i="1"/>
  <c r="R599" i="1"/>
  <c r="Q730" i="1"/>
  <c r="R731" i="1"/>
  <c r="Q645" i="1"/>
  <c r="R646" i="1"/>
  <c r="R478" i="1"/>
  <c r="Q477" i="1"/>
  <c r="T478" i="1"/>
  <c r="T192" i="1"/>
  <c r="T649" i="1" l="1"/>
  <c r="T735" i="1"/>
  <c r="P598" i="1"/>
  <c r="AF598" i="1" s="1"/>
  <c r="P645" i="1"/>
  <c r="AF645" i="1" s="1"/>
  <c r="P730" i="1"/>
  <c r="AF730" i="1" s="1"/>
  <c r="P192" i="1"/>
  <c r="P477" i="1"/>
  <c r="AF477" i="1" s="1"/>
  <c r="T600" i="1"/>
  <c r="Q646" i="1"/>
  <c r="R647" i="1"/>
  <c r="Q731" i="1"/>
  <c r="R732" i="1"/>
  <c r="Q599" i="1"/>
  <c r="R600" i="1"/>
  <c r="R479" i="1"/>
  <c r="Q478" i="1"/>
  <c r="P478" i="1" s="1"/>
  <c r="T193" i="1"/>
  <c r="T479" i="1"/>
  <c r="T736" i="1" l="1"/>
  <c r="T601" i="1"/>
  <c r="P731" i="1"/>
  <c r="AF731" i="1" s="1"/>
  <c r="AF192" i="1"/>
  <c r="P193" i="1"/>
  <c r="AF193" i="1" s="1"/>
  <c r="P646" i="1"/>
  <c r="AF646" i="1" s="1"/>
  <c r="AF478" i="1"/>
  <c r="P599" i="1"/>
  <c r="AF599" i="1" s="1"/>
  <c r="T650" i="1"/>
  <c r="Q732" i="1"/>
  <c r="R733" i="1"/>
  <c r="Q600" i="1"/>
  <c r="R601" i="1"/>
  <c r="R648" i="1"/>
  <c r="Q647" i="1"/>
  <c r="R480" i="1"/>
  <c r="Q479" i="1"/>
  <c r="T480" i="1"/>
  <c r="T194" i="1"/>
  <c r="P600" i="1" l="1"/>
  <c r="AF600" i="1" s="1"/>
  <c r="T651" i="1"/>
  <c r="P194" i="1"/>
  <c r="T602" i="1"/>
  <c r="P732" i="1"/>
  <c r="AF732" i="1" s="1"/>
  <c r="P647" i="1"/>
  <c r="AF647" i="1" s="1"/>
  <c r="P479" i="1"/>
  <c r="AF479" i="1" s="1"/>
  <c r="T737" i="1"/>
  <c r="Q601" i="1"/>
  <c r="P601" i="1" s="1"/>
  <c r="R602" i="1"/>
  <c r="R649" i="1"/>
  <c r="Q648" i="1"/>
  <c r="Q733" i="1"/>
  <c r="R734" i="1"/>
  <c r="R481" i="1"/>
  <c r="Q480" i="1"/>
  <c r="T195" i="1"/>
  <c r="T481" i="1"/>
  <c r="P480" i="1" l="1"/>
  <c r="AF480" i="1" s="1"/>
  <c r="P648" i="1"/>
  <c r="AF648" i="1" s="1"/>
  <c r="AF194" i="1"/>
  <c r="T738" i="1"/>
  <c r="P733" i="1"/>
  <c r="AF733" i="1" s="1"/>
  <c r="T603" i="1"/>
  <c r="T652" i="1"/>
  <c r="P195" i="1"/>
  <c r="AF195" i="1" s="1"/>
  <c r="AF601" i="1"/>
  <c r="Q734" i="1"/>
  <c r="R735" i="1"/>
  <c r="Q649" i="1"/>
  <c r="R650" i="1"/>
  <c r="Q602" i="1"/>
  <c r="P602" i="1" s="1"/>
  <c r="R603" i="1"/>
  <c r="R482" i="1"/>
  <c r="Q481" i="1"/>
  <c r="P481" i="1" s="1"/>
  <c r="T482" i="1"/>
  <c r="T196" i="1"/>
  <c r="AF602" i="1" l="1"/>
  <c r="T739" i="1"/>
  <c r="P196" i="1"/>
  <c r="AF196" i="1" s="1"/>
  <c r="T653" i="1"/>
  <c r="P649" i="1"/>
  <c r="AF649" i="1" s="1"/>
  <c r="P734" i="1"/>
  <c r="AF734" i="1" s="1"/>
  <c r="T604" i="1"/>
  <c r="AF481" i="1"/>
  <c r="R651" i="1"/>
  <c r="Q650" i="1"/>
  <c r="Q603" i="1"/>
  <c r="P603" i="1" s="1"/>
  <c r="R604" i="1"/>
  <c r="Q735" i="1"/>
  <c r="R736" i="1"/>
  <c r="R483" i="1"/>
  <c r="Q482" i="1"/>
  <c r="T197" i="1"/>
  <c r="T483" i="1"/>
  <c r="P650" i="1" l="1"/>
  <c r="AF650" i="1" s="1"/>
  <c r="P197" i="1"/>
  <c r="AF197" i="1" s="1"/>
  <c r="T605" i="1"/>
  <c r="P735" i="1"/>
  <c r="AF735" i="1" s="1"/>
  <c r="T654" i="1"/>
  <c r="AF603" i="1"/>
  <c r="P482" i="1"/>
  <c r="AF482" i="1" s="1"/>
  <c r="T740" i="1"/>
  <c r="Q736" i="1"/>
  <c r="R737" i="1"/>
  <c r="R605" i="1"/>
  <c r="Q604" i="1"/>
  <c r="P604" i="1" s="1"/>
  <c r="R652" i="1"/>
  <c r="Q651" i="1"/>
  <c r="R484" i="1"/>
  <c r="Q483" i="1"/>
  <c r="P483" i="1" s="1"/>
  <c r="T484" i="1"/>
  <c r="T198" i="1"/>
  <c r="P651" i="1" l="1"/>
  <c r="AF651" i="1" s="1"/>
  <c r="T655" i="1"/>
  <c r="AF483" i="1"/>
  <c r="T741" i="1"/>
  <c r="T606" i="1"/>
  <c r="AF604" i="1"/>
  <c r="P198" i="1"/>
  <c r="AF198" i="1" s="1"/>
  <c r="P736" i="1"/>
  <c r="AF736" i="1" s="1"/>
  <c r="R653" i="1"/>
  <c r="Q652" i="1"/>
  <c r="R606" i="1"/>
  <c r="Q605" i="1"/>
  <c r="Q737" i="1"/>
  <c r="R738" i="1"/>
  <c r="R485" i="1"/>
  <c r="Q484" i="1"/>
  <c r="T199" i="1"/>
  <c r="T485" i="1"/>
  <c r="T742" i="1" l="1"/>
  <c r="P737" i="1"/>
  <c r="AF737" i="1" s="1"/>
  <c r="P199" i="1"/>
  <c r="AF199" i="1" s="1"/>
  <c r="T656" i="1"/>
  <c r="P605" i="1"/>
  <c r="AF605" i="1" s="1"/>
  <c r="P484" i="1"/>
  <c r="AF484" i="1" s="1"/>
  <c r="P652" i="1"/>
  <c r="AF652" i="1" s="1"/>
  <c r="T607" i="1"/>
  <c r="Q738" i="1"/>
  <c r="R739" i="1"/>
  <c r="Q606" i="1"/>
  <c r="P606" i="1" s="1"/>
  <c r="R607" i="1"/>
  <c r="Q653" i="1"/>
  <c r="R654" i="1"/>
  <c r="R486" i="1"/>
  <c r="Q485" i="1"/>
  <c r="T486" i="1"/>
  <c r="T200" i="1"/>
  <c r="P653" i="1" l="1"/>
  <c r="AF653" i="1" s="1"/>
  <c r="P485" i="1"/>
  <c r="AF485" i="1" s="1"/>
  <c r="AF606" i="1"/>
  <c r="P200" i="1"/>
  <c r="AF200" i="1" s="1"/>
  <c r="T608" i="1"/>
  <c r="P738" i="1"/>
  <c r="AF738" i="1" s="1"/>
  <c r="T657" i="1"/>
  <c r="T743" i="1"/>
  <c r="R608" i="1"/>
  <c r="Q607" i="1"/>
  <c r="P607" i="1" s="1"/>
  <c r="R655" i="1"/>
  <c r="Q654" i="1"/>
  <c r="Q739" i="1"/>
  <c r="R740" i="1"/>
  <c r="R487" i="1"/>
  <c r="Q486" i="1"/>
  <c r="T201" i="1"/>
  <c r="T487" i="1"/>
  <c r="T609" i="1" l="1"/>
  <c r="P654" i="1"/>
  <c r="AF654" i="1" s="1"/>
  <c r="P739" i="1"/>
  <c r="AF739" i="1" s="1"/>
  <c r="T658" i="1"/>
  <c r="T744" i="1"/>
  <c r="AF607" i="1"/>
  <c r="P486" i="1"/>
  <c r="AF486" i="1" s="1"/>
  <c r="P201" i="1"/>
  <c r="AF201" i="1" s="1"/>
  <c r="Q740" i="1"/>
  <c r="R741" i="1"/>
  <c r="Q655" i="1"/>
  <c r="R656" i="1"/>
  <c r="Q608" i="1"/>
  <c r="R609" i="1"/>
  <c r="R488" i="1"/>
  <c r="Q487" i="1"/>
  <c r="T488" i="1"/>
  <c r="T202" i="1"/>
  <c r="T659" i="1" l="1"/>
  <c r="P487" i="1"/>
  <c r="AF487" i="1" s="1"/>
  <c r="P202" i="1"/>
  <c r="AF202" i="1" s="1"/>
  <c r="P655" i="1"/>
  <c r="AF655" i="1" s="1"/>
  <c r="T745" i="1"/>
  <c r="P608" i="1"/>
  <c r="AF608" i="1" s="1"/>
  <c r="P740" i="1"/>
  <c r="AF740" i="1" s="1"/>
  <c r="T610" i="1"/>
  <c r="R657" i="1"/>
  <c r="Q656" i="1"/>
  <c r="Q609" i="1"/>
  <c r="R610" i="1"/>
  <c r="Q741" i="1"/>
  <c r="R742" i="1"/>
  <c r="R489" i="1"/>
  <c r="Q488" i="1"/>
  <c r="P488" i="1" s="1"/>
  <c r="T203" i="1"/>
  <c r="T489" i="1"/>
  <c r="T611" i="1" l="1"/>
  <c r="P656" i="1"/>
  <c r="AF656" i="1" s="1"/>
  <c r="P741" i="1"/>
  <c r="AF741" i="1" s="1"/>
  <c r="P203" i="1"/>
  <c r="AF203" i="1" s="1"/>
  <c r="T746" i="1"/>
  <c r="T660" i="1"/>
  <c r="AF488" i="1"/>
  <c r="P609" i="1"/>
  <c r="AF609" i="1" s="1"/>
  <c r="Q742" i="1"/>
  <c r="R743" i="1"/>
  <c r="R611" i="1"/>
  <c r="Q610" i="1"/>
  <c r="Q657" i="1"/>
  <c r="R658" i="1"/>
  <c r="R490" i="1"/>
  <c r="Q489" i="1"/>
  <c r="T490" i="1"/>
  <c r="T204" i="1"/>
  <c r="P657" i="1" l="1"/>
  <c r="AF657" i="1" s="1"/>
  <c r="T661" i="1"/>
  <c r="P489" i="1"/>
  <c r="AF489" i="1" s="1"/>
  <c r="T747" i="1"/>
  <c r="P204" i="1"/>
  <c r="AF204" i="1" s="1"/>
  <c r="P610" i="1"/>
  <c r="AF610" i="1" s="1"/>
  <c r="P742" i="1"/>
  <c r="AF742" i="1" s="1"/>
  <c r="T612" i="1"/>
  <c r="Q658" i="1"/>
  <c r="R659" i="1"/>
  <c r="Q611" i="1"/>
  <c r="R612" i="1"/>
  <c r="Q743" i="1"/>
  <c r="R744" i="1"/>
  <c r="R491" i="1"/>
  <c r="Q490" i="1"/>
  <c r="P490" i="1" s="1"/>
  <c r="T205" i="1"/>
  <c r="T491" i="1"/>
  <c r="T662" i="1" l="1"/>
  <c r="T613" i="1"/>
  <c r="P743" i="1"/>
  <c r="AF743" i="1" s="1"/>
  <c r="P205" i="1"/>
  <c r="AF205" i="1" s="1"/>
  <c r="P658" i="1"/>
  <c r="AF658" i="1" s="1"/>
  <c r="AF490" i="1"/>
  <c r="P611" i="1"/>
  <c r="AF611" i="1" s="1"/>
  <c r="T748" i="1"/>
  <c r="Q744" i="1"/>
  <c r="R745" i="1"/>
  <c r="Q612" i="1"/>
  <c r="P612" i="1" s="1"/>
  <c r="R613" i="1"/>
  <c r="R660" i="1"/>
  <c r="Q659" i="1"/>
  <c r="R492" i="1"/>
  <c r="Q491" i="1"/>
  <c r="T492" i="1"/>
  <c r="T206" i="1"/>
  <c r="T749" i="1" l="1"/>
  <c r="P491" i="1"/>
  <c r="AF491" i="1" s="1"/>
  <c r="P659" i="1"/>
  <c r="AF659" i="1" s="1"/>
  <c r="T614" i="1"/>
  <c r="AF612" i="1"/>
  <c r="P206" i="1"/>
  <c r="AF206" i="1" s="1"/>
  <c r="P744" i="1"/>
  <c r="AF744" i="1" s="1"/>
  <c r="T663" i="1"/>
  <c r="R661" i="1"/>
  <c r="Q660" i="1"/>
  <c r="Q613" i="1"/>
  <c r="P613" i="1" s="1"/>
  <c r="R614" i="1"/>
  <c r="Q745" i="1"/>
  <c r="R746" i="1"/>
  <c r="R493" i="1"/>
  <c r="Q492" i="1"/>
  <c r="T207" i="1"/>
  <c r="T493" i="1"/>
  <c r="T494" i="1" s="1"/>
  <c r="Q493" i="1" l="1"/>
  <c r="P493" i="1" s="1"/>
  <c r="AF493" i="1" s="1"/>
  <c r="R494" i="1"/>
  <c r="Q494" i="1" s="1"/>
  <c r="P494" i="1" s="1"/>
  <c r="AF494" i="1" s="1"/>
  <c r="T664" i="1"/>
  <c r="T615" i="1"/>
  <c r="P745" i="1"/>
  <c r="AF745" i="1" s="1"/>
  <c r="AF613" i="1"/>
  <c r="P660" i="1"/>
  <c r="AF660" i="1" s="1"/>
  <c r="P492" i="1"/>
  <c r="AF492" i="1" s="1"/>
  <c r="P207" i="1"/>
  <c r="AF207" i="1" s="1"/>
  <c r="T750" i="1"/>
  <c r="Q746" i="1"/>
  <c r="R747" i="1"/>
  <c r="R615" i="1"/>
  <c r="Q614" i="1"/>
  <c r="P614" i="1" s="1"/>
  <c r="R662" i="1"/>
  <c r="Q661" i="1"/>
  <c r="T208" i="1"/>
  <c r="P208" i="1" l="1"/>
  <c r="AF208" i="1" s="1"/>
  <c r="P661" i="1"/>
  <c r="AF661" i="1" s="1"/>
  <c r="T616" i="1"/>
  <c r="T751" i="1"/>
  <c r="AF614" i="1"/>
  <c r="T665" i="1"/>
  <c r="P746" i="1"/>
  <c r="AF746" i="1" s="1"/>
  <c r="R663" i="1"/>
  <c r="Q662" i="1"/>
  <c r="Q615" i="1"/>
  <c r="R616" i="1"/>
  <c r="Q747" i="1"/>
  <c r="R748" i="1"/>
  <c r="T209" i="1"/>
  <c r="P662" i="1" l="1"/>
  <c r="AF662" i="1" s="1"/>
  <c r="T752" i="1"/>
  <c r="T617" i="1"/>
  <c r="P209" i="1"/>
  <c r="AF209" i="1" s="1"/>
  <c r="P615" i="1"/>
  <c r="AF615" i="1" s="1"/>
  <c r="P747" i="1"/>
  <c r="AF747" i="1" s="1"/>
  <c r="T666" i="1"/>
  <c r="Q748" i="1"/>
  <c r="R749" i="1"/>
  <c r="Q616" i="1"/>
  <c r="P616" i="1" s="1"/>
  <c r="R617" i="1"/>
  <c r="R664" i="1"/>
  <c r="Q663" i="1"/>
  <c r="T210" i="1"/>
  <c r="T618" i="1" l="1"/>
  <c r="P748" i="1"/>
  <c r="AF748" i="1" s="1"/>
  <c r="P210" i="1"/>
  <c r="AF210" i="1" s="1"/>
  <c r="T667" i="1"/>
  <c r="T753" i="1"/>
  <c r="P663" i="1"/>
  <c r="AF663" i="1" s="1"/>
  <c r="AF616" i="1"/>
  <c r="R665" i="1"/>
  <c r="Q664" i="1"/>
  <c r="Q617" i="1"/>
  <c r="R618" i="1"/>
  <c r="Q749" i="1"/>
  <c r="R750" i="1"/>
  <c r="T211" i="1"/>
  <c r="P664" i="1" l="1"/>
  <c r="AF664" i="1" s="1"/>
  <c r="T668" i="1"/>
  <c r="P749" i="1"/>
  <c r="AF749" i="1" s="1"/>
  <c r="P617" i="1"/>
  <c r="AF617" i="1" s="1"/>
  <c r="P211" i="1"/>
  <c r="AF211" i="1" s="1"/>
  <c r="T754" i="1"/>
  <c r="T755" i="1" s="1"/>
  <c r="T619" i="1"/>
  <c r="Q750" i="1"/>
  <c r="R751" i="1"/>
  <c r="R619" i="1"/>
  <c r="Q618" i="1"/>
  <c r="P618" i="1" s="1"/>
  <c r="R666" i="1"/>
  <c r="Q665" i="1"/>
  <c r="T212" i="1"/>
  <c r="P750" i="1" l="1"/>
  <c r="AF750" i="1" s="1"/>
  <c r="P212" i="1"/>
  <c r="AF212" i="1" s="1"/>
  <c r="T620" i="1"/>
  <c r="P665" i="1"/>
  <c r="AF665" i="1" s="1"/>
  <c r="T669" i="1"/>
  <c r="AF618" i="1"/>
  <c r="R667" i="1"/>
  <c r="Q666" i="1"/>
  <c r="R620" i="1"/>
  <c r="Q619" i="1"/>
  <c r="Q751" i="1"/>
  <c r="R752" i="1"/>
  <c r="T213" i="1"/>
  <c r="T621" i="1" l="1"/>
  <c r="P213" i="1"/>
  <c r="AF213" i="1" s="1"/>
  <c r="P666" i="1"/>
  <c r="AF666" i="1" s="1"/>
  <c r="P619" i="1"/>
  <c r="AF619" i="1" s="1"/>
  <c r="T670" i="1"/>
  <c r="P751" i="1"/>
  <c r="AF751" i="1" s="1"/>
  <c r="Q752" i="1"/>
  <c r="R753" i="1"/>
  <c r="Q620" i="1"/>
  <c r="R621" i="1"/>
  <c r="R668" i="1"/>
  <c r="Q667" i="1"/>
  <c r="T214" i="1"/>
  <c r="P752" i="1" l="1"/>
  <c r="AF752" i="1" s="1"/>
  <c r="P214" i="1"/>
  <c r="AF214" i="1" s="1"/>
  <c r="P667" i="1"/>
  <c r="AF667" i="1" s="1"/>
  <c r="P620" i="1"/>
  <c r="AF620" i="1" s="1"/>
  <c r="T671" i="1"/>
  <c r="T622" i="1"/>
  <c r="R622" i="1"/>
  <c r="Q621" i="1"/>
  <c r="R669" i="1"/>
  <c r="Q668" i="1"/>
  <c r="Q753" i="1"/>
  <c r="R754" i="1"/>
  <c r="T215" i="1"/>
  <c r="Q754" i="1" l="1"/>
  <c r="R755" i="1"/>
  <c r="Q755" i="1" s="1"/>
  <c r="P755" i="1" s="1"/>
  <c r="AF755" i="1" s="1"/>
  <c r="P621" i="1"/>
  <c r="AF621" i="1" s="1"/>
  <c r="P215" i="1"/>
  <c r="AF215" i="1" s="1"/>
  <c r="T623" i="1"/>
  <c r="P668" i="1"/>
  <c r="AF668" i="1" s="1"/>
  <c r="P754" i="1"/>
  <c r="P753" i="1"/>
  <c r="AF753" i="1" s="1"/>
  <c r="T672" i="1"/>
  <c r="R670" i="1"/>
  <c r="Q669" i="1"/>
  <c r="Q622" i="1"/>
  <c r="P622" i="1" s="1"/>
  <c r="R623" i="1"/>
  <c r="T216" i="1"/>
  <c r="T673" i="1" l="1"/>
  <c r="T624" i="1"/>
  <c r="P216" i="1"/>
  <c r="P669" i="1"/>
  <c r="AF669" i="1" s="1"/>
  <c r="AF622" i="1"/>
  <c r="AF754" i="1"/>
  <c r="R624" i="1"/>
  <c r="Q623" i="1"/>
  <c r="Q670" i="1"/>
  <c r="R671" i="1"/>
  <c r="T217" i="1"/>
  <c r="AF216" i="1" l="1"/>
  <c r="P217" i="1"/>
  <c r="P623" i="1"/>
  <c r="AF623" i="1" s="1"/>
  <c r="T625" i="1"/>
  <c r="P670" i="1"/>
  <c r="AF670" i="1" s="1"/>
  <c r="T674" i="1"/>
  <c r="R672" i="1"/>
  <c r="Q671" i="1"/>
  <c r="R625" i="1"/>
  <c r="Q624" i="1"/>
  <c r="T218" i="1"/>
  <c r="P624" i="1" l="1"/>
  <c r="AF624" i="1" s="1"/>
  <c r="T626" i="1"/>
  <c r="P671" i="1"/>
  <c r="AF671" i="1" s="1"/>
  <c r="AF217" i="1"/>
  <c r="P218" i="1"/>
  <c r="AF218" i="1" s="1"/>
  <c r="T675" i="1"/>
  <c r="Q625" i="1"/>
  <c r="P625" i="1" s="1"/>
  <c r="R626" i="1"/>
  <c r="Q672" i="1"/>
  <c r="R673" i="1"/>
  <c r="T219" i="1"/>
  <c r="P672" i="1" l="1"/>
  <c r="AF672" i="1" s="1"/>
  <c r="AF625" i="1"/>
  <c r="T627" i="1"/>
  <c r="P219" i="1"/>
  <c r="AF219" i="1" s="1"/>
  <c r="T676" i="1"/>
  <c r="Q673" i="1"/>
  <c r="R674" i="1"/>
  <c r="R627" i="1"/>
  <c r="Q626" i="1"/>
  <c r="T220" i="1"/>
  <c r="T677" i="1" l="1"/>
  <c r="P220" i="1"/>
  <c r="AF220" i="1" s="1"/>
  <c r="P626" i="1"/>
  <c r="AF626" i="1" s="1"/>
  <c r="T628" i="1"/>
  <c r="P673" i="1"/>
  <c r="AF673" i="1" s="1"/>
  <c r="Q627" i="1"/>
  <c r="P627" i="1" s="1"/>
  <c r="R628" i="1"/>
  <c r="R675" i="1"/>
  <c r="Q674" i="1"/>
  <c r="T221" i="1"/>
  <c r="P221" i="1" l="1"/>
  <c r="AF221" i="1" s="1"/>
  <c r="T629" i="1"/>
  <c r="P674" i="1"/>
  <c r="AF674" i="1" s="1"/>
  <c r="AF627" i="1"/>
  <c r="T678" i="1"/>
  <c r="Q675" i="1"/>
  <c r="R676" i="1"/>
  <c r="Q628" i="1"/>
  <c r="R629" i="1"/>
  <c r="T222" i="1"/>
  <c r="P628" i="1" l="1"/>
  <c r="AF628" i="1" s="1"/>
  <c r="P222" i="1"/>
  <c r="AF222" i="1" s="1"/>
  <c r="T630" i="1"/>
  <c r="T679" i="1"/>
  <c r="P675" i="1"/>
  <c r="AF675" i="1" s="1"/>
  <c r="Q629" i="1"/>
  <c r="P629" i="1" s="1"/>
  <c r="R630" i="1"/>
  <c r="R677" i="1"/>
  <c r="Q676" i="1"/>
  <c r="T223" i="1"/>
  <c r="T680" i="1" l="1"/>
  <c r="P676" i="1"/>
  <c r="AF676" i="1" s="1"/>
  <c r="T631" i="1"/>
  <c r="AF629" i="1"/>
  <c r="P223" i="1"/>
  <c r="AF223" i="1" s="1"/>
  <c r="Q677" i="1"/>
  <c r="R678" i="1"/>
  <c r="R631" i="1"/>
  <c r="Q630" i="1"/>
  <c r="P630" i="1" s="1"/>
  <c r="T224" i="1"/>
  <c r="P224" i="1" l="1"/>
  <c r="AF224" i="1" s="1"/>
  <c r="T632" i="1"/>
  <c r="AF630" i="1"/>
  <c r="P677" i="1"/>
  <c r="AF677" i="1" s="1"/>
  <c r="T681" i="1"/>
  <c r="R632" i="1"/>
  <c r="Q631" i="1"/>
  <c r="P631" i="1" s="1"/>
  <c r="Q678" i="1"/>
  <c r="R679" i="1"/>
  <c r="T225" i="1"/>
  <c r="P678" i="1" l="1"/>
  <c r="AF678" i="1" s="1"/>
  <c r="T682" i="1"/>
  <c r="P225" i="1"/>
  <c r="AF225" i="1" s="1"/>
  <c r="AF631" i="1"/>
  <c r="T633" i="1"/>
  <c r="Q679" i="1"/>
  <c r="R680" i="1"/>
  <c r="Q632" i="1"/>
  <c r="R633" i="1"/>
  <c r="T226" i="1"/>
  <c r="T634" i="1" l="1"/>
  <c r="P226" i="1"/>
  <c r="AF226" i="1" s="1"/>
  <c r="T683" i="1"/>
  <c r="P679" i="1"/>
  <c r="AF679" i="1" s="1"/>
  <c r="P632" i="1"/>
  <c r="AF632" i="1" s="1"/>
  <c r="Q633" i="1"/>
  <c r="R634" i="1"/>
  <c r="Q680" i="1"/>
  <c r="R681" i="1"/>
  <c r="T227" i="1"/>
  <c r="T684" i="1" l="1"/>
  <c r="P680" i="1"/>
  <c r="AF680" i="1" s="1"/>
  <c r="P633" i="1"/>
  <c r="AF633" i="1" s="1"/>
  <c r="T635" i="1"/>
  <c r="P227" i="1"/>
  <c r="AF227" i="1" s="1"/>
  <c r="Q681" i="1"/>
  <c r="R682" i="1"/>
  <c r="R635" i="1"/>
  <c r="Q634" i="1"/>
  <c r="P634" i="1" s="1"/>
  <c r="T228" i="1"/>
  <c r="T685" i="1" l="1"/>
  <c r="P228" i="1"/>
  <c r="AF228" i="1" s="1"/>
  <c r="T636" i="1"/>
  <c r="P681" i="1"/>
  <c r="AF681" i="1" s="1"/>
  <c r="AF634" i="1"/>
  <c r="R636" i="1"/>
  <c r="Q635" i="1"/>
  <c r="P635" i="1" s="1"/>
  <c r="Q682" i="1"/>
  <c r="R683" i="1"/>
  <c r="T229" i="1"/>
  <c r="P229" i="1" l="1"/>
  <c r="AF229" i="1" s="1"/>
  <c r="T637" i="1"/>
  <c r="AF635" i="1"/>
  <c r="T686" i="1"/>
  <c r="P682" i="1"/>
  <c r="AF682" i="1" s="1"/>
  <c r="Q683" i="1"/>
  <c r="R684" i="1"/>
  <c r="R637" i="1"/>
  <c r="Q636" i="1"/>
  <c r="T230" i="1"/>
  <c r="P683" i="1" l="1"/>
  <c r="AF683" i="1" s="1"/>
  <c r="P230" i="1"/>
  <c r="AF230" i="1" s="1"/>
  <c r="T687" i="1"/>
  <c r="P636" i="1"/>
  <c r="AF636" i="1" s="1"/>
  <c r="T638" i="1"/>
  <c r="Q637" i="1"/>
  <c r="P637" i="1" s="1"/>
  <c r="R638" i="1"/>
  <c r="Q684" i="1"/>
  <c r="R685" i="1"/>
  <c r="T231" i="1"/>
  <c r="T639" i="1" l="1"/>
  <c r="P231" i="1"/>
  <c r="AF231" i="1" s="1"/>
  <c r="P684" i="1"/>
  <c r="AF684" i="1" s="1"/>
  <c r="T688" i="1"/>
  <c r="AF637" i="1"/>
  <c r="Q685" i="1"/>
  <c r="R686" i="1"/>
  <c r="R639" i="1"/>
  <c r="Q638" i="1"/>
  <c r="T232" i="1"/>
  <c r="T689" i="1" l="1"/>
  <c r="P232" i="1"/>
  <c r="AF232" i="1" s="1"/>
  <c r="P685" i="1"/>
  <c r="AF685" i="1" s="1"/>
  <c r="P638" i="1"/>
  <c r="AF638" i="1" s="1"/>
  <c r="T640" i="1"/>
  <c r="Q639" i="1"/>
  <c r="R640" i="1"/>
  <c r="R687" i="1"/>
  <c r="Q686" i="1"/>
  <c r="T233" i="1"/>
  <c r="P686" i="1" l="1"/>
  <c r="AF686" i="1" s="1"/>
  <c r="P233" i="1"/>
  <c r="AF233" i="1" s="1"/>
  <c r="P639" i="1"/>
  <c r="AF639" i="1" s="1"/>
  <c r="T641" i="1"/>
  <c r="T642" i="1" s="1"/>
  <c r="T690" i="1"/>
  <c r="Q687" i="1"/>
  <c r="R688" i="1"/>
  <c r="Q640" i="1"/>
  <c r="P640" i="1" s="1"/>
  <c r="R641" i="1"/>
  <c r="T234" i="1"/>
  <c r="Q641" i="1" l="1"/>
  <c r="R642" i="1"/>
  <c r="Q642" i="1" s="1"/>
  <c r="P642" i="1" s="1"/>
  <c r="AF642" i="1" s="1"/>
  <c r="P641" i="1"/>
  <c r="AF641" i="1" s="1"/>
  <c r="AF640" i="1"/>
  <c r="P234" i="1"/>
  <c r="AF234" i="1" s="1"/>
  <c r="P687" i="1"/>
  <c r="AF687" i="1" s="1"/>
  <c r="T691" i="1"/>
  <c r="Q688" i="1"/>
  <c r="R689" i="1"/>
  <c r="T235" i="1"/>
  <c r="T692" i="1" l="1"/>
  <c r="P235" i="1"/>
  <c r="AF235" i="1" s="1"/>
  <c r="P688" i="1"/>
  <c r="AF688" i="1" s="1"/>
  <c r="Q689" i="1"/>
  <c r="R690" i="1"/>
  <c r="T236" i="1"/>
  <c r="P689" i="1" l="1"/>
  <c r="AF689" i="1" s="1"/>
  <c r="P236" i="1"/>
  <c r="AF236" i="1" s="1"/>
  <c r="T693" i="1"/>
  <c r="Q690" i="1"/>
  <c r="R691" i="1"/>
  <c r="T237" i="1"/>
  <c r="P690" i="1" l="1"/>
  <c r="AF690" i="1" s="1"/>
  <c r="T694" i="1"/>
  <c r="P237" i="1"/>
  <c r="AF237" i="1" s="1"/>
  <c r="R692" i="1"/>
  <c r="Q691" i="1"/>
  <c r="T238" i="1"/>
  <c r="P691" i="1" l="1"/>
  <c r="AF691" i="1" s="1"/>
  <c r="T695" i="1"/>
  <c r="P238" i="1"/>
  <c r="AF238" i="1" s="1"/>
  <c r="Q692" i="1"/>
  <c r="R693" i="1"/>
  <c r="T239" i="1"/>
  <c r="P692" i="1" l="1"/>
  <c r="AF692" i="1" s="1"/>
  <c r="T696" i="1"/>
  <c r="P239" i="1"/>
  <c r="AF239" i="1" s="1"/>
  <c r="R694" i="1"/>
  <c r="Q693" i="1"/>
  <c r="T240" i="1"/>
  <c r="P693" i="1" l="1"/>
  <c r="AF693" i="1" s="1"/>
  <c r="P240" i="1"/>
  <c r="AF240" i="1" s="1"/>
  <c r="T697" i="1"/>
  <c r="Q694" i="1"/>
  <c r="R695" i="1"/>
  <c r="T241" i="1"/>
  <c r="P241" i="1" l="1"/>
  <c r="AF241" i="1" s="1"/>
  <c r="P694" i="1"/>
  <c r="AF694" i="1" s="1"/>
  <c r="T698" i="1"/>
  <c r="R696" i="1"/>
  <c r="Q695" i="1"/>
  <c r="T242" i="1"/>
  <c r="P695" i="1" l="1"/>
  <c r="AF695" i="1" s="1"/>
  <c r="T699" i="1"/>
  <c r="P242" i="1"/>
  <c r="AF242" i="1" s="1"/>
  <c r="Q696" i="1"/>
  <c r="R697" i="1"/>
  <c r="T243" i="1"/>
  <c r="T700" i="1" l="1"/>
  <c r="P696" i="1"/>
  <c r="AF696" i="1" s="1"/>
  <c r="P243" i="1"/>
  <c r="AF243" i="1" s="1"/>
  <c r="R698" i="1"/>
  <c r="Q697" i="1"/>
  <c r="T244" i="1"/>
  <c r="P697" i="1" l="1"/>
  <c r="AF697" i="1" s="1"/>
  <c r="P244" i="1"/>
  <c r="AF244" i="1" s="1"/>
  <c r="T701" i="1"/>
  <c r="Q698" i="1"/>
  <c r="R699" i="1"/>
  <c r="T245" i="1"/>
  <c r="P698" i="1" l="1"/>
  <c r="AF698" i="1" s="1"/>
  <c r="T702" i="1"/>
  <c r="P245" i="1"/>
  <c r="AF245" i="1" s="1"/>
  <c r="R700" i="1"/>
  <c r="Q699" i="1"/>
  <c r="T246" i="1"/>
  <c r="P699" i="1" l="1"/>
  <c r="AF699" i="1" s="1"/>
  <c r="T703" i="1"/>
  <c r="P246" i="1"/>
  <c r="AF246" i="1" s="1"/>
  <c r="R701" i="1"/>
  <c r="Q700" i="1"/>
  <c r="T247" i="1"/>
  <c r="P700" i="1" l="1"/>
  <c r="AF700" i="1" s="1"/>
  <c r="T704" i="1"/>
  <c r="P247" i="1"/>
  <c r="AF247" i="1" s="1"/>
  <c r="R702" i="1"/>
  <c r="Q701" i="1"/>
  <c r="T248" i="1"/>
  <c r="P701" i="1" l="1"/>
  <c r="AF701" i="1" s="1"/>
  <c r="T705" i="1"/>
  <c r="P248" i="1"/>
  <c r="AF248" i="1" s="1"/>
  <c r="R703" i="1"/>
  <c r="Q702" i="1"/>
  <c r="T249" i="1"/>
  <c r="P702" i="1" l="1"/>
  <c r="AF702" i="1" s="1"/>
  <c r="T706" i="1"/>
  <c r="P249" i="1"/>
  <c r="AF249" i="1" s="1"/>
  <c r="Q703" i="1"/>
  <c r="R704" i="1"/>
  <c r="T250" i="1"/>
  <c r="P703" i="1" l="1"/>
  <c r="AF703" i="1" s="1"/>
  <c r="T707" i="1"/>
  <c r="P250" i="1"/>
  <c r="AF250" i="1" s="1"/>
  <c r="R705" i="1"/>
  <c r="Q704" i="1"/>
  <c r="T251" i="1"/>
  <c r="P704" i="1" l="1"/>
  <c r="AF704" i="1" s="1"/>
  <c r="T708" i="1"/>
  <c r="P251" i="1"/>
  <c r="AF251" i="1" s="1"/>
  <c r="Q705" i="1"/>
  <c r="R706" i="1"/>
  <c r="T252" i="1"/>
  <c r="P705" i="1" l="1"/>
  <c r="AF705" i="1" s="1"/>
  <c r="T709" i="1"/>
  <c r="P252" i="1"/>
  <c r="AF252" i="1" s="1"/>
  <c r="R707" i="1"/>
  <c r="Q706" i="1"/>
  <c r="T253" i="1"/>
  <c r="P706" i="1" l="1"/>
  <c r="AF706" i="1" s="1"/>
  <c r="T710" i="1"/>
  <c r="P253" i="1"/>
  <c r="AF253" i="1" s="1"/>
  <c r="Q707" i="1"/>
  <c r="R708" i="1"/>
  <c r="T254" i="1"/>
  <c r="P707" i="1" l="1"/>
  <c r="AF707" i="1" s="1"/>
  <c r="T711" i="1"/>
  <c r="P254" i="1"/>
  <c r="AF254" i="1" s="1"/>
  <c r="R709" i="1"/>
  <c r="Q708" i="1"/>
  <c r="T255" i="1"/>
  <c r="P708" i="1" l="1"/>
  <c r="AF708" i="1" s="1"/>
  <c r="T712" i="1"/>
  <c r="P255" i="1"/>
  <c r="AF255" i="1" s="1"/>
  <c r="Q709" i="1"/>
  <c r="R710" i="1"/>
  <c r="T256" i="1"/>
  <c r="P709" i="1" l="1"/>
  <c r="AF709" i="1" s="1"/>
  <c r="T713" i="1"/>
  <c r="P256" i="1"/>
  <c r="AF256" i="1" s="1"/>
  <c r="Q710" i="1"/>
  <c r="R711" i="1"/>
  <c r="T257" i="1"/>
  <c r="P710" i="1" l="1"/>
  <c r="AF710" i="1" s="1"/>
  <c r="T714" i="1"/>
  <c r="P257" i="1"/>
  <c r="AF257" i="1" s="1"/>
  <c r="R712" i="1"/>
  <c r="Q711" i="1"/>
  <c r="T258" i="1"/>
  <c r="P711" i="1" l="1"/>
  <c r="AF711" i="1" s="1"/>
  <c r="T715" i="1"/>
  <c r="P258" i="1"/>
  <c r="AF258" i="1" s="1"/>
  <c r="Q712" i="1"/>
  <c r="R713" i="1"/>
  <c r="T259" i="1"/>
  <c r="P712" i="1" l="1"/>
  <c r="AF712" i="1" s="1"/>
  <c r="T716" i="1"/>
  <c r="P259" i="1"/>
  <c r="AF259" i="1" s="1"/>
  <c r="Q713" i="1"/>
  <c r="R714" i="1"/>
  <c r="T260" i="1"/>
  <c r="P713" i="1" l="1"/>
  <c r="AF713" i="1" s="1"/>
  <c r="T717" i="1"/>
  <c r="P260" i="1"/>
  <c r="AF260" i="1" s="1"/>
  <c r="Q714" i="1"/>
  <c r="R715" i="1"/>
  <c r="T261" i="1"/>
  <c r="P714" i="1" l="1"/>
  <c r="AF714" i="1" s="1"/>
  <c r="T718" i="1"/>
  <c r="P261" i="1"/>
  <c r="AF261" i="1" s="1"/>
  <c r="Q715" i="1"/>
  <c r="R716" i="1"/>
  <c r="T262" i="1"/>
  <c r="P715" i="1" l="1"/>
  <c r="AF715" i="1" s="1"/>
  <c r="T719" i="1"/>
  <c r="P262" i="1"/>
  <c r="AF262" i="1" s="1"/>
  <c r="Q716" i="1"/>
  <c r="R717" i="1"/>
  <c r="T263" i="1"/>
  <c r="P716" i="1" l="1"/>
  <c r="AF716" i="1" s="1"/>
  <c r="T720" i="1"/>
  <c r="P263" i="1"/>
  <c r="AF263" i="1" s="1"/>
  <c r="Q717" i="1"/>
  <c r="R718" i="1"/>
  <c r="T264" i="1"/>
  <c r="P717" i="1" l="1"/>
  <c r="AF717" i="1" s="1"/>
  <c r="T721" i="1"/>
  <c r="P264" i="1"/>
  <c r="AF264" i="1" s="1"/>
  <c r="Q718" i="1"/>
  <c r="R719" i="1"/>
  <c r="T265" i="1"/>
  <c r="P718" i="1" l="1"/>
  <c r="AF718" i="1" s="1"/>
  <c r="T722" i="1"/>
  <c r="P265" i="1"/>
  <c r="AF265" i="1" s="1"/>
  <c r="Q719" i="1"/>
  <c r="R720" i="1"/>
  <c r="T266" i="1"/>
  <c r="T723" i="1" l="1"/>
  <c r="T724" i="1" s="1"/>
  <c r="P719" i="1"/>
  <c r="AF719" i="1" s="1"/>
  <c r="P266" i="1"/>
  <c r="AF266" i="1" s="1"/>
  <c r="Q720" i="1"/>
  <c r="R721" i="1"/>
  <c r="T267" i="1"/>
  <c r="P720" i="1" l="1"/>
  <c r="AF720" i="1" s="1"/>
  <c r="P267" i="1"/>
  <c r="AF267" i="1" s="1"/>
  <c r="Q721" i="1"/>
  <c r="R722" i="1"/>
  <c r="T268" i="1"/>
  <c r="P268" i="1" l="1"/>
  <c r="AF268" i="1" s="1"/>
  <c r="P721" i="1"/>
  <c r="AF721" i="1" s="1"/>
  <c r="R723" i="1"/>
  <c r="Q722" i="1"/>
  <c r="T269" i="1"/>
  <c r="Q723" i="1" l="1"/>
  <c r="R724" i="1"/>
  <c r="Q724" i="1" s="1"/>
  <c r="P724" i="1" s="1"/>
  <c r="AF724" i="1" s="1"/>
  <c r="P269" i="1"/>
  <c r="AF269" i="1" s="1"/>
  <c r="P722" i="1"/>
  <c r="AF722" i="1" s="1"/>
  <c r="P723" i="1"/>
  <c r="T270" i="1"/>
  <c r="P270" i="1" l="1"/>
  <c r="AF270" i="1" s="1"/>
  <c r="AF723" i="1"/>
  <c r="T271" i="1"/>
  <c r="P271" i="1" l="1"/>
  <c r="T272" i="1"/>
  <c r="P272" i="1" l="1"/>
  <c r="AF272" i="1" s="1"/>
  <c r="AF271" i="1"/>
  <c r="T273" i="1"/>
  <c r="P273" i="1" l="1"/>
  <c r="T274" i="1"/>
  <c r="P274" i="1" l="1"/>
  <c r="AF274" i="1" s="1"/>
  <c r="AF273" i="1"/>
  <c r="T275" i="1"/>
  <c r="P275" i="1" l="1"/>
  <c r="AF275" i="1" s="1"/>
  <c r="T276" i="1"/>
  <c r="P276" i="1" l="1"/>
  <c r="AF276" i="1" s="1"/>
  <c r="T277" i="1"/>
  <c r="P277" i="1" l="1"/>
  <c r="AF277" i="1" s="1"/>
  <c r="T278" i="1"/>
  <c r="P278" i="1" l="1"/>
  <c r="AF278" i="1" s="1"/>
  <c r="T279" i="1"/>
  <c r="P279" i="1" l="1"/>
  <c r="AF279" i="1" s="1"/>
  <c r="T280" i="1"/>
  <c r="P280" i="1" l="1"/>
  <c r="AF280" i="1" s="1"/>
  <c r="T281" i="1"/>
  <c r="P281" i="1" l="1"/>
  <c r="AF281" i="1" s="1"/>
  <c r="T282" i="1"/>
  <c r="P282" i="1" l="1"/>
  <c r="AF282" i="1" s="1"/>
  <c r="T283" i="1"/>
  <c r="P283" i="1" l="1"/>
  <c r="AF283" i="1" s="1"/>
  <c r="T284" i="1"/>
  <c r="P284" i="1" l="1"/>
  <c r="AF284" i="1" s="1"/>
  <c r="T285" i="1"/>
  <c r="P285" i="1" l="1"/>
  <c r="AF285" i="1" s="1"/>
  <c r="T286" i="1"/>
  <c r="P286" i="1" l="1"/>
  <c r="AF286" i="1" s="1"/>
  <c r="T287" i="1"/>
  <c r="P287" i="1" l="1"/>
  <c r="AF287" i="1" s="1"/>
  <c r="T288" i="1"/>
  <c r="P288" i="1" l="1"/>
  <c r="AF288" i="1" s="1"/>
  <c r="T289" i="1"/>
  <c r="P289" i="1" l="1"/>
  <c r="AF289" i="1" s="1"/>
  <c r="T290" i="1"/>
  <c r="P290" i="1" l="1"/>
  <c r="AF290" i="1" s="1"/>
  <c r="T291" i="1"/>
  <c r="P291" i="1" l="1"/>
  <c r="AF291" i="1" s="1"/>
  <c r="T292" i="1"/>
  <c r="P292" i="1" l="1"/>
  <c r="AF292" i="1" s="1"/>
  <c r="T293" i="1"/>
  <c r="P293" i="1" l="1"/>
  <c r="AF293" i="1" s="1"/>
  <c r="T294" i="1"/>
  <c r="P294" i="1" l="1"/>
  <c r="AF294" i="1" s="1"/>
  <c r="T295" i="1"/>
  <c r="P295" i="1" l="1"/>
  <c r="AF295" i="1" s="1"/>
  <c r="T296" i="1"/>
  <c r="P296" i="1" l="1"/>
  <c r="AF296" i="1" s="1"/>
  <c r="T297" i="1"/>
  <c r="P297" i="1" l="1"/>
  <c r="AF297" i="1" s="1"/>
  <c r="T298" i="1"/>
  <c r="P298" i="1" l="1"/>
  <c r="AF298" i="1" s="1"/>
  <c r="T299" i="1"/>
  <c r="P299" i="1" l="1"/>
  <c r="AF299" i="1" s="1"/>
  <c r="T300" i="1"/>
  <c r="P300" i="1" l="1"/>
  <c r="AF300" i="1" s="1"/>
  <c r="T301" i="1"/>
  <c r="P301" i="1" l="1"/>
  <c r="AF301" i="1" s="1"/>
  <c r="T302" i="1"/>
  <c r="P302" i="1" l="1"/>
  <c r="AF302" i="1" s="1"/>
  <c r="T303" i="1"/>
  <c r="P303" i="1" l="1"/>
  <c r="AF303" i="1" s="1"/>
  <c r="T304" i="1"/>
  <c r="P304" i="1" l="1"/>
  <c r="AF304" i="1" s="1"/>
  <c r="T305" i="1"/>
  <c r="P305" i="1" l="1"/>
  <c r="AF305" i="1" s="1"/>
  <c r="T306" i="1"/>
  <c r="P306" i="1" l="1"/>
  <c r="AF306" i="1" s="1"/>
  <c r="T307" i="1"/>
  <c r="P307" i="1" l="1"/>
  <c r="AF307" i="1" s="1"/>
  <c r="T308" i="1"/>
  <c r="P308" i="1" l="1"/>
  <c r="AF308" i="1" s="1"/>
  <c r="T309" i="1"/>
  <c r="P309" i="1" l="1"/>
  <c r="AF309" i="1" s="1"/>
  <c r="T310" i="1"/>
  <c r="P310" i="1" l="1"/>
  <c r="AF310" i="1" s="1"/>
  <c r="T311" i="1"/>
  <c r="P311" i="1" l="1"/>
  <c r="AF311" i="1" s="1"/>
  <c r="T312" i="1"/>
  <c r="P312" i="1" l="1"/>
  <c r="AF312" i="1" s="1"/>
  <c r="T313" i="1"/>
  <c r="P313" i="1" l="1"/>
  <c r="AF313" i="1" s="1"/>
  <c r="T314" i="1"/>
  <c r="P314" i="1" l="1"/>
  <c r="AF314" i="1" s="1"/>
  <c r="T315" i="1"/>
  <c r="P315" i="1" l="1"/>
  <c r="AF315" i="1" s="1"/>
  <c r="T316" i="1"/>
  <c r="P316" i="1" l="1"/>
  <c r="AF316" i="1" s="1"/>
  <c r="T317" i="1"/>
  <c r="P317" i="1" l="1"/>
  <c r="AF317" i="1" s="1"/>
  <c r="T318" i="1"/>
  <c r="P318" i="1" l="1"/>
  <c r="AF318" i="1" s="1"/>
  <c r="T319" i="1"/>
  <c r="P319" i="1" l="1"/>
  <c r="AF319" i="1" s="1"/>
  <c r="T320" i="1"/>
  <c r="P320" i="1" l="1"/>
  <c r="AF320" i="1" s="1"/>
  <c r="T321" i="1"/>
  <c r="P321" i="1" l="1"/>
  <c r="AF321" i="1" s="1"/>
  <c r="T322" i="1"/>
  <c r="P322" i="1" l="1"/>
  <c r="AF322" i="1" s="1"/>
  <c r="T323" i="1"/>
  <c r="P323" i="1" l="1"/>
  <c r="AF323" i="1" s="1"/>
  <c r="T324" i="1"/>
  <c r="P324" i="1" l="1"/>
  <c r="AF324" i="1" s="1"/>
  <c r="T325" i="1"/>
  <c r="P325" i="1" l="1"/>
  <c r="AF325" i="1" s="1"/>
  <c r="T326" i="1"/>
  <c r="P326" i="1" l="1"/>
  <c r="AF326" i="1" s="1"/>
  <c r="T327" i="1"/>
  <c r="P327" i="1" l="1"/>
  <c r="AF327" i="1" s="1"/>
  <c r="T328" i="1"/>
  <c r="P328" i="1" l="1"/>
  <c r="AF328" i="1" s="1"/>
  <c r="T329" i="1"/>
  <c r="P329" i="1" l="1"/>
  <c r="AF329" i="1" s="1"/>
  <c r="T330" i="1"/>
  <c r="P330" i="1" l="1"/>
  <c r="AF330" i="1" s="1"/>
  <c r="T331" i="1"/>
  <c r="P331" i="1" l="1"/>
  <c r="AF331" i="1" s="1"/>
  <c r="T332" i="1"/>
  <c r="P332" i="1" l="1"/>
  <c r="AF332" i="1" s="1"/>
  <c r="T333" i="1"/>
  <c r="P333" i="1" l="1"/>
  <c r="AF333" i="1" s="1"/>
  <c r="T334" i="1"/>
  <c r="P334" i="1" l="1"/>
  <c r="AF334" i="1" s="1"/>
  <c r="T335" i="1"/>
  <c r="P335" i="1" l="1"/>
  <c r="AF335" i="1" s="1"/>
  <c r="T336" i="1"/>
  <c r="P336" i="1" l="1"/>
  <c r="AF336" i="1" s="1"/>
  <c r="T337" i="1"/>
  <c r="P337" i="1" l="1"/>
  <c r="AF337" i="1" s="1"/>
  <c r="T338" i="1"/>
  <c r="P338" i="1" l="1"/>
  <c r="AF338" i="1" s="1"/>
  <c r="T339" i="1"/>
  <c r="P339" i="1" l="1"/>
  <c r="AF339" i="1" s="1"/>
  <c r="T340" i="1"/>
  <c r="P340" i="1" l="1"/>
  <c r="AF340" i="1" s="1"/>
  <c r="T341" i="1"/>
  <c r="P341" i="1" l="1"/>
  <c r="AF341" i="1" s="1"/>
  <c r="T342" i="1"/>
  <c r="P342" i="1" l="1"/>
  <c r="AF342" i="1" s="1"/>
  <c r="T343" i="1"/>
  <c r="P343" i="1" l="1"/>
  <c r="AF343" i="1" s="1"/>
  <c r="T344" i="1"/>
  <c r="P344" i="1" l="1"/>
  <c r="AF344" i="1" s="1"/>
  <c r="T345" i="1"/>
  <c r="P345" i="1" l="1"/>
  <c r="AF345" i="1" s="1"/>
  <c r="T346" i="1"/>
  <c r="P346" i="1" l="1"/>
  <c r="AF346" i="1" s="1"/>
  <c r="T347" i="1"/>
  <c r="P347" i="1" l="1"/>
  <c r="AF347" i="1" s="1"/>
  <c r="T348" i="1"/>
  <c r="P348" i="1" l="1"/>
  <c r="AF348" i="1" s="1"/>
  <c r="T349" i="1"/>
  <c r="P349" i="1" l="1"/>
  <c r="AF349" i="1" s="1"/>
  <c r="T350" i="1"/>
  <c r="P350" i="1" l="1"/>
  <c r="AF350" i="1" s="1"/>
  <c r="T351" i="1"/>
  <c r="P351" i="1" l="1"/>
  <c r="AF351" i="1" s="1"/>
  <c r="T352" i="1"/>
  <c r="P352" i="1" l="1"/>
  <c r="AF352" i="1" s="1"/>
  <c r="T353" i="1"/>
  <c r="P353" i="1" l="1"/>
  <c r="AF353" i="1" s="1"/>
  <c r="T354" i="1"/>
  <c r="P354" i="1" l="1"/>
  <c r="AF354" i="1" s="1"/>
  <c r="T355" i="1"/>
  <c r="P355" i="1" l="1"/>
  <c r="AF355" i="1" s="1"/>
  <c r="T356" i="1"/>
  <c r="P356" i="1" l="1"/>
  <c r="AF356" i="1" s="1"/>
  <c r="T357" i="1"/>
  <c r="P357" i="1" l="1"/>
  <c r="AF357" i="1" s="1"/>
  <c r="T358" i="1"/>
  <c r="P358" i="1" l="1"/>
  <c r="AF358" i="1" s="1"/>
  <c r="T359" i="1"/>
  <c r="P359" i="1" l="1"/>
  <c r="AF359" i="1" s="1"/>
  <c r="T360" i="1"/>
  <c r="P360" i="1" l="1"/>
  <c r="AF360" i="1" s="1"/>
  <c r="T361" i="1"/>
  <c r="P361" i="1" l="1"/>
  <c r="AF361" i="1" s="1"/>
  <c r="T362" i="1"/>
  <c r="P362" i="1" l="1"/>
  <c r="AF362" i="1" s="1"/>
  <c r="T363" i="1"/>
  <c r="P363" i="1" l="1"/>
  <c r="AF363" i="1" s="1"/>
  <c r="T364" i="1"/>
  <c r="P364" i="1" l="1"/>
  <c r="AF364" i="1" s="1"/>
  <c r="T365" i="1"/>
  <c r="P365" i="1" l="1"/>
  <c r="AF365" i="1" s="1"/>
  <c r="T366" i="1"/>
  <c r="P366" i="1" l="1"/>
  <c r="AF366" i="1" s="1"/>
  <c r="T367" i="1"/>
  <c r="P367" i="1" l="1"/>
  <c r="AF367" i="1" s="1"/>
  <c r="T368" i="1"/>
  <c r="P368" i="1" l="1"/>
  <c r="AF368" i="1" s="1"/>
  <c r="T369" i="1"/>
  <c r="P369" i="1" l="1"/>
  <c r="AF369" i="1" s="1"/>
  <c r="T370" i="1"/>
  <c r="P370" i="1" l="1"/>
  <c r="AF370" i="1" s="1"/>
  <c r="T371" i="1"/>
  <c r="P371" i="1" l="1"/>
  <c r="AF371" i="1" s="1"/>
  <c r="T372" i="1"/>
  <c r="P372" i="1" l="1"/>
  <c r="AF372" i="1" s="1"/>
  <c r="T373" i="1"/>
  <c r="P373" i="1" l="1"/>
  <c r="AF373" i="1" s="1"/>
  <c r="T374" i="1"/>
  <c r="P374" i="1" l="1"/>
  <c r="AF374" i="1" s="1"/>
  <c r="T375" i="1"/>
  <c r="P375" i="1" l="1"/>
  <c r="AF375" i="1" s="1"/>
  <c r="T376" i="1"/>
  <c r="P376" i="1" l="1"/>
  <c r="AF376" i="1" s="1"/>
  <c r="T377" i="1"/>
  <c r="P377" i="1" l="1"/>
  <c r="AF377" i="1" s="1"/>
  <c r="T378" i="1"/>
  <c r="P378" i="1" l="1"/>
  <c r="AF378" i="1" s="1"/>
  <c r="T379" i="1"/>
  <c r="P379" i="1" l="1"/>
  <c r="AF379" i="1" s="1"/>
  <c r="T380" i="1"/>
  <c r="P380" i="1" l="1"/>
  <c r="AF380" i="1" s="1"/>
  <c r="T381" i="1"/>
  <c r="P381" i="1" l="1"/>
  <c r="AF381" i="1" s="1"/>
  <c r="T382" i="1"/>
  <c r="P382" i="1" l="1"/>
  <c r="AF382" i="1" s="1"/>
  <c r="T383" i="1"/>
  <c r="P383" i="1" l="1"/>
  <c r="AF383" i="1" s="1"/>
  <c r="T384" i="1"/>
  <c r="P384" i="1" l="1"/>
  <c r="AF384" i="1" s="1"/>
  <c r="T385" i="1"/>
  <c r="P385" i="1" l="1"/>
  <c r="AF385" i="1" s="1"/>
  <c r="T386" i="1"/>
  <c r="P386" i="1" l="1"/>
  <c r="AF386" i="1" s="1"/>
  <c r="T387" i="1"/>
  <c r="P387" i="1" l="1"/>
  <c r="AF387" i="1" s="1"/>
  <c r="T388" i="1"/>
  <c r="P388" i="1" l="1"/>
  <c r="AF388" i="1" s="1"/>
  <c r="T389" i="1"/>
  <c r="P389" i="1" l="1"/>
  <c r="AF389" i="1" s="1"/>
  <c r="T390" i="1"/>
  <c r="P390" i="1" l="1"/>
  <c r="AF390" i="1" s="1"/>
  <c r="T391" i="1"/>
  <c r="P391" i="1" l="1"/>
  <c r="AF391" i="1" s="1"/>
  <c r="T392" i="1"/>
  <c r="P392" i="1" l="1"/>
  <c r="AF392" i="1" s="1"/>
  <c r="T393" i="1"/>
  <c r="P393" i="1" l="1"/>
  <c r="AF393" i="1" s="1"/>
  <c r="T394" i="1"/>
  <c r="P394" i="1" l="1"/>
  <c r="AF394" i="1" s="1"/>
  <c r="T395" i="1"/>
  <c r="P395" i="1" l="1"/>
  <c r="AF395" i="1" s="1"/>
  <c r="T396" i="1"/>
  <c r="P396" i="1" l="1"/>
  <c r="AF396" i="1" s="1"/>
  <c r="T397" i="1"/>
  <c r="P397" i="1" l="1"/>
  <c r="AF397" i="1" s="1"/>
  <c r="T398" i="1"/>
  <c r="P398" i="1" l="1"/>
  <c r="AF398" i="1" s="1"/>
  <c r="T399" i="1"/>
  <c r="P399" i="1" l="1"/>
  <c r="AF399" i="1" s="1"/>
  <c r="T400" i="1"/>
  <c r="P400" i="1" l="1"/>
  <c r="AF400" i="1" s="1"/>
  <c r="T401" i="1"/>
  <c r="P401" i="1" l="1"/>
  <c r="AF401" i="1" s="1"/>
  <c r="T402" i="1"/>
  <c r="P402" i="1" l="1"/>
  <c r="AF402" i="1" s="1"/>
  <c r="T403" i="1"/>
  <c r="P403" i="1" l="1"/>
  <c r="AF403" i="1" s="1"/>
  <c r="T404" i="1"/>
  <c r="P404" i="1" l="1"/>
  <c r="AF404" i="1" s="1"/>
  <c r="T405" i="1"/>
  <c r="P405" i="1" l="1"/>
  <c r="AF405" i="1" s="1"/>
  <c r="T406" i="1"/>
  <c r="P406" i="1" l="1"/>
  <c r="AF406" i="1" s="1"/>
  <c r="T407" i="1"/>
  <c r="P407" i="1" l="1"/>
  <c r="AF407" i="1" s="1"/>
  <c r="T408" i="1"/>
  <c r="P408" i="1" l="1"/>
  <c r="AF408" i="1" s="1"/>
  <c r="T409" i="1"/>
  <c r="P409" i="1" l="1"/>
  <c r="AF409" i="1" s="1"/>
  <c r="T410" i="1"/>
  <c r="P410" i="1" l="1"/>
  <c r="AF410" i="1" s="1"/>
  <c r="T411" i="1"/>
  <c r="P411" i="1" l="1"/>
  <c r="AF411" i="1" s="1"/>
  <c r="T412" i="1"/>
  <c r="P412" i="1" l="1"/>
  <c r="AF412" i="1" s="1"/>
  <c r="T413" i="1"/>
  <c r="P413" i="1" l="1"/>
  <c r="AF413" i="1" s="1"/>
  <c r="T414" i="1"/>
  <c r="P414" i="1" l="1"/>
  <c r="AF414" i="1" s="1"/>
  <c r="T415" i="1"/>
  <c r="P415" i="1" l="1"/>
  <c r="AF415" i="1" s="1"/>
  <c r="T416" i="1"/>
  <c r="P416" i="1" l="1"/>
  <c r="AF416" i="1" s="1"/>
  <c r="T417" i="1"/>
  <c r="P417" i="1" l="1"/>
  <c r="AF417" i="1" s="1"/>
  <c r="T418" i="1"/>
  <c r="P418" i="1" l="1"/>
  <c r="AF418" i="1" s="1"/>
  <c r="T419" i="1"/>
  <c r="P419" i="1" l="1"/>
  <c r="AF419" i="1" s="1"/>
  <c r="T420" i="1"/>
  <c r="P420" i="1" l="1"/>
  <c r="AF420" i="1" s="1"/>
  <c r="T421" i="1"/>
  <c r="P421" i="1" l="1"/>
  <c r="AF421" i="1" s="1"/>
  <c r="T422" i="1"/>
  <c r="P422" i="1" l="1"/>
  <c r="AF422" i="1" s="1"/>
  <c r="T423" i="1"/>
  <c r="P423" i="1" l="1"/>
  <c r="AF423" i="1" s="1"/>
  <c r="T424" i="1"/>
  <c r="P424" i="1" l="1"/>
  <c r="AF424" i="1" s="1"/>
  <c r="T425" i="1"/>
  <c r="P425" i="1" l="1"/>
  <c r="AF425" i="1" s="1"/>
  <c r="T426" i="1"/>
  <c r="P426" i="1" l="1"/>
  <c r="AF426" i="1" s="1"/>
  <c r="T427" i="1"/>
  <c r="P427" i="1" l="1"/>
  <c r="AF427" i="1" s="1"/>
  <c r="T428" i="1"/>
  <c r="P428" i="1" l="1"/>
  <c r="BR2" i="1" l="1"/>
  <c r="AF428" i="1"/>
  <c r="BR3" i="1" l="1"/>
  <c r="BR5" i="1" s="1"/>
</calcChain>
</file>

<file path=xl/sharedStrings.xml><?xml version="1.0" encoding="utf-8"?>
<sst xmlns="http://schemas.openxmlformats.org/spreadsheetml/2006/main" count="1362" uniqueCount="485">
  <si>
    <t>Dia</t>
  </si>
  <si>
    <t>REF</t>
  </si>
  <si>
    <t>TEMPO</t>
  </si>
  <si>
    <t>KM</t>
  </si>
  <si>
    <t>TEMPO DE ESPERA</t>
  </si>
  <si>
    <t>BONUS E RAZÃO</t>
  </si>
  <si>
    <t>GANHOS</t>
  </si>
  <si>
    <t>GANHOS ACUMULADOS</t>
  </si>
  <si>
    <t>AJUSTES: MONTANTE E RAZÃO</t>
  </si>
  <si>
    <t>Dias</t>
  </si>
  <si>
    <t>Hora</t>
  </si>
  <si>
    <t>km Paga</t>
  </si>
  <si>
    <t>Km Real</t>
  </si>
  <si>
    <t>Ganhos</t>
  </si>
  <si>
    <t>Acumulado</t>
  </si>
  <si>
    <t>Un</t>
  </si>
  <si>
    <t>#LIVEFZCFA</t>
  </si>
  <si>
    <t>3'</t>
  </si>
  <si>
    <t>Total de Horas Rodando</t>
  </si>
  <si>
    <t>MAI</t>
  </si>
  <si>
    <t>bonus rain</t>
  </si>
  <si>
    <t>KM Paga</t>
  </si>
  <si>
    <t>KM Rodada</t>
  </si>
  <si>
    <t>#LIVB495VL</t>
  </si>
  <si>
    <t>8'</t>
  </si>
  <si>
    <t>Total de Dias</t>
  </si>
  <si>
    <t>rain</t>
  </si>
  <si>
    <t>Horas por Dia</t>
  </si>
  <si>
    <t>#LIZXTQ1UU</t>
  </si>
  <si>
    <t>-</t>
  </si>
  <si>
    <t>Ganho Por Hora</t>
  </si>
  <si>
    <t>Qtd de Entregas</t>
  </si>
  <si>
    <t>Media De Entregas p/Dia</t>
  </si>
  <si>
    <t>Valor Medio P/ Entrega</t>
  </si>
  <si>
    <t>#LIRP7TY1K</t>
  </si>
  <si>
    <t>#LIL4LBFYX</t>
  </si>
  <si>
    <t>2'</t>
  </si>
  <si>
    <t>#LIYNQ1UUZ</t>
  </si>
  <si>
    <t>#LI9MLCHF8</t>
  </si>
  <si>
    <t>#LIRVJFLLW</t>
  </si>
  <si>
    <t>11'</t>
  </si>
  <si>
    <t>Ganhos garantidos</t>
  </si>
  <si>
    <t>#LILGPHUM5</t>
  </si>
  <si>
    <t>#LIHYJKK5P</t>
  </si>
  <si>
    <t>5'</t>
  </si>
  <si>
    <t>#LIFWMQBHA</t>
  </si>
  <si>
    <t>#LIL6LXRH8</t>
  </si>
  <si>
    <t>#LIDXWRDWZ</t>
  </si>
  <si>
    <t>7'</t>
  </si>
  <si>
    <t>#LITKZZ6CP</t>
  </si>
  <si>
    <t>24'</t>
  </si>
  <si>
    <t>#LIBE1R3U1</t>
  </si>
  <si>
    <t>#LI4JL72LL</t>
  </si>
  <si>
    <t>4'</t>
  </si>
  <si>
    <t>#LIFU82JHE</t>
  </si>
  <si>
    <t>1'</t>
  </si>
  <si>
    <t>#LIP8HH7LC</t>
  </si>
  <si>
    <t>#LI8JFZ1EN</t>
  </si>
  <si>
    <t>#LID1HKHW3</t>
  </si>
  <si>
    <t>13'</t>
  </si>
  <si>
    <t>#LIEA9YL21</t>
  </si>
  <si>
    <t>#LICNWV74N</t>
  </si>
  <si>
    <t>6'</t>
  </si>
  <si>
    <t>#LITWQUWG4</t>
  </si>
  <si>
    <t>#LIMYWQ1QY</t>
  </si>
  <si>
    <t>#LI74KQMXA</t>
  </si>
  <si>
    <t>22'</t>
  </si>
  <si>
    <t>#LIQCAFTWH</t>
  </si>
  <si>
    <t>#LI971J1L9</t>
  </si>
  <si>
    <t>#LIUGCCXME</t>
  </si>
  <si>
    <t>Rush</t>
  </si>
  <si>
    <t>#LI2UGV5NU</t>
  </si>
  <si>
    <t>10'</t>
  </si>
  <si>
    <t>#LIZ3ZBXNV</t>
  </si>
  <si>
    <t>14'</t>
  </si>
  <si>
    <t>#LIBBXGST6</t>
  </si>
  <si>
    <t>#LIVE1JD1M</t>
  </si>
  <si>
    <t>18'</t>
  </si>
  <si>
    <t>#LIUNDNRUW</t>
  </si>
  <si>
    <t>#LIQ8VKCTD</t>
  </si>
  <si>
    <t>#LIA7YUQBB</t>
  </si>
  <si>
    <t>#LIKYHVR1B</t>
  </si>
  <si>
    <t>#LIM2NN152</t>
  </si>
  <si>
    <t>#LI7KVVHWC</t>
  </si>
  <si>
    <t>#LIAJLGHXD</t>
  </si>
  <si>
    <t>15'</t>
  </si>
  <si>
    <t>9'</t>
  </si>
  <si>
    <t>17'</t>
  </si>
  <si>
    <t>12'</t>
  </si>
  <si>
    <t>25'</t>
  </si>
  <si>
    <t>41'</t>
  </si>
  <si>
    <t>Autonomia</t>
  </si>
  <si>
    <t>500 cc</t>
  </si>
  <si>
    <t>Bike Eletrica</t>
  </si>
  <si>
    <t>Valor Gasolina</t>
  </si>
  <si>
    <t>Gasolina por dia</t>
  </si>
  <si>
    <t>Aluguel/Financiamento</t>
  </si>
  <si>
    <t>Retorno Venda do Bem</t>
  </si>
  <si>
    <t>Custo por dia</t>
  </si>
  <si>
    <t xml:space="preserve">Resultado Liquido </t>
  </si>
  <si>
    <t>Por dia</t>
  </si>
  <si>
    <t>Por mes</t>
  </si>
  <si>
    <t>kms  rodados por dia</t>
  </si>
  <si>
    <t>#LINCCQPES </t>
  </si>
  <si>
    <t>#LISZLGZZK </t>
  </si>
  <si>
    <t>#LIL1MGJLH </t>
  </si>
  <si>
    <t>#LIKCFWWSF </t>
  </si>
  <si>
    <t>#LIUBFZCQM </t>
  </si>
  <si>
    <t>#LIYHWGVTL </t>
  </si>
  <si>
    <t>#LI2NDJZEM </t>
  </si>
  <si>
    <t>#LIARLUMGL </t>
  </si>
  <si>
    <t>#LIAPAL5MF </t>
  </si>
  <si>
    <t>#LI3PCTLNS </t>
  </si>
  <si>
    <t>#LIEZHTTS9 </t>
  </si>
  <si>
    <t>#LIDZDGXWL </t>
  </si>
  <si>
    <t>#LILT19PEG </t>
  </si>
  <si>
    <t>#LIQBHNFBF </t>
  </si>
  <si>
    <t>#LIX8HXYZG </t>
  </si>
  <si>
    <t>#LI9P1MVFX </t>
  </si>
  <si>
    <t>#LISATHAMN </t>
  </si>
  <si>
    <t>#LI1G8EZTK </t>
  </si>
  <si>
    <t>#LIPRCKKJ9 </t>
  </si>
  <si>
    <t>#LIAPG16DB </t>
  </si>
  <si>
    <t>#LIGRWNLZS </t>
  </si>
  <si>
    <t>#LI119141D </t>
  </si>
  <si>
    <t>#LI2Z7ZAQ1 </t>
  </si>
  <si>
    <t>#LIAKK1XN1 </t>
  </si>
  <si>
    <t>#LIVQRUHEQ </t>
  </si>
  <si>
    <t>#LIMJMXRBP </t>
  </si>
  <si>
    <t>#LI14LCRJ6 </t>
  </si>
  <si>
    <t>#LIU1H1NWU </t>
  </si>
  <si>
    <t>#LIHBWSEH1 </t>
  </si>
  <si>
    <t>rush</t>
  </si>
  <si>
    <t>#LINL6ZBF9 </t>
  </si>
  <si>
    <t>#LILV1DC1T </t>
  </si>
  <si>
    <t>#LIFUKKG8B </t>
  </si>
  <si>
    <t>#LICEZULYB </t>
  </si>
  <si>
    <t>#LI125JF9K </t>
  </si>
  <si>
    <t>#LILKLNU8K </t>
  </si>
  <si>
    <t>#LIU1XFQ7R </t>
  </si>
  <si>
    <t>#LIYRWTXDB </t>
  </si>
  <si>
    <t>30'</t>
  </si>
  <si>
    <t>#LIQH17AMF </t>
  </si>
  <si>
    <t>#LIUFSZFDF </t>
  </si>
  <si>
    <t>#LIABQ9ABZ </t>
  </si>
  <si>
    <t>data</t>
  </si>
  <si>
    <t>Row Labels</t>
  </si>
  <si>
    <t>Grand Total</t>
  </si>
  <si>
    <t>#LIYXKY5MZ </t>
  </si>
  <si>
    <t>#LI153UEVM </t>
  </si>
  <si>
    <t>#LI81RZUM1 </t>
  </si>
  <si>
    <t>#LILFGDLUK </t>
  </si>
  <si>
    <t>#LIHZLBKWM </t>
  </si>
  <si>
    <t>#LI2CZSYA1 </t>
  </si>
  <si>
    <t>#LIF4LYCEE </t>
  </si>
  <si>
    <t>#LIUSYWLD9 </t>
  </si>
  <si>
    <t>#LITCE4LVL </t>
  </si>
  <si>
    <t>#LIQAD9SRP </t>
  </si>
  <si>
    <t>#LIJUC1KL1 </t>
  </si>
  <si>
    <t>#LIGA968JP </t>
  </si>
  <si>
    <t>#LIQLAPGPW </t>
  </si>
  <si>
    <t>19'</t>
  </si>
  <si>
    <t>#LI9AMCSU3 </t>
  </si>
  <si>
    <t>#LI47TLEXX </t>
  </si>
  <si>
    <t>#LIBSJLHYF </t>
  </si>
  <si>
    <t>#LIYX9EGLJ </t>
  </si>
  <si>
    <t>#LI1JMJBSS </t>
  </si>
  <si>
    <t>#LIAKLDKEH </t>
  </si>
  <si>
    <t>#LIQJGPLQ5 </t>
  </si>
  <si>
    <t>#LIS1S1424 </t>
  </si>
  <si>
    <t>Bonus rain</t>
  </si>
  <si>
    <t>#LICZMSEF1 </t>
  </si>
  <si>
    <t>#LIL3UTNX6 </t>
  </si>
  <si>
    <t>Bônus Rain.</t>
  </si>
  <si>
    <t>#LILCAQXGQ </t>
  </si>
  <si>
    <t>#LIH8XYY1M </t>
  </si>
  <si>
    <t>Bônus Rush + Rain</t>
  </si>
  <si>
    <t>#LI4FE12HW </t>
  </si>
  <si>
    <t>#LIWYECNVF </t>
  </si>
  <si>
    <t>#LIAMY9A3G </t>
  </si>
  <si>
    <t>#LIKV7EF39 </t>
  </si>
  <si>
    <t>#LIRWEWA6P </t>
  </si>
  <si>
    <t>#LILAV3WQT </t>
  </si>
  <si>
    <t>#LINSSATP1 </t>
  </si>
  <si>
    <t>#LIU12Y8G1 </t>
  </si>
  <si>
    <t>(blank)</t>
  </si>
  <si>
    <t>$</t>
  </si>
  <si>
    <t>Litros</t>
  </si>
  <si>
    <t>$/Litro</t>
  </si>
  <si>
    <t>#LIKY1C3AE </t>
  </si>
  <si>
    <t>#LIPRSPYB9 </t>
  </si>
  <si>
    <t>#LI19ULHEH </t>
  </si>
  <si>
    <t>#LIX4SVWE1 </t>
  </si>
  <si>
    <t>#LIEEVPFYE </t>
  </si>
  <si>
    <t>Open Slot + bônus</t>
  </si>
  <si>
    <t>#LIKFG45X3 </t>
  </si>
  <si>
    <t>#LIS8RLC5K </t>
  </si>
  <si>
    <t>#LIDP1NDVP </t>
  </si>
  <si>
    <t>#LIC11AH8K </t>
  </si>
  <si>
    <t>#LI7AGUGFM </t>
  </si>
  <si>
    <t>32'</t>
  </si>
  <si>
    <t>#LI2Q16V4R </t>
  </si>
  <si>
    <t>#LI9N5S32J </t>
  </si>
  <si>
    <t>#LIUY1TULF </t>
  </si>
  <si>
    <t>#LILHZJWWL </t>
  </si>
  <si>
    <t>#LIVR9ATZE </t>
  </si>
  <si>
    <t>Identificador</t>
  </si>
  <si>
    <t>Busca_Ident.</t>
  </si>
  <si>
    <t>Receita</t>
  </si>
  <si>
    <t>Horas</t>
  </si>
  <si>
    <t>Km</t>
  </si>
  <si>
    <t>Ganhos Por Hora</t>
  </si>
  <si>
    <t>Tempo</t>
  </si>
  <si>
    <t>Euros</t>
  </si>
  <si>
    <t xml:space="preserve">Km </t>
  </si>
  <si>
    <t>Alugando 125 cc</t>
  </si>
  <si>
    <t>Comprando 125cc</t>
  </si>
  <si>
    <t>Base</t>
  </si>
  <si>
    <t>Custos de Manutencao</t>
  </si>
  <si>
    <t>Rentabilidade Comparativa</t>
  </si>
  <si>
    <t>#LIJSK1NN9 </t>
  </si>
  <si>
    <t>#LI9GMG76S </t>
  </si>
  <si>
    <t>#LIGEJ1L3M </t>
  </si>
  <si>
    <t>#LIPSQD9SM </t>
  </si>
  <si>
    <t>#LIFT7UKD1 </t>
  </si>
  <si>
    <t>#LISLRCUME </t>
  </si>
  <si>
    <t>#LIV3WP5TL </t>
  </si>
  <si>
    <t>21'</t>
  </si>
  <si>
    <t>#LIDNZ19JN </t>
  </si>
  <si>
    <t>#LICWH2RHW </t>
  </si>
  <si>
    <t>20'</t>
  </si>
  <si>
    <t>mes</t>
  </si>
  <si>
    <t>Dmes</t>
  </si>
  <si>
    <t>dia/mes</t>
  </si>
  <si>
    <t>Entregas</t>
  </si>
  <si>
    <t>Sum of Entregas</t>
  </si>
  <si>
    <t>Open Slot + Bonus rain</t>
  </si>
  <si>
    <t>Bônus de saturação</t>
  </si>
  <si>
    <t>Bônus por Saturação</t>
  </si>
  <si>
    <t>Ganho Por dia</t>
  </si>
  <si>
    <t>Por Hora</t>
  </si>
  <si>
    <t>Por Km</t>
  </si>
  <si>
    <t>Bloco de Horas</t>
  </si>
  <si>
    <t>Blocos</t>
  </si>
  <si>
    <t>Nome Mes</t>
  </si>
  <si>
    <t>Num Mes</t>
  </si>
  <si>
    <t>JAN</t>
  </si>
  <si>
    <t>FEV</t>
  </si>
  <si>
    <t>MAR</t>
  </si>
  <si>
    <t>ABR</t>
  </si>
  <si>
    <t>JUN</t>
  </si>
  <si>
    <t>JUL</t>
  </si>
  <si>
    <t>AGO</t>
  </si>
  <si>
    <t>SET</t>
  </si>
  <si>
    <t>OUT</t>
  </si>
  <si>
    <t>NOV</t>
  </si>
  <si>
    <t>DEZ</t>
  </si>
  <si>
    <t>N_MES</t>
  </si>
  <si>
    <t>#LIL47E3ZX </t>
  </si>
  <si>
    <t>#LIEL7LQAZ </t>
  </si>
  <si>
    <t>#LIB3MBFVS </t>
  </si>
  <si>
    <t>#LIFR26H9Y </t>
  </si>
  <si>
    <t>#LISVLV2VP </t>
  </si>
  <si>
    <t>#LINVPVKD1 </t>
  </si>
  <si>
    <t>#LIQHJFXR6 </t>
  </si>
  <si>
    <t>#LIQG28ALL </t>
  </si>
  <si>
    <t>#LIAAWA9K2 </t>
  </si>
  <si>
    <t>#LIB4EE11L </t>
  </si>
  <si>
    <t>#LICCMWWWZ </t>
  </si>
  <si>
    <t>#LIRTBPKJK </t>
  </si>
  <si>
    <t>Qtd de Horas</t>
  </si>
  <si>
    <t>Odom</t>
  </si>
  <si>
    <t>Data</t>
  </si>
  <si>
    <t>Odo (km)</t>
  </si>
  <si>
    <t>Fuel (litres)</t>
  </si>
  <si>
    <t>Price (optional)</t>
  </si>
  <si>
    <t>km/l (optional)</t>
  </si>
  <si>
    <t>10.4</t>
  </si>
  <si>
    <t>15.38</t>
  </si>
  <si>
    <t>9.32</t>
  </si>
  <si>
    <t>16.64</t>
  </si>
  <si>
    <t>11.7</t>
  </si>
  <si>
    <t>15.04</t>
  </si>
  <si>
    <t>9.23</t>
  </si>
  <si>
    <t>16.69</t>
  </si>
  <si>
    <t>11.16</t>
  </si>
  <si>
    <t>17.3</t>
  </si>
  <si>
    <t>7.88</t>
  </si>
  <si>
    <t>15.85</t>
  </si>
  <si>
    <t>2.04</t>
  </si>
  <si>
    <t>10.43</t>
  </si>
  <si>
    <t>15.43</t>
  </si>
  <si>
    <t>9.26</t>
  </si>
  <si>
    <t>16.37</t>
  </si>
  <si>
    <t>4.79</t>
  </si>
  <si>
    <t>6.61</t>
  </si>
  <si>
    <t>6.22</t>
  </si>
  <si>
    <t>7.92</t>
  </si>
  <si>
    <t>10.35</t>
  </si>
  <si>
    <t>Ate a Data</t>
  </si>
  <si>
    <t>Margem de Lucro</t>
  </si>
  <si>
    <t>Lucro SoHo</t>
  </si>
  <si>
    <t>Lucro PCX</t>
  </si>
  <si>
    <t>Lucro BikeEletrica</t>
  </si>
  <si>
    <t>Sum of Lucro SoHo</t>
  </si>
  <si>
    <t>Sum of Lucro PCX</t>
  </si>
  <si>
    <t>Seguro</t>
  </si>
  <si>
    <t>Imposto + Seguro</t>
  </si>
  <si>
    <t>Gas</t>
  </si>
  <si>
    <t>Manut.</t>
  </si>
  <si>
    <t>Imp.</t>
  </si>
  <si>
    <t>Parcelas</t>
  </si>
  <si>
    <t>Fat.</t>
  </si>
  <si>
    <t>Lucro</t>
  </si>
  <si>
    <t>soho</t>
  </si>
  <si>
    <t>Venda</t>
  </si>
  <si>
    <t>13 - 14</t>
  </si>
  <si>
    <t>10 - 11</t>
  </si>
  <si>
    <t>11 - 12</t>
  </si>
  <si>
    <t>14 - 15</t>
  </si>
  <si>
    <t>15 - 16</t>
  </si>
  <si>
    <t>16 - 17</t>
  </si>
  <si>
    <t>17 - 18</t>
  </si>
  <si>
    <t>18 - 19</t>
  </si>
  <si>
    <t>19 - 20</t>
  </si>
  <si>
    <t>20 - 21</t>
  </si>
  <si>
    <t>21 - 22</t>
  </si>
  <si>
    <t>22 - 23</t>
  </si>
  <si>
    <t>24 - 01</t>
  </si>
  <si>
    <t>23 - 24</t>
  </si>
  <si>
    <r>
      <t>+</t>
    </r>
    <r>
      <rPr>
        <sz val="9"/>
        <color rgb="FF6F6E6E"/>
        <rFont val="Arial"/>
        <family val="2"/>
      </rPr>
      <t xml:space="preserve"> 7,40 €     Dinheiro recolhido</t>
    </r>
  </si>
  <si>
    <r>
      <t>+</t>
    </r>
    <r>
      <rPr>
        <sz val="9"/>
        <color rgb="FF6F6E6E"/>
        <rFont val="Arial"/>
        <family val="2"/>
      </rPr>
      <t xml:space="preserve"> 20,00 €     Levantamento Multibanco</t>
    </r>
  </si>
  <si>
    <r>
      <t>-</t>
    </r>
    <r>
      <rPr>
        <sz val="9"/>
        <color rgb="FF6F6E6E"/>
        <rFont val="Arial"/>
        <family val="2"/>
      </rPr>
      <t xml:space="preserve"> 9,00 €     Desajuste do Bankable</t>
    </r>
  </si>
  <si>
    <r>
      <t>+</t>
    </r>
    <r>
      <rPr>
        <sz val="9"/>
        <color rgb="FF6F6E6E"/>
        <rFont val="Arial"/>
        <family val="2"/>
      </rPr>
      <t> 11,40 €     Dinheiro recolhido </t>
    </r>
  </si>
  <si>
    <r>
      <t>+</t>
    </r>
    <r>
      <rPr>
        <sz val="9"/>
        <color rgb="FF6F6E6E"/>
        <rFont val="Arial"/>
        <family val="2"/>
      </rPr>
      <t> 20,00 €     Levantamento Multibanco </t>
    </r>
  </si>
  <si>
    <r>
      <t>-</t>
    </r>
    <r>
      <rPr>
        <sz val="9"/>
        <color rgb="FF6F6E6E"/>
        <rFont val="Arial"/>
        <family val="2"/>
      </rPr>
      <t> 14,40 €     Desajuste do Bankable </t>
    </r>
  </si>
  <si>
    <r>
      <t>+</t>
    </r>
    <r>
      <rPr>
        <sz val="9"/>
        <color rgb="FF6F6E6E"/>
        <rFont val="Arial"/>
        <family val="2"/>
      </rPr>
      <t> 10,00 €     Levantamento Multibanco </t>
    </r>
  </si>
  <si>
    <r>
      <t>-</t>
    </r>
    <r>
      <rPr>
        <sz val="9"/>
        <color rgb="FF6F6E6E"/>
        <rFont val="Arial"/>
        <family val="2"/>
      </rPr>
      <t> 7,75 €     Desajuste do Bankable </t>
    </r>
  </si>
  <si>
    <t>#LIT81SXWM </t>
  </si>
  <si>
    <t>#LIART713T </t>
  </si>
  <si>
    <t>#LIJ5DHYF4 </t>
  </si>
  <si>
    <t>#LIACWA1ZL </t>
  </si>
  <si>
    <t>#LI2XL9EGD </t>
  </si>
  <si>
    <t>#LI2VF1TTS </t>
  </si>
  <si>
    <t>#LI5DDAW9J </t>
  </si>
  <si>
    <t>#LIAGR4DUE </t>
  </si>
  <si>
    <t>#LISJHTJKW </t>
  </si>
  <si>
    <r>
      <t>+</t>
    </r>
    <r>
      <rPr>
        <sz val="8"/>
        <color rgb="FF6F6E6E"/>
        <rFont val="Arial"/>
        <family val="2"/>
      </rPr>
      <t> 10,00 €     Levantamento Multibanco </t>
    </r>
  </si>
  <si>
    <r>
      <t>-</t>
    </r>
    <r>
      <rPr>
        <sz val="8"/>
        <color rgb="FF6F6E6E"/>
        <rFont val="Arial"/>
        <family val="2"/>
      </rPr>
      <t> 4,50 €     Desajuste do Bankable </t>
    </r>
  </si>
  <si>
    <t>BAD_WEATHER</t>
  </si>
  <si>
    <r>
      <t>+</t>
    </r>
    <r>
      <rPr>
        <sz val="8"/>
        <color rgb="FF6F6E6E"/>
        <rFont val="Arial"/>
        <family val="2"/>
      </rPr>
      <t> 20,00 €     Levantamento Multibanco </t>
    </r>
  </si>
  <si>
    <r>
      <t>-</t>
    </r>
    <r>
      <rPr>
        <sz val="8"/>
        <color rgb="FF6F6E6E"/>
        <rFont val="Arial"/>
        <family val="2"/>
      </rPr>
      <t> 14,49 €     Desajuste do Bankable </t>
    </r>
  </si>
  <si>
    <t>WaterFall</t>
  </si>
  <si>
    <t>Soho</t>
  </si>
  <si>
    <t>Tweet</t>
  </si>
  <si>
    <t>tweet</t>
  </si>
  <si>
    <t>Column Labels</t>
  </si>
  <si>
    <t>#LIGAE7B2R </t>
  </si>
  <si>
    <t>#LIAFFLYLA </t>
  </si>
  <si>
    <t>#LIPVZX9VQ </t>
  </si>
  <si>
    <t>#LIP4LJKF6 </t>
  </si>
  <si>
    <r>
      <t>-</t>
    </r>
    <r>
      <rPr>
        <sz val="8"/>
        <color rgb="FF6F6E6E"/>
        <rFont val="Arial"/>
        <family val="2"/>
      </rPr>
      <t> 13,80 €     Desajuste do Bankable </t>
    </r>
  </si>
  <si>
    <t>#LI2LKLXBA </t>
  </si>
  <si>
    <t>#LIRVHA7W1 </t>
  </si>
  <si>
    <t>#LIZSURSAP </t>
  </si>
  <si>
    <t>#LIW6MJNPB </t>
  </si>
  <si>
    <t>#LIEWNZE5L </t>
  </si>
  <si>
    <t>#LI11LRZL3 </t>
  </si>
  <si>
    <t>#LIFXU96EG </t>
  </si>
  <si>
    <t>#LIQL1JYJZ </t>
  </si>
  <si>
    <t>Liquido</t>
  </si>
  <si>
    <t>Gasto Gas</t>
  </si>
  <si>
    <t>Horas Rodando</t>
  </si>
  <si>
    <t>Total de Horas</t>
  </si>
  <si>
    <t>Horas Stand-By</t>
  </si>
  <si>
    <t>#LIWGSXK3N </t>
  </si>
  <si>
    <t>#LIVVV6G5V </t>
  </si>
  <si>
    <t>RUSH</t>
  </si>
  <si>
    <t>#LIMHRMT2Y </t>
  </si>
  <si>
    <t>#LILTKETTX </t>
  </si>
  <si>
    <t>#LISTUETWJ </t>
  </si>
  <si>
    <t>0'</t>
  </si>
  <si>
    <t>#LILDLMHSL </t>
  </si>
  <si>
    <t>#LIDJ2ATFF </t>
  </si>
  <si>
    <t>16'</t>
  </si>
  <si>
    <t>#LI6UWWQAP </t>
  </si>
  <si>
    <t>Dias entre Fueling</t>
  </si>
  <si>
    <t>KM Media p/ Dia</t>
  </si>
  <si>
    <t>Km Acumalada</t>
  </si>
  <si>
    <t>dia da semana</t>
  </si>
  <si>
    <t>seg</t>
  </si>
  <si>
    <t>ter</t>
  </si>
  <si>
    <t>qua</t>
  </si>
  <si>
    <t>qui</t>
  </si>
  <si>
    <t>sex</t>
  </si>
  <si>
    <t>sáb</t>
  </si>
  <si>
    <t>dom</t>
  </si>
  <si>
    <t>dia semana</t>
  </si>
  <si>
    <t>12 - 13</t>
  </si>
  <si>
    <t>#LI1LFUAUJ </t>
  </si>
  <si>
    <t>#LI28XH6J1 </t>
  </si>
  <si>
    <t>#LIHJWWDRK </t>
  </si>
  <si>
    <t>#LILYXFPXW </t>
  </si>
  <si>
    <t>#LIGGEUDV3 </t>
  </si>
  <si>
    <t>#LI5NCRWZT </t>
  </si>
  <si>
    <t>#LIL2LC8WQ </t>
  </si>
  <si>
    <t>#LIEV1PAUV </t>
  </si>
  <si>
    <t>#LIA4FV9AQ </t>
  </si>
  <si>
    <t>#LIUDVJDU4 </t>
  </si>
  <si>
    <t>#LIBNSL1MN </t>
  </si>
  <si>
    <t>#LIVTHPDHY </t>
  </si>
  <si>
    <t>#LIW8MG1AF </t>
  </si>
  <si>
    <t>#LIJJ4HGLV </t>
  </si>
  <si>
    <t>#LIUAHR5F1 </t>
  </si>
  <si>
    <t>#LIVFTHRQT </t>
  </si>
  <si>
    <t>#LILK1C1J4 </t>
  </si>
  <si>
    <r>
      <t>+</t>
    </r>
    <r>
      <rPr>
        <sz val="8"/>
        <color rgb="FF6F6E6E"/>
        <rFont val="Arial"/>
        <family val="2"/>
      </rPr>
      <t> 30,00 €     Levantamento Multibanco </t>
    </r>
  </si>
  <si>
    <r>
      <t>-</t>
    </r>
    <r>
      <rPr>
        <sz val="8"/>
        <color rgb="FF6F6E6E"/>
        <rFont val="Arial"/>
        <family val="2"/>
      </rPr>
      <t> 22,55 €     Desajuste do Bankable </t>
    </r>
  </si>
  <si>
    <t>#LIR6CCDCZ </t>
  </si>
  <si>
    <t>#LI9TBUANM </t>
  </si>
  <si>
    <t>#LI1ZBXKSU </t>
  </si>
  <si>
    <r>
      <t>-</t>
    </r>
    <r>
      <rPr>
        <sz val="8"/>
        <color rgb="FF6F6E6E"/>
        <rFont val="Arial"/>
        <family val="2"/>
      </rPr>
      <t> 9,20 €     Desajuste do Bankable </t>
    </r>
  </si>
  <si>
    <t>#LIVKKH2GC </t>
  </si>
  <si>
    <t>#LISBD2LS1 </t>
  </si>
  <si>
    <t>#LICH6JS1G </t>
  </si>
  <si>
    <t>Horas por dia</t>
  </si>
  <si>
    <t>trabalhando</t>
  </si>
  <si>
    <t>Dia Inicio</t>
  </si>
  <si>
    <t>Data Atual</t>
  </si>
  <si>
    <t>Dias Trabalhando</t>
  </si>
  <si>
    <t>Dias de Folga</t>
  </si>
  <si>
    <t>Dias Da Semana</t>
  </si>
  <si>
    <t>#LIJP3CKZP </t>
  </si>
  <si>
    <t>#LIUYCYB3Y </t>
  </si>
  <si>
    <t>#LIWVBTKSQ </t>
  </si>
  <si>
    <t>#LIRZ1U33E </t>
  </si>
  <si>
    <t>#LITKYA1WA </t>
  </si>
  <si>
    <t>Total de horas</t>
  </si>
  <si>
    <t>Euro/h Liquido</t>
  </si>
  <si>
    <t>Total de Entregas</t>
  </si>
  <si>
    <t>Entregas p/ dia</t>
  </si>
  <si>
    <t>#LIVFRMREH </t>
  </si>
  <si>
    <t>#LI1EE6BDY </t>
  </si>
  <si>
    <t>#LIFSJE8JA </t>
  </si>
  <si>
    <t>#LIGA7C6AH </t>
  </si>
  <si>
    <t>#LIWLMBDMZ </t>
  </si>
  <si>
    <t>#LI2NSU1XL </t>
  </si>
  <si>
    <t>#LILL3CYAX </t>
  </si>
  <si>
    <t>#LIPRQ97NR </t>
  </si>
  <si>
    <t>#LIKJBFDY1 </t>
  </si>
  <si>
    <t>#LILQYWHPP </t>
  </si>
  <si>
    <t>#LIBU2YDEF </t>
  </si>
  <si>
    <t xml:space="preserve"> </t>
  </si>
  <si>
    <t>Km Nao Paga</t>
  </si>
  <si>
    <t>Driving Deviance Factor</t>
  </si>
  <si>
    <t>#LI1LDFBRE </t>
  </si>
  <si>
    <t>#LIYRVLZUF </t>
  </si>
  <si>
    <t>#LIXHTWQVZ </t>
  </si>
  <si>
    <t>#LISJZXNNK </t>
  </si>
  <si>
    <t>#LIA1Z7Q2L </t>
  </si>
  <si>
    <t>#LIT9YFULG </t>
  </si>
  <si>
    <t>#LIM1M171B </t>
  </si>
  <si>
    <t>#LIRLMPAFB </t>
  </si>
  <si>
    <t>#LIQZXV4DU </t>
  </si>
  <si>
    <t>#LI1369WZW </t>
  </si>
  <si>
    <t>#LIDVTT61Y </t>
  </si>
  <si>
    <t>#LISZ1PJGS </t>
  </si>
  <si>
    <t>#LIJX1LUBX </t>
  </si>
  <si>
    <r>
      <t>-</t>
    </r>
    <r>
      <rPr>
        <sz val="8"/>
        <color rgb="FF6F6E6E"/>
        <rFont val="Arial"/>
        <family val="2"/>
      </rPr>
      <t> 4,77 €     Desajuste do Bankable </t>
    </r>
  </si>
  <si>
    <t>#LIJ1RSW4X </t>
  </si>
  <si>
    <r>
      <t>-</t>
    </r>
    <r>
      <rPr>
        <sz val="8"/>
        <color rgb="FF6F6E6E"/>
        <rFont val="Arial"/>
        <family val="2"/>
      </rPr>
      <t> 20,43 €     Desajuste do Bankable </t>
    </r>
  </si>
  <si>
    <t>#LINFHGRHR </t>
  </si>
  <si>
    <t>#LI1TRCDNR </t>
  </si>
  <si>
    <r>
      <t>+</t>
    </r>
    <r>
      <rPr>
        <sz val="8"/>
        <color rgb="FF6F6E6E"/>
        <rFont val="Arial"/>
        <family val="2"/>
      </rPr>
      <t> 50,00 €     Levantamento Multibanco </t>
    </r>
  </si>
  <si>
    <r>
      <t>-</t>
    </r>
    <r>
      <rPr>
        <sz val="8"/>
        <color rgb="FF6F6E6E"/>
        <rFont val="Arial"/>
        <family val="2"/>
      </rPr>
      <t> 45,00 €     Desajuste do Bankable </t>
    </r>
  </si>
  <si>
    <t>#LIVBUHBTE </t>
  </si>
  <si>
    <t>#LI1WTMGAE </t>
  </si>
  <si>
    <t>#LIBCCVURP </t>
  </si>
  <si>
    <t>#LIRLNLFEC </t>
  </si>
  <si>
    <t>#LIYEMWUGX </t>
  </si>
  <si>
    <t>#LIGPNJ2LK </t>
  </si>
  <si>
    <t>#LIE1PML1X </t>
  </si>
  <si>
    <t>#LIR8GYC3F </t>
  </si>
  <si>
    <t>#LI4DPSDXD </t>
  </si>
  <si>
    <t>#LIJHKCDZC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</si>
</sst>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-&quot;R$&quot;\ * #,##0.00_-;\-&quot;R$&quot;\ * #,##0.00_-;_-&quot;R$&quot;\ * &quot;-&quot;??_-;_-@_-"/>
    <numFmt numFmtId="165" formatCode="#,##0.00&quot; &quot;[$€];[Red]&quot;-&quot;#,##0.00&quot; &quot;[$€]"/>
    <numFmt numFmtId="166" formatCode="hh&quot;:&quot;mm"/>
    <numFmt numFmtId="167" formatCode="[h]&quot;:&quot;mm&quot;:&quot;ss;@"/>
    <numFmt numFmtId="168" formatCode="&quot; &quot;#,##0.00&quot;   &quot;;&quot;-&quot;#,##0.00&quot;   &quot;;&quot; -&quot;00&quot;   &quot;;&quot; &quot;@&quot; &quot;"/>
    <numFmt numFmtId="169" formatCode="0.0"/>
    <numFmt numFmtId="170" formatCode="#,##0.00\ [$€-1];[Red]\-#,##0.00\ [$€-1]"/>
    <numFmt numFmtId="171" formatCode="[h]:mm:ss;@"/>
    <numFmt numFmtId="172" formatCode="0.0%"/>
    <numFmt numFmtId="173" formatCode="d/m/yy;@"/>
    <numFmt numFmtId="174" formatCode="_-[$€-2]\ * #,##0.00_-;\-[$€-2]\ * #,##0.00_-;_-[$€-2]\ * &quot;-&quot;??_-;_-@_-"/>
    <numFmt numFmtId="175" formatCode="_-[$€-2]\ * #,##0_-;\-[$€-2]\ * #,##0_-;_-[$€-2]\ * &quot;-&quot;??_-;_-@_-"/>
    <numFmt numFmtId="176" formatCode="[$-F800]dddd\,\ mmmm\ dd\,\ yyyy"/>
    <numFmt numFmtId="177" formatCode="0.000"/>
  </numFmts>
  <fonts count="28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sz val="10"/>
      <color rgb="FF000000"/>
      <name val="Arial"/>
      <family val="2"/>
    </font>
    <font>
      <b/>
      <sz val="9"/>
      <color rgb="FFFFFFFF"/>
      <name val="Arial"/>
      <family val="2"/>
    </font>
    <font>
      <sz val="9"/>
      <color rgb="FF6F6E6E"/>
      <name val="Arial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</font>
    <font>
      <b/>
      <sz val="9"/>
      <color rgb="FF6F6E6E"/>
      <name val="Arial"/>
      <family val="2"/>
    </font>
    <font>
      <b/>
      <sz val="9"/>
      <color rgb="FF000000"/>
      <name val="Arial"/>
      <family val="2"/>
    </font>
    <font>
      <sz val="9"/>
      <color rgb="FF006100"/>
      <name val="Calibri"/>
      <family val="2"/>
      <scheme val="minor"/>
    </font>
    <font>
      <sz val="9"/>
      <color rgb="FF000000"/>
      <name val="Arial"/>
      <family val="2"/>
    </font>
    <font>
      <sz val="9"/>
      <color rgb="FF9C0006"/>
      <name val="Calibri"/>
      <family val="2"/>
      <scheme val="minor"/>
    </font>
    <font>
      <b/>
      <sz val="9"/>
      <color rgb="FF000000"/>
      <name val="Calibri"/>
      <family val="2"/>
    </font>
    <font>
      <b/>
      <sz val="9"/>
      <color rgb="FFFA7D00"/>
      <name val="Calibri"/>
      <family val="2"/>
      <scheme val="minor"/>
    </font>
    <font>
      <sz val="9"/>
      <color rgb="FF222222"/>
      <name val="Arial"/>
      <family val="2"/>
    </font>
    <font>
      <b/>
      <sz val="8"/>
      <color rgb="FF6F6E6E"/>
      <name val="Arial"/>
      <family val="2"/>
    </font>
    <font>
      <b/>
      <sz val="8"/>
      <color rgb="FF000000"/>
      <name val="Arial"/>
      <family val="2"/>
    </font>
    <font>
      <sz val="8"/>
      <color rgb="FF6F6E6E"/>
      <name val="Arial"/>
      <family val="2"/>
    </font>
    <font>
      <sz val="7.5"/>
      <color rgb="FF6F6E6E"/>
      <name val="Arial"/>
      <family val="2"/>
    </font>
    <font>
      <sz val="11"/>
      <color rgb="FF9C5700"/>
      <name val="Calibri"/>
      <family val="2"/>
      <scheme val="minor"/>
    </font>
    <font>
      <sz val="9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name val="Calibri"/>
      <family val="2"/>
    </font>
    <font>
      <sz val="8"/>
      <color theme="0" tint="-0.14999847407452621"/>
      <name val="Calibri"/>
      <family val="2"/>
    </font>
    <font>
      <sz val="8"/>
      <color rgb="FF000000"/>
      <name val="Arial"/>
      <family val="2"/>
    </font>
    <font>
      <b/>
      <sz val="8"/>
      <color theme="0" tint="-0.1499984740745262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353535"/>
        <bgColor rgb="FF353535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rgb="FF222222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6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11" borderId="17" applyNumberFormat="0" applyAlignment="0" applyProtection="0"/>
    <xf numFmtId="164" fontId="1" fillId="0" borderId="0" applyFont="0" applyFill="0" applyBorder="0" applyAlignment="0" applyProtection="0"/>
    <xf numFmtId="0" fontId="21" fillId="13" borderId="0" applyNumberFormat="0" applyBorder="0" applyAlignment="0" applyProtection="0"/>
  </cellStyleXfs>
  <cellXfs count="173">
    <xf numFmtId="0" fontId="0" fillId="0" borderId="0" xfId="0"/>
    <xf numFmtId="0" fontId="0" fillId="12" borderId="0" xfId="0" applyFill="1"/>
    <xf numFmtId="2" fontId="0" fillId="12" borderId="0" xfId="0" applyNumberFormat="1" applyFill="1"/>
    <xf numFmtId="0" fontId="4" fillId="0" borderId="18" xfId="0" applyFont="1" applyBorder="1" applyAlignment="1">
      <alignment wrapText="1"/>
    </xf>
    <xf numFmtId="14" fontId="4" fillId="0" borderId="18" xfId="0" applyNumberFormat="1" applyFont="1" applyBorder="1" applyAlignment="1">
      <alignment horizontal="right" wrapText="1"/>
    </xf>
    <xf numFmtId="0" fontId="4" fillId="0" borderId="18" xfId="0" applyFont="1" applyBorder="1" applyAlignment="1">
      <alignment horizontal="right" wrapText="1"/>
    </xf>
    <xf numFmtId="0" fontId="5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3" fontId="5" fillId="2" borderId="0" xfId="0" applyNumberFormat="1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pivotButton="1" applyFont="1" applyAlignment="1">
      <alignment horizontal="center"/>
    </xf>
    <xf numFmtId="0" fontId="8" fillId="8" borderId="5" xfId="0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7" fillId="0" borderId="0" xfId="0" pivotButton="1" applyFont="1" applyAlignment="1">
      <alignment horizontal="left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66" fontId="6" fillId="3" borderId="0" xfId="0" applyNumberFormat="1" applyFont="1" applyFill="1" applyAlignment="1">
      <alignment horizontal="center" vertical="center"/>
    </xf>
    <xf numFmtId="165" fontId="6" fillId="3" borderId="0" xfId="0" applyNumberFormat="1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73" fontId="6" fillId="3" borderId="0" xfId="0" applyNumberFormat="1" applyFont="1" applyFill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/>
    </xf>
    <xf numFmtId="168" fontId="7" fillId="0" borderId="0" xfId="1" applyFont="1" applyAlignment="1">
      <alignment horizontal="left"/>
    </xf>
    <xf numFmtId="3" fontId="7" fillId="0" borderId="0" xfId="0" applyNumberFormat="1" applyFont="1" applyAlignment="1">
      <alignment horizontal="center"/>
    </xf>
    <xf numFmtId="171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11" fillId="9" borderId="0" xfId="0" applyFont="1" applyFill="1" applyAlignment="1">
      <alignment horizontal="center"/>
    </xf>
    <xf numFmtId="10" fontId="7" fillId="0" borderId="0" xfId="2" applyNumberFormat="1" applyFont="1" applyAlignment="1">
      <alignment horizontal="center"/>
    </xf>
    <xf numFmtId="10" fontId="7" fillId="0" borderId="0" xfId="0" applyNumberFormat="1" applyFont="1"/>
    <xf numFmtId="0" fontId="7" fillId="0" borderId="0" xfId="0" applyFont="1" applyAlignment="1">
      <alignment horizontal="left"/>
    </xf>
    <xf numFmtId="0" fontId="7" fillId="3" borderId="1" xfId="0" applyFont="1" applyFill="1" applyBorder="1"/>
    <xf numFmtId="0" fontId="7" fillId="3" borderId="0" xfId="0" applyFont="1" applyFill="1"/>
    <xf numFmtId="167" fontId="7" fillId="0" borderId="0" xfId="0" applyNumberFormat="1" applyFont="1"/>
    <xf numFmtId="2" fontId="7" fillId="0" borderId="0" xfId="1" applyNumberFormat="1" applyFont="1" applyAlignment="1">
      <alignment horizontal="center"/>
    </xf>
    <xf numFmtId="0" fontId="12" fillId="3" borderId="2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7" fillId="5" borderId="0" xfId="0" applyFont="1" applyFill="1"/>
    <xf numFmtId="2" fontId="7" fillId="5" borderId="0" xfId="0" applyNumberFormat="1" applyFont="1" applyFill="1" applyAlignment="1">
      <alignment horizontal="center"/>
    </xf>
    <xf numFmtId="2" fontId="7" fillId="0" borderId="0" xfId="0" applyNumberFormat="1" applyFont="1"/>
    <xf numFmtId="0" fontId="10" fillId="3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165" fontId="6" fillId="3" borderId="3" xfId="0" applyNumberFormat="1" applyFont="1" applyFill="1" applyBorder="1" applyAlignment="1">
      <alignment horizontal="center" vertical="center"/>
    </xf>
    <xf numFmtId="165" fontId="10" fillId="3" borderId="3" xfId="0" applyNumberFormat="1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/>
    </xf>
    <xf numFmtId="169" fontId="7" fillId="0" borderId="0" xfId="0" applyNumberFormat="1" applyFont="1" applyAlignment="1">
      <alignment horizontal="center"/>
    </xf>
    <xf numFmtId="0" fontId="14" fillId="5" borderId="0" xfId="0" applyFont="1" applyFill="1" applyAlignment="1">
      <alignment horizontal="center"/>
    </xf>
    <xf numFmtId="0" fontId="14" fillId="0" borderId="0" xfId="0" applyFont="1"/>
    <xf numFmtId="0" fontId="14" fillId="0" borderId="6" xfId="0" applyFont="1" applyBorder="1"/>
    <xf numFmtId="2" fontId="7" fillId="0" borderId="6" xfId="0" applyNumberFormat="1" applyFont="1" applyBorder="1" applyAlignment="1">
      <alignment horizontal="center"/>
    </xf>
    <xf numFmtId="0" fontId="15" fillId="11" borderId="17" xfId="3" applyFont="1" applyAlignment="1"/>
    <xf numFmtId="9" fontId="15" fillId="11" borderId="17" xfId="3" applyNumberFormat="1" applyFont="1" applyAlignment="1">
      <alignment horizontal="center"/>
    </xf>
    <xf numFmtId="0" fontId="6" fillId="4" borderId="0" xfId="0" applyFont="1" applyFill="1" applyAlignment="1">
      <alignment vertical="center"/>
    </xf>
    <xf numFmtId="20" fontId="6" fillId="4" borderId="0" xfId="0" applyNumberFormat="1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165" fontId="9" fillId="4" borderId="0" xfId="0" applyNumberFormat="1" applyFont="1" applyFill="1" applyAlignment="1">
      <alignment horizontal="center" vertical="center"/>
    </xf>
    <xf numFmtId="0" fontId="7" fillId="0" borderId="7" xfId="0" applyFont="1" applyBorder="1" applyAlignment="1">
      <alignment vertical="center"/>
    </xf>
    <xf numFmtId="172" fontId="7" fillId="0" borderId="8" xfId="2" applyNumberFormat="1" applyFont="1" applyBorder="1" applyAlignment="1">
      <alignment horizontal="center"/>
    </xf>
    <xf numFmtId="172" fontId="7" fillId="5" borderId="8" xfId="2" applyNumberFormat="1" applyFont="1" applyFill="1" applyBorder="1" applyAlignment="1">
      <alignment horizontal="center"/>
    </xf>
    <xf numFmtId="172" fontId="7" fillId="0" borderId="9" xfId="2" applyNumberFormat="1" applyFont="1" applyBorder="1" applyAlignment="1">
      <alignment horizontal="center"/>
    </xf>
    <xf numFmtId="172" fontId="7" fillId="0" borderId="0" xfId="2" applyNumberFormat="1" applyFont="1" applyBorder="1" applyAlignment="1">
      <alignment horizontal="center"/>
    </xf>
    <xf numFmtId="0" fontId="7" fillId="0" borderId="10" xfId="0" applyFont="1" applyBorder="1" applyAlignment="1">
      <alignment vertical="center"/>
    </xf>
    <xf numFmtId="172" fontId="7" fillId="5" borderId="0" xfId="2" applyNumberFormat="1" applyFont="1" applyFill="1" applyBorder="1" applyAlignment="1">
      <alignment horizontal="center"/>
    </xf>
    <xf numFmtId="172" fontId="7" fillId="0" borderId="11" xfId="2" applyNumberFormat="1" applyFont="1" applyBorder="1" applyAlignment="1">
      <alignment horizontal="center"/>
    </xf>
    <xf numFmtId="0" fontId="7" fillId="0" borderId="12" xfId="0" applyFont="1" applyBorder="1" applyAlignment="1">
      <alignment vertical="center"/>
    </xf>
    <xf numFmtId="172" fontId="7" fillId="0" borderId="13" xfId="2" applyNumberFormat="1" applyFont="1" applyBorder="1" applyAlignment="1">
      <alignment horizontal="center"/>
    </xf>
    <xf numFmtId="172" fontId="7" fillId="5" borderId="14" xfId="2" applyNumberFormat="1" applyFont="1" applyFill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7" fillId="6" borderId="0" xfId="0" applyFont="1" applyFill="1"/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20" fontId="6" fillId="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0" fontId="6" fillId="6" borderId="0" xfId="0" applyNumberFormat="1" applyFont="1" applyFill="1" applyAlignment="1">
      <alignment horizontal="center" vertical="center"/>
    </xf>
    <xf numFmtId="170" fontId="10" fillId="6" borderId="0" xfId="0" applyNumberFormat="1" applyFont="1" applyFill="1" applyAlignment="1">
      <alignment horizontal="center" vertical="center"/>
    </xf>
    <xf numFmtId="0" fontId="7" fillId="6" borderId="4" xfId="0" applyFont="1" applyFill="1" applyBorder="1"/>
    <xf numFmtId="0" fontId="16" fillId="6" borderId="2" xfId="0" applyFont="1" applyFill="1" applyBorder="1" applyAlignment="1">
      <alignment vertical="center"/>
    </xf>
    <xf numFmtId="0" fontId="10" fillId="6" borderId="3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170" fontId="6" fillId="6" borderId="3" xfId="0" applyNumberFormat="1" applyFont="1" applyFill="1" applyBorder="1" applyAlignment="1">
      <alignment horizontal="center" vertical="center"/>
    </xf>
    <xf numFmtId="170" fontId="10" fillId="6" borderId="3" xfId="0" applyNumberFormat="1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6" fillId="7" borderId="0" xfId="0" applyFont="1" applyFill="1" applyAlignment="1">
      <alignment vertical="center"/>
    </xf>
    <xf numFmtId="20" fontId="6" fillId="7" borderId="0" xfId="0" applyNumberFormat="1" applyFont="1" applyFill="1" applyAlignment="1">
      <alignment vertical="center"/>
    </xf>
    <xf numFmtId="170" fontId="6" fillId="7" borderId="0" xfId="0" applyNumberFormat="1" applyFont="1" applyFill="1" applyAlignment="1">
      <alignment horizontal="center" vertical="center"/>
    </xf>
    <xf numFmtId="170" fontId="9" fillId="7" borderId="0" xfId="0" applyNumberFormat="1" applyFont="1" applyFill="1" applyAlignment="1">
      <alignment horizontal="center" vertical="center"/>
    </xf>
    <xf numFmtId="20" fontId="6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70" fontId="10" fillId="0" borderId="0" xfId="0" applyNumberFormat="1" applyFont="1" applyAlignment="1">
      <alignment horizontal="center" vertical="center"/>
    </xf>
    <xf numFmtId="0" fontId="7" fillId="0" borderId="1" xfId="0" applyFont="1" applyBorder="1"/>
    <xf numFmtId="171" fontId="7" fillId="0" borderId="0" xfId="0" applyNumberFormat="1" applyFont="1"/>
    <xf numFmtId="173" fontId="7" fillId="0" borderId="0" xfId="0" applyNumberFormat="1" applyFont="1"/>
    <xf numFmtId="174" fontId="7" fillId="0" borderId="0" xfId="0" applyNumberFormat="1" applyFont="1"/>
    <xf numFmtId="0" fontId="7" fillId="0" borderId="19" xfId="0" applyFont="1" applyBorder="1"/>
    <xf numFmtId="0" fontId="14" fillId="5" borderId="19" xfId="0" applyFont="1" applyFill="1" applyBorder="1"/>
    <xf numFmtId="9" fontId="7" fillId="0" borderId="19" xfId="2" applyFont="1" applyBorder="1" applyAlignment="1"/>
    <xf numFmtId="2" fontId="7" fillId="0" borderId="19" xfId="0" applyNumberFormat="1" applyFont="1" applyBorder="1"/>
    <xf numFmtId="10" fontId="7" fillId="0" borderId="19" xfId="2" applyNumberFormat="1" applyFont="1" applyBorder="1" applyAlignment="1"/>
    <xf numFmtId="174" fontId="7" fillId="0" borderId="0" xfId="0" applyNumberFormat="1" applyFont="1" applyAlignment="1">
      <alignment horizontal="center"/>
    </xf>
    <xf numFmtId="175" fontId="7" fillId="0" borderId="0" xfId="0" applyNumberFormat="1" applyFont="1" applyAlignment="1">
      <alignment horizontal="center"/>
    </xf>
    <xf numFmtId="174" fontId="7" fillId="0" borderId="0" xfId="4" applyNumberFormat="1" applyFont="1" applyAlignment="1">
      <alignment horizontal="center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2" fillId="14" borderId="0" xfId="0" applyFont="1" applyFill="1" applyAlignment="1">
      <alignment horizontal="center"/>
    </xf>
    <xf numFmtId="2" fontId="7" fillId="0" borderId="0" xfId="0" applyNumberFormat="1" applyFont="1" applyAlignment="1">
      <alignment horizontal="left"/>
    </xf>
    <xf numFmtId="1" fontId="21" fillId="13" borderId="0" xfId="5" applyNumberFormat="1" applyAlignment="1">
      <alignment horizontal="center"/>
    </xf>
    <xf numFmtId="14" fontId="7" fillId="0" borderId="0" xfId="0" applyNumberFormat="1" applyFont="1" applyAlignment="1">
      <alignment horizontal="center"/>
    </xf>
    <xf numFmtId="176" fontId="7" fillId="0" borderId="0" xfId="0" applyNumberFormat="1" applyFont="1" applyAlignment="1">
      <alignment horizontal="center"/>
    </xf>
    <xf numFmtId="14" fontId="0" fillId="0" borderId="0" xfId="0" applyNumberFormat="1"/>
    <xf numFmtId="0" fontId="22" fillId="15" borderId="0" xfId="0" applyFont="1" applyFill="1" applyAlignment="1">
      <alignment horizontal="center"/>
    </xf>
    <xf numFmtId="0" fontId="23" fillId="9" borderId="0" xfId="0" applyFont="1" applyFill="1" applyAlignment="1">
      <alignment horizontal="center"/>
    </xf>
    <xf numFmtId="3" fontId="7" fillId="0" borderId="0" xfId="0" applyNumberFormat="1" applyFont="1" applyAlignment="1">
      <alignment horizontal="center" vertical="center"/>
    </xf>
    <xf numFmtId="9" fontId="7" fillId="0" borderId="0" xfId="0" applyNumberFormat="1" applyFont="1"/>
    <xf numFmtId="177" fontId="7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24" fillId="16" borderId="0" xfId="0" applyFont="1" applyFill="1" applyAlignment="1">
      <alignment horizontal="center"/>
    </xf>
    <xf numFmtId="3" fontId="7" fillId="16" borderId="0" xfId="0" applyNumberFormat="1" applyFont="1" applyFill="1" applyAlignment="1">
      <alignment horizontal="center" vertical="center"/>
    </xf>
    <xf numFmtId="0" fontId="25" fillId="12" borderId="0" xfId="0" applyFont="1" applyFill="1" applyAlignment="1">
      <alignment horizontal="center"/>
    </xf>
    <xf numFmtId="0" fontId="7" fillId="0" borderId="9" xfId="0" applyFont="1" applyBorder="1" applyAlignment="1">
      <alignment horizontal="center"/>
    </xf>
    <xf numFmtId="0" fontId="14" fillId="5" borderId="20" xfId="0" applyFont="1" applyFill="1" applyBorder="1" applyAlignment="1">
      <alignment horizontal="center"/>
    </xf>
    <xf numFmtId="3" fontId="23" fillId="9" borderId="0" xfId="0" applyNumberFormat="1" applyFont="1" applyFill="1" applyAlignment="1">
      <alignment horizontal="center" vertical="center"/>
    </xf>
    <xf numFmtId="20" fontId="19" fillId="0" borderId="0" xfId="0" applyNumberFormat="1" applyFont="1" applyAlignment="1">
      <alignment horizontal="center" vertical="center" wrapText="1"/>
    </xf>
    <xf numFmtId="0" fontId="0" fillId="17" borderId="0" xfId="0" applyFill="1" applyAlignment="1">
      <alignment horizontal="center"/>
    </xf>
    <xf numFmtId="0" fontId="7" fillId="17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7" fillId="18" borderId="0" xfId="0" applyFont="1" applyFill="1" applyAlignment="1">
      <alignment horizontal="center"/>
    </xf>
    <xf numFmtId="2" fontId="7" fillId="16" borderId="0" xfId="0" applyNumberFormat="1" applyFont="1" applyFill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2" fontId="23" fillId="9" borderId="0" xfId="0" applyNumberFormat="1" applyFont="1" applyFill="1" applyAlignment="1">
      <alignment horizontal="center" vertical="center"/>
    </xf>
    <xf numFmtId="2" fontId="7" fillId="0" borderId="7" xfId="0" applyNumberFormat="1" applyFont="1" applyBorder="1" applyAlignment="1">
      <alignment horizontal="center"/>
    </xf>
    <xf numFmtId="169" fontId="25" fillId="12" borderId="0" xfId="0" applyNumberFormat="1" applyFont="1" applyFill="1" applyAlignment="1">
      <alignment horizontal="center"/>
    </xf>
    <xf numFmtId="1" fontId="25" fillId="12" borderId="0" xfId="0" applyNumberFormat="1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174" fontId="0" fillId="0" borderId="0" xfId="0" applyNumberFormat="1"/>
    <xf numFmtId="0" fontId="17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70" fontId="19" fillId="0" borderId="0" xfId="0" applyNumberFormat="1" applyFont="1" applyAlignment="1">
      <alignment horizontal="center" vertical="center" wrapText="1"/>
    </xf>
    <xf numFmtId="3" fontId="0" fillId="0" borderId="0" xfId="0" applyNumberFormat="1"/>
    <xf numFmtId="1" fontId="7" fillId="0" borderId="7" xfId="0" applyNumberFormat="1" applyFont="1" applyBorder="1" applyAlignment="1">
      <alignment horizontal="center"/>
    </xf>
    <xf numFmtId="3" fontId="7" fillId="17" borderId="0" xfId="0" applyNumberFormat="1" applyFont="1" applyFill="1" applyAlignment="1">
      <alignment horizontal="center"/>
    </xf>
    <xf numFmtId="0" fontId="0" fillId="19" borderId="0" xfId="0" applyFill="1"/>
    <xf numFmtId="0" fontId="7" fillId="19" borderId="0" xfId="0" applyFont="1" applyFill="1" applyAlignment="1">
      <alignment horizontal="center"/>
    </xf>
    <xf numFmtId="14" fontId="7" fillId="19" borderId="0" xfId="0" applyNumberFormat="1" applyFont="1" applyFill="1" applyAlignment="1">
      <alignment horizontal="center"/>
    </xf>
    <xf numFmtId="0" fontId="7" fillId="19" borderId="0" xfId="0" applyFont="1" applyFill="1"/>
    <xf numFmtId="2" fontId="7" fillId="19" borderId="0" xfId="0" applyNumberFormat="1" applyFont="1" applyFill="1" applyAlignment="1">
      <alignment horizontal="center"/>
    </xf>
    <xf numFmtId="3" fontId="7" fillId="19" borderId="0" xfId="0" applyNumberFormat="1" applyFont="1" applyFill="1" applyAlignment="1">
      <alignment horizontal="center"/>
    </xf>
    <xf numFmtId="0" fontId="0" fillId="0" borderId="9" xfId="0" applyBorder="1"/>
    <xf numFmtId="0" fontId="27" fillId="12" borderId="0" xfId="0" applyFont="1" applyFill="1"/>
    <xf numFmtId="0" fontId="0" fillId="0" borderId="1" xfId="0" applyBorder="1"/>
    <xf numFmtId="0" fontId="0" fillId="0" borderId="0" xfId="0"/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70" fontId="19" fillId="0" borderId="0" xfId="0" applyNumberFormat="1" applyFont="1" applyAlignment="1">
      <alignment horizontal="center" vertical="center" wrapText="1"/>
    </xf>
    <xf numFmtId="170" fontId="18" fillId="0" borderId="0" xfId="0" applyNumberFormat="1" applyFont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170" fontId="19" fillId="0" borderId="3" xfId="0" applyNumberFormat="1" applyFont="1" applyBorder="1" applyAlignment="1">
      <alignment horizontal="center" vertical="center" wrapText="1"/>
    </xf>
    <xf numFmtId="170" fontId="18" fillId="0" borderId="3" xfId="0" applyNumberFormat="1" applyFont="1" applyBorder="1" applyAlignment="1">
      <alignment horizontal="center" vertical="center" wrapText="1"/>
    </xf>
    <xf numFmtId="0" fontId="26" fillId="0" borderId="2" xfId="0" applyFont="1" applyBorder="1" applyAlignment="1">
      <alignment vertical="center" wrapText="1"/>
    </xf>
  </cellXfs>
  <cellStyles count="6">
    <cellStyle name="Calculation" xfId="3" builtinId="22"/>
    <cellStyle name="Currency" xfId="4" builtinId="4"/>
    <cellStyle name="Neutral" xfId="5" builtinId="28"/>
    <cellStyle name="Normal" xfId="0" builtinId="0" customBuiltin="1"/>
    <cellStyle name="Percent" xfId="2" builtinId="5"/>
    <cellStyle name="Vírgula" xfId="1" xr:uid="{00000000-0005-0000-0000-000005000000}"/>
  </cellStyles>
  <dxfs count="4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ill>
        <patternFill>
          <bgColor rgb="FFFFC0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ill>
        <patternFill patternType="solid"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left"/>
    </dxf>
    <dxf>
      <alignment horizontal="left"/>
    </dxf>
    <dxf>
      <alignment horizontal="left"/>
    </dxf>
    <dxf>
      <numFmt numFmtId="1" formatCode="0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numFmt numFmtId="4" formatCode="#,##0.00"/>
    </dxf>
    <dxf>
      <numFmt numFmtId="4" formatCode="#,##0.00"/>
    </dxf>
    <dxf>
      <alignment horizontal="left"/>
    </dxf>
    <dxf>
      <alignment horizontal="left"/>
    </dxf>
    <dxf>
      <alignment horizontal="left"/>
    </dxf>
    <dxf>
      <numFmt numFmtId="171" formatCode="[h]:mm:ss;@"/>
    </dxf>
    <dxf>
      <numFmt numFmtId="171" formatCode="[h]:mm:ss;@"/>
    </dxf>
    <dxf>
      <numFmt numFmtId="171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" formatCode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4" formatCode="#,##0.00"/>
    </dxf>
    <dxf>
      <numFmt numFmtId="4" formatCode="#,##0.0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71" formatCode="[h]:mm:ss;@"/>
    </dxf>
    <dxf>
      <numFmt numFmtId="171" formatCode="[h]:mm:ss;@"/>
    </dxf>
    <dxf>
      <numFmt numFmtId="171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numFmt numFmtId="4" formatCode="#,##0.00"/>
    </dxf>
    <dxf>
      <numFmt numFmtId="171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3" formatCode="#,##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numFmt numFmtId="171" formatCode="[h]:mm:ss;@"/>
    </dxf>
    <dxf>
      <numFmt numFmtId="171" formatCode="[h]:mm:ss;@"/>
    </dxf>
    <dxf>
      <numFmt numFmtId="171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/>
    </dxf>
    <dxf>
      <alignment horizontal="general"/>
    </dxf>
    <dxf>
      <alignment vertical="center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auto="1"/>
      </font>
    </dxf>
    <dxf>
      <fill>
        <patternFill>
          <bgColor theme="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numFmt numFmtId="171" formatCode="[h]:mm:ss;@"/>
    </dxf>
    <dxf>
      <numFmt numFmtId="171" formatCode="[h]:mm:ss;@"/>
    </dxf>
    <dxf>
      <numFmt numFmtId="171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/>
    </dxf>
    <dxf>
      <alignment horizontal="general"/>
    </dxf>
    <dxf>
      <alignment vertical="center"/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auto="1"/>
      </font>
    </dxf>
    <dxf>
      <fill>
        <patternFill>
          <bgColor theme="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numFmt numFmtId="171" formatCode="[h]:mm:ss;@"/>
    </dxf>
    <dxf>
      <numFmt numFmtId="171" formatCode="[h]:mm:ss;@"/>
    </dxf>
    <dxf>
      <numFmt numFmtId="171" formatCode="[h]:mm:ss;@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Core!$BF$4:$BF$17</c:f>
              <c:strCache>
                <c:ptCount val="14"/>
                <c:pt idx="0">
                  <c:v>21 - 22</c:v>
                </c:pt>
                <c:pt idx="1">
                  <c:v>20 - 21</c:v>
                </c:pt>
                <c:pt idx="2">
                  <c:v>19 - 20</c:v>
                </c:pt>
                <c:pt idx="3">
                  <c:v>13 - 14</c:v>
                </c:pt>
                <c:pt idx="4">
                  <c:v>22 - 23</c:v>
                </c:pt>
                <c:pt idx="5">
                  <c:v>12 - 13</c:v>
                </c:pt>
                <c:pt idx="6">
                  <c:v>14 - 15</c:v>
                </c:pt>
                <c:pt idx="7">
                  <c:v>11 - 12</c:v>
                </c:pt>
                <c:pt idx="8">
                  <c:v>23 - 24</c:v>
                </c:pt>
                <c:pt idx="9">
                  <c:v>17 - 18</c:v>
                </c:pt>
                <c:pt idx="10">
                  <c:v>16 - 17</c:v>
                </c:pt>
                <c:pt idx="11">
                  <c:v>15 - 16</c:v>
                </c:pt>
                <c:pt idx="12">
                  <c:v>10 - 11</c:v>
                </c:pt>
                <c:pt idx="13">
                  <c:v>18 - 19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1">
                  <a:alpha val="49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Core!$BF$4:$BF$17</c:f>
              <c:strCache>
                <c:ptCount val="14"/>
                <c:pt idx="0">
                  <c:v>21 - 22</c:v>
                </c:pt>
                <c:pt idx="1">
                  <c:v>20 - 21</c:v>
                </c:pt>
                <c:pt idx="2">
                  <c:v>19 - 20</c:v>
                </c:pt>
                <c:pt idx="3">
                  <c:v>13 - 14</c:v>
                </c:pt>
                <c:pt idx="4">
                  <c:v>22 - 23</c:v>
                </c:pt>
                <c:pt idx="5">
                  <c:v>12 - 13</c:v>
                </c:pt>
                <c:pt idx="6">
                  <c:v>14 - 15</c:v>
                </c:pt>
                <c:pt idx="7">
                  <c:v>11 - 12</c:v>
                </c:pt>
                <c:pt idx="8">
                  <c:v>23 - 24</c:v>
                </c:pt>
                <c:pt idx="9">
                  <c:v>17 - 18</c:v>
                </c:pt>
                <c:pt idx="10">
                  <c:v>16 - 17</c:v>
                </c:pt>
                <c:pt idx="11">
                  <c:v>15 - 16</c:v>
                </c:pt>
                <c:pt idx="12">
                  <c:v>10 - 11</c:v>
                </c:pt>
                <c:pt idx="13">
                  <c:v>18 - 19</c:v>
                </c:pt>
              </c:strCache>
            </c:strRef>
          </c:cat>
          <c:val>
            <c:numRef>
              <c:f>Core!$BH$4:$BH$17</c:f>
              <c:numCache>
                <c:formatCode>#,##0.00</c:formatCode>
                <c:ptCount val="14"/>
                <c:pt idx="0">
                  <c:v>197.12000000000003</c:v>
                </c:pt>
                <c:pt idx="1">
                  <c:v>191.76000000000005</c:v>
                </c:pt>
                <c:pt idx="2">
                  <c:v>116.47000000000003</c:v>
                </c:pt>
                <c:pt idx="3">
                  <c:v>114.67</c:v>
                </c:pt>
                <c:pt idx="4">
                  <c:v>100.69</c:v>
                </c:pt>
                <c:pt idx="5">
                  <c:v>92.610000000000028</c:v>
                </c:pt>
                <c:pt idx="6">
                  <c:v>50.140000000000008</c:v>
                </c:pt>
                <c:pt idx="7">
                  <c:v>32.040000000000006</c:v>
                </c:pt>
                <c:pt idx="8">
                  <c:v>20.46</c:v>
                </c:pt>
                <c:pt idx="9">
                  <c:v>17.559999999999999</c:v>
                </c:pt>
                <c:pt idx="10">
                  <c:v>14.33</c:v>
                </c:pt>
                <c:pt idx="11">
                  <c:v>14.099999999999998</c:v>
                </c:pt>
                <c:pt idx="12">
                  <c:v>12.59</c:v>
                </c:pt>
                <c:pt idx="13">
                  <c:v>8.51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E-4EB4-AF70-E7A2359C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396897855"/>
        <c:axId val="485621295"/>
      </c:barChart>
      <c:lineChart>
        <c:grouping val="standard"/>
        <c:varyColors val="0"/>
        <c:ser>
          <c:idx val="0"/>
          <c:order val="1"/>
          <c:tx>
            <c:strRef>
              <c:f>Core!$BF$4:$BF$17</c:f>
              <c:strCache>
                <c:ptCount val="14"/>
                <c:pt idx="0">
                  <c:v>21 - 22</c:v>
                </c:pt>
                <c:pt idx="1">
                  <c:v>20 - 21</c:v>
                </c:pt>
                <c:pt idx="2">
                  <c:v>19 - 20</c:v>
                </c:pt>
                <c:pt idx="3">
                  <c:v>13 - 14</c:v>
                </c:pt>
                <c:pt idx="4">
                  <c:v>22 - 23</c:v>
                </c:pt>
                <c:pt idx="5">
                  <c:v>12 - 13</c:v>
                </c:pt>
                <c:pt idx="6">
                  <c:v>14 - 15</c:v>
                </c:pt>
                <c:pt idx="7">
                  <c:v>11 - 12</c:v>
                </c:pt>
                <c:pt idx="8">
                  <c:v>23 - 24</c:v>
                </c:pt>
                <c:pt idx="9">
                  <c:v>17 - 18</c:v>
                </c:pt>
                <c:pt idx="10">
                  <c:v>16 - 17</c:v>
                </c:pt>
                <c:pt idx="11">
                  <c:v>15 - 16</c:v>
                </c:pt>
                <c:pt idx="12">
                  <c:v>10 - 11</c:v>
                </c:pt>
                <c:pt idx="13">
                  <c:v>18 - 19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Core!$BM$4:$BM$17</c:f>
              <c:numCache>
                <c:formatCode>0.00%</c:formatCode>
                <c:ptCount val="14"/>
                <c:pt idx="0">
                  <c:v>0.20051879355068408</c:v>
                </c:pt>
                <c:pt idx="1">
                  <c:v>0.39558516860790394</c:v>
                </c:pt>
                <c:pt idx="2">
                  <c:v>0.51406337419256398</c:v>
                </c:pt>
                <c:pt idx="3">
                  <c:v>0.63071054371598601</c:v>
                </c:pt>
                <c:pt idx="4">
                  <c:v>0.73313666649712628</c:v>
                </c:pt>
                <c:pt idx="5">
                  <c:v>0.82734347184782053</c:v>
                </c:pt>
                <c:pt idx="6">
                  <c:v>0.87834799857586077</c:v>
                </c:pt>
                <c:pt idx="7">
                  <c:v>0.91094044046589684</c:v>
                </c:pt>
                <c:pt idx="8">
                  <c:v>0.93175321702863523</c:v>
                </c:pt>
                <c:pt idx="9">
                  <c:v>0.94961599104826799</c:v>
                </c:pt>
                <c:pt idx="10">
                  <c:v>0.96419307258023479</c:v>
                </c:pt>
                <c:pt idx="11">
                  <c:v>0.97853618839326562</c:v>
                </c:pt>
                <c:pt idx="12">
                  <c:v>0.99134326839936904</c:v>
                </c:pt>
                <c:pt idx="13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9E-4EB4-AF70-E7A2359C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512175"/>
        <c:axId val="505551583"/>
      </c:lineChart>
      <c:catAx>
        <c:axId val="396897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accent1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85621295"/>
        <c:crosses val="autoZero"/>
        <c:auto val="1"/>
        <c:lblAlgn val="ctr"/>
        <c:lblOffset val="100"/>
        <c:noMultiLvlLbl val="0"/>
      </c:catAx>
      <c:valAx>
        <c:axId val="485621295"/>
        <c:scaling>
          <c:orientation val="minMax"/>
        </c:scaling>
        <c:delete val="0"/>
        <c:axPos val="l"/>
        <c:numFmt formatCode="#,##0.00\ [$€-816]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accent1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96897855"/>
        <c:crosses val="autoZero"/>
        <c:crossBetween val="between"/>
      </c:valAx>
      <c:valAx>
        <c:axId val="505551583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pt-PT"/>
          </a:p>
        </c:txPr>
        <c:crossAx val="398512175"/>
        <c:crosses val="max"/>
        <c:crossBetween val="between"/>
      </c:valAx>
      <c:catAx>
        <c:axId val="398512175"/>
        <c:scaling>
          <c:orientation val="minMax"/>
        </c:scaling>
        <c:delete val="1"/>
        <c:axPos val="b"/>
        <c:majorTickMark val="out"/>
        <c:minorTickMark val="none"/>
        <c:tickLblPos val="nextTo"/>
        <c:crossAx val="505551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explosion val="8"/>
          <c:dPt>
            <c:idx val="0"/>
            <c:bubble3D val="0"/>
            <c:spPr>
              <a:solidFill>
                <a:schemeClr val="accent1">
                  <a:alpha val="34000"/>
                </a:schemeClr>
              </a:solidFill>
              <a:ln w="63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B3-4D09-8439-4ADB9477043E}"/>
              </c:ext>
            </c:extLst>
          </c:dPt>
          <c:dPt>
            <c:idx val="1"/>
            <c:bubble3D val="0"/>
            <c:spPr>
              <a:solidFill>
                <a:srgbClr val="FFC000">
                  <a:alpha val="43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B3-4D09-8439-4ADB9477043E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B3-4D09-8439-4ADB9477043E}"/>
              </c:ext>
            </c:extLst>
          </c:dPt>
          <c:dLbls>
            <c:dLbl>
              <c:idx val="0"/>
              <c:layout>
                <c:manualLayout>
                  <c:x val="2.427096474819089E-2"/>
                  <c:y val="-4.7200988562561053E-2"/>
                </c:manualLayout>
              </c:layout>
              <c:spPr>
                <a:noFill/>
                <a:ln w="3175"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>
                          <a:lumMod val="9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005140586708424"/>
                      <c:h val="0.18268339176581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9B3-4D09-8439-4ADB9477043E}"/>
                </c:ext>
              </c:extLst>
            </c:dLbl>
            <c:dLbl>
              <c:idx val="1"/>
              <c:layout>
                <c:manualLayout>
                  <c:x val="-7.0659080078967068E-2"/>
                  <c:y val="7.8967491268315867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721353634830224"/>
                      <c:h val="0.185603571207142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9B3-4D09-8439-4ADB9477043E}"/>
                </c:ext>
              </c:extLst>
            </c:dLbl>
            <c:spPr>
              <a:noFill/>
              <a:ln w="3175"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Core!$BQ$4:$BQ$5</c:f>
              <c:strCache>
                <c:ptCount val="2"/>
                <c:pt idx="0">
                  <c:v>Dias Trabalhando</c:v>
                </c:pt>
                <c:pt idx="1">
                  <c:v>Dias de Folga</c:v>
                </c:pt>
              </c:strCache>
            </c:strRef>
          </c:cat>
          <c:val>
            <c:numRef>
              <c:f>Core!$BR$4:$BR$5</c:f>
              <c:numCache>
                <c:formatCode>General</c:formatCode>
                <c:ptCount val="2"/>
                <c:pt idx="0">
                  <c:v>33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B3-4D09-8439-4ADB9477043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explosion val="8"/>
          <c:dPt>
            <c:idx val="0"/>
            <c:bubble3D val="0"/>
            <c:spPr>
              <a:solidFill>
                <a:schemeClr val="accent1">
                  <a:alpha val="34000"/>
                </a:schemeClr>
              </a:solidFill>
              <a:ln w="63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A9-49AF-9751-23935C9B1273}"/>
              </c:ext>
            </c:extLst>
          </c:dPt>
          <c:dPt>
            <c:idx val="1"/>
            <c:bubble3D val="0"/>
            <c:spPr>
              <a:solidFill>
                <a:srgbClr val="FFC000">
                  <a:alpha val="43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CA9-49AF-9751-23935C9B1273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A9-49AF-9751-23935C9B1273}"/>
              </c:ext>
            </c:extLst>
          </c:dPt>
          <c:dLbls>
            <c:dLbl>
              <c:idx val="0"/>
              <c:layout>
                <c:manualLayout>
                  <c:x val="1.2320815667272359E-2"/>
                  <c:y val="-3.1622771291519593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598014888337463"/>
                      <c:h val="0.185603674540682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A9-49AF-9751-23935C9B1273}"/>
                </c:ext>
              </c:extLst>
            </c:dLbl>
            <c:dLbl>
              <c:idx val="1"/>
              <c:layout>
                <c:manualLayout>
                  <c:x val="-2.2628351666959746E-2"/>
                  <c:y val="1.3349624400398226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681952286981492"/>
                      <c:h val="0.185603674540682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CA9-49AF-9751-23935C9B1273}"/>
                </c:ext>
              </c:extLst>
            </c:dLbl>
            <c:spPr>
              <a:noFill/>
              <a:ln w="3175"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Core!$BW$20:$BX$20</c:f>
              <c:strCache>
                <c:ptCount val="2"/>
                <c:pt idx="0">
                  <c:v>Horas Rodando</c:v>
                </c:pt>
                <c:pt idx="1">
                  <c:v>Horas Stand-By</c:v>
                </c:pt>
              </c:strCache>
            </c:strRef>
          </c:cat>
          <c:val>
            <c:numRef>
              <c:f>Core!$BW$21:$BX$21</c:f>
              <c:numCache>
                <c:formatCode>0</c:formatCode>
                <c:ptCount val="2"/>
                <c:pt idx="0">
                  <c:v>154.26666666666668</c:v>
                </c:pt>
                <c:pt idx="1">
                  <c:v>25.733333333333334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A9-49AF-9751-23935C9B127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53935288656604"/>
          <c:y val="5.5299512416022635E-2"/>
          <c:w val="0.68292129422686798"/>
          <c:h val="0.86482341409416685"/>
        </c:manualLayout>
      </c:layout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explosion val="8"/>
          <c:dPt>
            <c:idx val="0"/>
            <c:bubble3D val="0"/>
            <c:spPr>
              <a:solidFill>
                <a:schemeClr val="accent1">
                  <a:alpha val="34000"/>
                </a:schemeClr>
              </a:solidFill>
              <a:ln w="63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1E-4F9F-95F6-1BF165222839}"/>
              </c:ext>
            </c:extLst>
          </c:dPt>
          <c:dPt>
            <c:idx val="1"/>
            <c:bubble3D val="0"/>
            <c:spPr>
              <a:solidFill>
                <a:srgbClr val="FFC000">
                  <a:alpha val="43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1E-4F9F-95F6-1BF165222839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D1E-4F9F-95F6-1BF165222839}"/>
              </c:ext>
            </c:extLst>
          </c:dPt>
          <c:dLbls>
            <c:dLbl>
              <c:idx val="0"/>
              <c:layout>
                <c:manualLayout>
                  <c:x val="-1.9408179141483427E-2"/>
                  <c:y val="-1.6478545803159945E-2"/>
                </c:manualLayout>
              </c:layout>
              <c:spPr>
                <a:noFill/>
                <a:ln w="3175"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>
                          <a:lumMod val="9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093945680370729"/>
                      <c:h val="0.18268345489071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D1E-4F9F-95F6-1BF165222839}"/>
                </c:ext>
              </c:extLst>
            </c:dLbl>
            <c:dLbl>
              <c:idx val="1"/>
              <c:layout>
                <c:manualLayout>
                  <c:x val="-1.9407863318395217E-2"/>
                  <c:y val="3.861870236283253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420451810335934"/>
                      <c:h val="0.1856037350169938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D1E-4F9F-95F6-1BF165222839}"/>
                </c:ext>
              </c:extLst>
            </c:dLbl>
            <c:spPr>
              <a:noFill/>
              <a:ln w="3175"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Core!$AH$3:$AH$4</c:f>
              <c:strCache>
                <c:ptCount val="2"/>
                <c:pt idx="0">
                  <c:v>Km Nao Paga</c:v>
                </c:pt>
                <c:pt idx="1">
                  <c:v>KM Paga</c:v>
                </c:pt>
              </c:strCache>
            </c:strRef>
          </c:cat>
          <c:val>
            <c:numRef>
              <c:f>Core!$AI$3:$AI$4</c:f>
              <c:numCache>
                <c:formatCode>0</c:formatCode>
                <c:ptCount val="2"/>
                <c:pt idx="0">
                  <c:v>1170.4839528498728</c:v>
                </c:pt>
                <c:pt idx="1">
                  <c:v>1528.1799999999998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E-4F9F-95F6-1BF16522283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42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A839BB4F-65BC-411D-BA9B-8E55C4206ADE}">
          <cx:dataPt idx="1">
            <cx:spPr>
              <a:solidFill>
                <a:srgbClr val="FFC000">
                  <a:lumMod val="60000"/>
                  <a:lumOff val="40000"/>
                </a:srgbClr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0">
                    <a:solidFill>
                      <a:schemeClr val="accent1">
                        <a:lumMod val="20000"/>
                        <a:lumOff val="80000"/>
                      </a:schemeClr>
                    </a:solidFill>
                  </a:defRPr>
                </a:pPr>
                <a:endParaRPr lang="en-US" sz="900" b="0" i="0" u="none" strike="noStrike" baseline="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1"/>
            <cx:subtotals>
              <cx:idx val="7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1">
                    <a:lumMod val="20000"/>
                    <a:lumOff val="80000"/>
                  </a:schemeClr>
                </a:solidFill>
              </a:defRPr>
            </a:pPr>
            <a:endParaRPr lang="en-US" sz="900" b="0" i="0" u="none" strike="noStrike" baseline="0">
              <a:solidFill>
                <a:schemeClr val="accent1">
                  <a:lumMod val="20000"/>
                  <a:lumOff val="80000"/>
                </a:schemeClr>
              </a:solidFill>
              <a:latin typeface="Calibri" panose="020F0502020204030204"/>
            </a:endParaRPr>
          </a:p>
        </cx:txPr>
      </cx:axis>
      <cx:axis id="1" hidden="1">
        <cx:valScaling max="1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1">
                    <a:lumMod val="20000"/>
                    <a:lumOff val="80000"/>
                  </a:schemeClr>
                </a:solidFill>
              </a:defRPr>
            </a:pPr>
            <a:endParaRPr lang="en-US" sz="900" b="0" i="0" u="none" strike="noStrike" baseline="0">
              <a:solidFill>
                <a:schemeClr val="accent1">
                  <a:lumMod val="20000"/>
                  <a:lumOff val="80000"/>
                </a:schemeClr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A839BB4F-65BC-411D-BA9B-8E55C4206ADE}">
          <cx:dataPt idx="1">
            <cx:spPr>
              <a:solidFill>
                <a:srgbClr val="FFC000">
                  <a:lumMod val="60000"/>
                  <a:lumOff val="40000"/>
                </a:srgbClr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0">
                    <a:solidFill>
                      <a:schemeClr val="accent1">
                        <a:lumMod val="20000"/>
                        <a:lumOff val="80000"/>
                      </a:schemeClr>
                    </a:solidFill>
                  </a:defRPr>
                </a:pPr>
                <a:endParaRPr lang="en-US" sz="900" b="0" i="0" u="none" strike="noStrike" baseline="0">
                  <a:solidFill>
                    <a:schemeClr val="accent1">
                      <a:lumMod val="20000"/>
                      <a:lumOff val="80000"/>
                    </a:schemeClr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1"/>
            <cx:subtotals>
              <cx:idx val="7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1">
                    <a:lumMod val="20000"/>
                    <a:lumOff val="80000"/>
                  </a:schemeClr>
                </a:solidFill>
              </a:defRPr>
            </a:pPr>
            <a:endParaRPr lang="en-US" sz="900" b="0" i="0" u="none" strike="noStrike" baseline="0">
              <a:solidFill>
                <a:schemeClr val="accent1">
                  <a:lumMod val="20000"/>
                  <a:lumOff val="80000"/>
                </a:schemeClr>
              </a:solidFill>
              <a:latin typeface="Calibri" panose="020F0502020204030204"/>
            </a:endParaRPr>
          </a:p>
        </cx:txPr>
      </cx:axis>
      <cx:axis id="1" hidden="1">
        <cx:valScaling max="1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1">
                    <a:lumMod val="20000"/>
                    <a:lumOff val="80000"/>
                  </a:schemeClr>
                </a:solidFill>
              </a:defRPr>
            </a:pPr>
            <a:endParaRPr lang="en-US" sz="900" b="0" i="0" u="none" strike="noStrike" baseline="0">
              <a:solidFill>
                <a:schemeClr val="accent1">
                  <a:lumMod val="20000"/>
                  <a:lumOff val="80000"/>
                </a:schemeClr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7" Type="http://schemas.openxmlformats.org/officeDocument/2006/relationships/chart" Target="../charts/chart4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30900</xdr:rowOff>
    </xdr:from>
    <xdr:to>
      <xdr:col>10</xdr:col>
      <xdr:colOff>587829</xdr:colOff>
      <xdr:row>28</xdr:row>
      <xdr:rowOff>43542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9D7869A-F804-456B-ABF0-93E49F7DFCC2}"/>
            </a:ext>
          </a:extLst>
        </xdr:cNvPr>
        <xdr:cNvGrpSpPr/>
      </xdr:nvGrpSpPr>
      <xdr:grpSpPr>
        <a:xfrm>
          <a:off x="0" y="574518"/>
          <a:ext cx="6947412" cy="4562474"/>
          <a:chOff x="0" y="240111"/>
          <a:chExt cx="6666543" cy="3898798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FE387AF8-BF15-486E-BF79-1F4F20387486}"/>
              </a:ext>
            </a:extLst>
          </xdr:cNvPr>
          <xdr:cNvCxnSpPr>
            <a:cxnSpLocks/>
          </xdr:cNvCxnSpPr>
        </xdr:nvCxnSpPr>
        <xdr:spPr>
          <a:xfrm flipV="1">
            <a:off x="3305410" y="677978"/>
            <a:ext cx="0" cy="3024000"/>
          </a:xfrm>
          <a:prstGeom prst="line">
            <a:avLst/>
          </a:prstGeom>
          <a:ln w="12700" cap="rnd">
            <a:solidFill>
              <a:srgbClr val="FFC000"/>
            </a:solidFill>
            <a:headEnd type="diamond"/>
            <a:tailEnd type="diamond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B078E480-28E2-4D10-8906-DDB4D212B346}"/>
              </a:ext>
            </a:extLst>
          </xdr:cNvPr>
          <xdr:cNvGraphicFramePr/>
        </xdr:nvGraphicFramePr>
        <xdr:xfrm>
          <a:off x="0" y="616528"/>
          <a:ext cx="6666543" cy="35223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Core!BN2">
        <xdr:nvSpPr>
          <xdr:cNvPr id="16" name="TextBox 15">
            <a:extLst>
              <a:ext uri="{FF2B5EF4-FFF2-40B4-BE49-F238E27FC236}">
                <a16:creationId xmlns:a16="http://schemas.microsoft.com/office/drawing/2014/main" id="{DE32516C-A2FF-45C4-AC52-2AD524228411}"/>
              </a:ext>
            </a:extLst>
          </xdr:cNvPr>
          <xdr:cNvSpPr txBox="1"/>
        </xdr:nvSpPr>
        <xdr:spPr>
          <a:xfrm>
            <a:off x="1582188" y="240111"/>
            <a:ext cx="731520" cy="18695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31A1D26A-EEB7-4EA5-B256-DB7488BFA6EA}" type="TxLink">
              <a:rPr lang="en-US" sz="800" b="0" i="0" u="none" strike="noStrike">
                <a:solidFill>
                  <a:schemeClr val="bg1">
                    <a:lumMod val="95000"/>
                  </a:schemeClr>
                </a:solidFill>
                <a:latin typeface="Calibri"/>
                <a:cs typeface="Calibri"/>
              </a:rPr>
              <a:pPr algn="ctr"/>
              <a:t> € 863,46 </a:t>
            </a:fld>
            <a:endParaRPr lang="pt-BR" sz="1000">
              <a:solidFill>
                <a:schemeClr val="bg1">
                  <a:lumMod val="95000"/>
                </a:schemeClr>
              </a:solidFill>
            </a:endParaRPr>
          </a:p>
        </xdr:txBody>
      </xdr:sp>
      <xdr:sp macro="" textlink="">
        <xdr:nvSpPr>
          <xdr:cNvPr id="17" name="Left Brace 16">
            <a:extLst>
              <a:ext uri="{FF2B5EF4-FFF2-40B4-BE49-F238E27FC236}">
                <a16:creationId xmlns:a16="http://schemas.microsoft.com/office/drawing/2014/main" id="{8F56915D-E7FE-4510-8291-7BD982053DEC}"/>
              </a:ext>
            </a:extLst>
          </xdr:cNvPr>
          <xdr:cNvSpPr/>
        </xdr:nvSpPr>
        <xdr:spPr>
          <a:xfrm rot="5400000">
            <a:off x="4663746" y="-841273"/>
            <a:ext cx="147897" cy="2802780"/>
          </a:xfrm>
          <a:prstGeom prst="leftBrace">
            <a:avLst>
              <a:gd name="adj1" fmla="val 80208"/>
              <a:gd name="adj2" fmla="val 50000"/>
            </a:avLst>
          </a:prstGeom>
          <a:ln w="9525"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Core!BN1">
        <xdr:nvSpPr>
          <xdr:cNvPr id="20" name="TextBox 19">
            <a:extLst>
              <a:ext uri="{FF2B5EF4-FFF2-40B4-BE49-F238E27FC236}">
                <a16:creationId xmlns:a16="http://schemas.microsoft.com/office/drawing/2014/main" id="{650FE494-DD21-4CAD-B9CD-6C0343BED730}"/>
              </a:ext>
            </a:extLst>
          </xdr:cNvPr>
          <xdr:cNvSpPr txBox="1"/>
        </xdr:nvSpPr>
        <xdr:spPr>
          <a:xfrm>
            <a:off x="4325393" y="242333"/>
            <a:ext cx="731520" cy="18695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73DA5949-C7CE-4A41-ACB4-439FE99CB4E6}" type="TxLink">
              <a:rPr lang="en-US" sz="800" b="0" i="0" u="none" strike="noStrike">
                <a:solidFill>
                  <a:schemeClr val="bg1">
                    <a:lumMod val="95000"/>
                  </a:schemeClr>
                </a:solidFill>
                <a:latin typeface="Calibri"/>
                <a:cs typeface="Calibri"/>
              </a:rPr>
              <a:pPr algn="ctr"/>
              <a:t> € 119,59 </a:t>
            </a:fld>
            <a:endParaRPr lang="pt-BR" sz="10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>
    <xdr:from>
      <xdr:col>2</xdr:col>
      <xdr:colOff>467200</xdr:colOff>
      <xdr:row>2</xdr:row>
      <xdr:rowOff>94707</xdr:rowOff>
    </xdr:from>
    <xdr:to>
      <xdr:col>7</xdr:col>
      <xdr:colOff>403862</xdr:colOff>
      <xdr:row>3</xdr:row>
      <xdr:rowOff>2081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239BD979-9644-4012-A190-6757510962A8}"/>
            </a:ext>
          </a:extLst>
        </xdr:cNvPr>
        <xdr:cNvSpPr/>
      </xdr:nvSpPr>
      <xdr:spPr>
        <a:xfrm rot="5400000">
          <a:off x="3484124" y="-986737"/>
          <a:ext cx="90254" cy="2984662"/>
        </a:xfrm>
        <a:prstGeom prst="leftBrace">
          <a:avLst>
            <a:gd name="adj1" fmla="val 123174"/>
            <a:gd name="adj2" fmla="val 50101"/>
          </a:avLst>
        </a:prstGeom>
        <a:ln w="9525">
          <a:solidFill>
            <a:schemeClr val="bg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4</xdr:col>
      <xdr:colOff>426218</xdr:colOff>
      <xdr:row>0</xdr:row>
      <xdr:rowOff>167335</xdr:rowOff>
    </xdr:from>
    <xdr:ext cx="595745" cy="217560"/>
    <xdr:sp macro="" textlink="Core!AI6">
      <xdr:nvSpPr>
        <xdr:cNvPr id="26" name="TextBox 25">
          <a:extLst>
            <a:ext uri="{FF2B5EF4-FFF2-40B4-BE49-F238E27FC236}">
              <a16:creationId xmlns:a16="http://schemas.microsoft.com/office/drawing/2014/main" id="{E741E7D3-6DCE-4FCA-85C4-B2269E488BD5}"/>
            </a:ext>
          </a:extLst>
        </xdr:cNvPr>
        <xdr:cNvSpPr txBox="1"/>
      </xdr:nvSpPr>
      <xdr:spPr>
        <a:xfrm>
          <a:off x="3215138" y="167335"/>
          <a:ext cx="595745" cy="217560"/>
        </a:xfrm>
        <a:prstGeom prst="rect">
          <a:avLst/>
        </a:prstGeom>
        <a:noFill/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AA8B9CF-E968-47A2-9277-13D9F5B31F17}" type="TxLink">
            <a:rPr lang="en-US" sz="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€ 989,41 </a:t>
          </a:fld>
          <a:endParaRPr lang="pt-BR" sz="1000" b="1">
            <a:solidFill>
              <a:schemeClr val="bg1"/>
            </a:solidFill>
          </a:endParaRPr>
        </a:p>
      </xdr:txBody>
    </xdr:sp>
    <xdr:clientData/>
  </xdr:oneCellAnchor>
  <xdr:twoCellAnchor>
    <xdr:from>
      <xdr:col>10</xdr:col>
      <xdr:colOff>402735</xdr:colOff>
      <xdr:row>0</xdr:row>
      <xdr:rowOff>44330</xdr:rowOff>
    </xdr:from>
    <xdr:to>
      <xdr:col>17</xdr:col>
      <xdr:colOff>340122</xdr:colOff>
      <xdr:row>27</xdr:row>
      <xdr:rowOff>167640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57D7D97-B990-4419-A8D7-2CB0AEFC88C8}"/>
            </a:ext>
          </a:extLst>
        </xdr:cNvPr>
        <xdr:cNvGrpSpPr/>
      </xdr:nvGrpSpPr>
      <xdr:grpSpPr>
        <a:xfrm>
          <a:off x="6754698" y="46235"/>
          <a:ext cx="4184151" cy="5034920"/>
          <a:chOff x="6795915" y="13850"/>
          <a:chExt cx="4204587" cy="5061070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5" name="Chart 4">
                <a:extLst>
                  <a:ext uri="{FF2B5EF4-FFF2-40B4-BE49-F238E27FC236}">
                    <a16:creationId xmlns:a16="http://schemas.microsoft.com/office/drawing/2014/main" id="{90C8C287-6705-448F-9A38-01DED2F3AF9D}"/>
                  </a:ext>
                </a:extLst>
              </xdr:cNvPr>
              <xdr:cNvGraphicFramePr/>
            </xdr:nvGraphicFramePr>
            <xdr:xfrm>
              <a:off x="6835140" y="175260"/>
              <a:ext cx="3581400" cy="23774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35140" y="175260"/>
                <a:ext cx="3581400" cy="23774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PT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6" name="Chart 5">
                <a:extLst>
                  <a:ext uri="{FF2B5EF4-FFF2-40B4-BE49-F238E27FC236}">
                    <a16:creationId xmlns:a16="http://schemas.microsoft.com/office/drawing/2014/main" id="{1BB9156D-01A4-40D1-B2CE-29B76460B333}"/>
                  </a:ext>
                </a:extLst>
              </xdr:cNvPr>
              <xdr:cNvGraphicFramePr/>
            </xdr:nvGraphicFramePr>
            <xdr:xfrm>
              <a:off x="6831675" y="2697480"/>
              <a:ext cx="3581400" cy="23774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3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831675" y="2697480"/>
                <a:ext cx="3581400" cy="23774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PT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sp macro="" textlink="Core!AI6">
        <xdr:nvSpPr>
          <xdr:cNvPr id="21" name="TextBox 20">
            <a:extLst>
              <a:ext uri="{FF2B5EF4-FFF2-40B4-BE49-F238E27FC236}">
                <a16:creationId xmlns:a16="http://schemas.microsoft.com/office/drawing/2014/main" id="{DD7A824B-077B-4DF1-8356-E47F93A6C039}"/>
              </a:ext>
            </a:extLst>
          </xdr:cNvPr>
          <xdr:cNvSpPr txBox="1"/>
        </xdr:nvSpPr>
        <xdr:spPr>
          <a:xfrm>
            <a:off x="7003467" y="1328650"/>
            <a:ext cx="595745" cy="219794"/>
          </a:xfrm>
          <a:prstGeom prst="rect">
            <a:avLst/>
          </a:prstGeom>
          <a:noFill/>
          <a:ln>
            <a:solidFill>
              <a:schemeClr val="accent2">
                <a:lumMod val="40000"/>
                <a:lumOff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AAA8B9CF-E968-47A2-9277-13D9F5B31F17}" type="TxLink">
              <a:rPr lang="en-US" sz="8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€ 989,41 </a:t>
            </a:fld>
            <a:endParaRPr lang="pt-BR" sz="1000" b="1">
              <a:solidFill>
                <a:schemeClr val="bg1"/>
              </a:solidFill>
            </a:endParaRPr>
          </a:p>
        </xdr:txBody>
      </xdr:sp>
      <xdr:sp macro="" textlink="Core!AL5">
        <xdr:nvSpPr>
          <xdr:cNvPr id="22" name="TextBox 21">
            <a:extLst>
              <a:ext uri="{FF2B5EF4-FFF2-40B4-BE49-F238E27FC236}">
                <a16:creationId xmlns:a16="http://schemas.microsoft.com/office/drawing/2014/main" id="{371C89C9-0CB6-419F-999D-D8A0B0BF3B10}"/>
              </a:ext>
            </a:extLst>
          </xdr:cNvPr>
          <xdr:cNvSpPr txBox="1"/>
        </xdr:nvSpPr>
        <xdr:spPr>
          <a:xfrm>
            <a:off x="9926770" y="1321730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2802E425-F381-4C19-8209-CEF16D712BF6}" type="TxLink">
              <a:rPr lang="en-US" sz="8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€ 648 </a:t>
            </a:fld>
            <a:endParaRPr lang="pt-BR" sz="1000" b="1">
              <a:solidFill>
                <a:schemeClr val="bg1"/>
              </a:solidFill>
            </a:endParaRPr>
          </a:p>
        </xdr:txBody>
      </xdr:sp>
      <xdr:sp macro="" textlink="Core!AI6">
        <xdr:nvSpPr>
          <xdr:cNvPr id="31" name="TextBox 30">
            <a:extLst>
              <a:ext uri="{FF2B5EF4-FFF2-40B4-BE49-F238E27FC236}">
                <a16:creationId xmlns:a16="http://schemas.microsoft.com/office/drawing/2014/main" id="{A4D673AD-2727-43F7-B5D0-3822E5F79C0A}"/>
              </a:ext>
            </a:extLst>
          </xdr:cNvPr>
          <xdr:cNvSpPr txBox="1"/>
        </xdr:nvSpPr>
        <xdr:spPr>
          <a:xfrm>
            <a:off x="6993079" y="3847407"/>
            <a:ext cx="595745" cy="219794"/>
          </a:xfrm>
          <a:prstGeom prst="rect">
            <a:avLst/>
          </a:prstGeom>
          <a:noFill/>
          <a:ln>
            <a:solidFill>
              <a:schemeClr val="accent2">
                <a:lumMod val="40000"/>
                <a:lumOff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AAA8B9CF-E968-47A2-9277-13D9F5B31F17}" type="TxLink">
              <a:rPr lang="en-US" sz="8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€ 989,41 </a:t>
            </a:fld>
            <a:endParaRPr lang="pt-BR" sz="1000" b="1">
              <a:solidFill>
                <a:schemeClr val="bg1"/>
              </a:solidFill>
            </a:endParaRPr>
          </a:p>
        </xdr:txBody>
      </xdr:sp>
      <xdr:sp macro="" textlink="Core!AN5">
        <xdr:nvSpPr>
          <xdr:cNvPr id="32" name="TextBox 31">
            <a:extLst>
              <a:ext uri="{FF2B5EF4-FFF2-40B4-BE49-F238E27FC236}">
                <a16:creationId xmlns:a16="http://schemas.microsoft.com/office/drawing/2014/main" id="{CBCE85EF-3744-4B4A-846E-DD0B959A8AC8}"/>
              </a:ext>
            </a:extLst>
          </xdr:cNvPr>
          <xdr:cNvSpPr txBox="1"/>
        </xdr:nvSpPr>
        <xdr:spPr>
          <a:xfrm>
            <a:off x="9926771" y="3861268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74E583B0-61C1-435F-8C33-E53BE18C66A7}" type="TxLink">
              <a:rPr lang="en-US" sz="8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€ 785 </a:t>
            </a:fld>
            <a:endParaRPr lang="pt-BR" sz="900" b="1">
              <a:solidFill>
                <a:schemeClr val="bg1"/>
              </a:solidFill>
            </a:endParaRPr>
          </a:p>
        </xdr:txBody>
      </xdr:sp>
      <xdr:sp macro="" textlink="">
        <xdr:nvSpPr>
          <xdr:cNvPr id="33" name="Left Brace 32">
            <a:extLst>
              <a:ext uri="{FF2B5EF4-FFF2-40B4-BE49-F238E27FC236}">
                <a16:creationId xmlns:a16="http://schemas.microsoft.com/office/drawing/2014/main" id="{4B26429C-7AD2-418F-97B0-1E8B42CE935A}"/>
              </a:ext>
            </a:extLst>
          </xdr:cNvPr>
          <xdr:cNvSpPr/>
        </xdr:nvSpPr>
        <xdr:spPr>
          <a:xfrm rot="10800000">
            <a:off x="10390909" y="1446412"/>
            <a:ext cx="131618" cy="2525684"/>
          </a:xfrm>
          <a:prstGeom prst="leftBrace">
            <a:avLst>
              <a:gd name="adj1" fmla="val 123174"/>
              <a:gd name="adj2" fmla="val 50101"/>
            </a:avLst>
          </a:prstGeom>
          <a:ln w="9525">
            <a:solidFill>
              <a:schemeClr val="bg1"/>
            </a:solidFill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 b="0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Core!AO5">
        <xdr:nvSpPr>
          <xdr:cNvPr id="34" name="TextBox 33">
            <a:extLst>
              <a:ext uri="{FF2B5EF4-FFF2-40B4-BE49-F238E27FC236}">
                <a16:creationId xmlns:a16="http://schemas.microsoft.com/office/drawing/2014/main" id="{3F550CFF-4DA3-47C0-81E8-D341EA362D2F}"/>
              </a:ext>
            </a:extLst>
          </xdr:cNvPr>
          <xdr:cNvSpPr txBox="1"/>
        </xdr:nvSpPr>
        <xdr:spPr>
          <a:xfrm>
            <a:off x="10404757" y="2601884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fld id="{E9AA60E4-C90F-41B5-863B-D0C74261C13B}" type="TxLink">
              <a:rPr lang="en-US" sz="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r"/>
              <a:t> € 137 </a:t>
            </a:fld>
            <a:endParaRPr lang="pt-BR" sz="900" b="1">
              <a:solidFill>
                <a:schemeClr val="bg1"/>
              </a:solidFill>
            </a:endParaRPr>
          </a:p>
        </xdr:txBody>
      </xdr:sp>
      <xdr:cxnSp macro="">
        <xdr:nvCxnSpPr>
          <xdr:cNvPr id="38" name="Connector: Elbow 37">
            <a:extLst>
              <a:ext uri="{FF2B5EF4-FFF2-40B4-BE49-F238E27FC236}">
                <a16:creationId xmlns:a16="http://schemas.microsoft.com/office/drawing/2014/main" id="{EB90A6D3-1F7B-4DBD-B79D-C976AC0EBA32}"/>
              </a:ext>
            </a:extLst>
          </xdr:cNvPr>
          <xdr:cNvCxnSpPr/>
        </xdr:nvCxnSpPr>
        <xdr:spPr>
          <a:xfrm flipV="1">
            <a:off x="7550727" y="124691"/>
            <a:ext cx="346364" cy="65117"/>
          </a:xfrm>
          <a:prstGeom prst="bentConnector3">
            <a:avLst>
              <a:gd name="adj1" fmla="val 2000"/>
            </a:avLst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Core!AN20">
        <xdr:nvSpPr>
          <xdr:cNvPr id="44" name="TextBox 43">
            <a:extLst>
              <a:ext uri="{FF2B5EF4-FFF2-40B4-BE49-F238E27FC236}">
                <a16:creationId xmlns:a16="http://schemas.microsoft.com/office/drawing/2014/main" id="{10748A94-40A8-4EDE-A1C6-773D81116E54}"/>
              </a:ext>
            </a:extLst>
          </xdr:cNvPr>
          <xdr:cNvSpPr txBox="1"/>
        </xdr:nvSpPr>
        <xdr:spPr>
          <a:xfrm>
            <a:off x="7834740" y="13850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7566E113-4342-4661-B99B-55AE080299C0}" type="TxLink">
              <a:rPr lang="en-US" sz="800" b="0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 € 281,52 </a:t>
            </a:fld>
            <a:endParaRPr lang="pt-BR" sz="800" b="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cxnSp macro="">
        <xdr:nvCxnSpPr>
          <xdr:cNvPr id="45" name="Connector: Elbow 44">
            <a:extLst>
              <a:ext uri="{FF2B5EF4-FFF2-40B4-BE49-F238E27FC236}">
                <a16:creationId xmlns:a16="http://schemas.microsoft.com/office/drawing/2014/main" id="{99C840F0-F425-43B2-A90B-E668AFD939D3}"/>
              </a:ext>
            </a:extLst>
          </xdr:cNvPr>
          <xdr:cNvCxnSpPr/>
        </xdr:nvCxnSpPr>
        <xdr:spPr>
          <a:xfrm flipV="1">
            <a:off x="7529946" y="2657302"/>
            <a:ext cx="346364" cy="62346"/>
          </a:xfrm>
          <a:prstGeom prst="bentConnector3">
            <a:avLst>
              <a:gd name="adj1" fmla="val 2000"/>
            </a:avLst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Core!AO20">
        <xdr:nvSpPr>
          <xdr:cNvPr id="46" name="TextBox 45">
            <a:extLst>
              <a:ext uri="{FF2B5EF4-FFF2-40B4-BE49-F238E27FC236}">
                <a16:creationId xmlns:a16="http://schemas.microsoft.com/office/drawing/2014/main" id="{D23000F9-FFE6-40C7-A085-CD03B9AC692D}"/>
              </a:ext>
            </a:extLst>
          </xdr:cNvPr>
          <xdr:cNvSpPr txBox="1"/>
        </xdr:nvSpPr>
        <xdr:spPr>
          <a:xfrm>
            <a:off x="7813959" y="2543690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BD278CBB-DA64-4DDA-9A68-A0CECE8EE4E8}" type="TxLink">
              <a:rPr lang="en-US" sz="800" b="0" i="0" u="none" strike="noStrike">
                <a:solidFill>
                  <a:schemeClr val="accent4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 € 100,75 </a:t>
            </a:fld>
            <a:endParaRPr lang="pt-BR" sz="700" b="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3C2F38D-9FA5-457B-B9AA-0E12BC12DAC5}"/>
              </a:ext>
            </a:extLst>
          </xdr:cNvPr>
          <xdr:cNvSpPr/>
        </xdr:nvSpPr>
        <xdr:spPr>
          <a:xfrm>
            <a:off x="10543309" y="2574175"/>
            <a:ext cx="450273" cy="279862"/>
          </a:xfrm>
          <a:prstGeom prst="ellipse">
            <a:avLst/>
          </a:prstGeom>
          <a:noFill/>
          <a:ln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DC8B816-FD95-42F9-9E47-DB2C2E4623E2}"/>
              </a:ext>
            </a:extLst>
          </xdr:cNvPr>
          <xdr:cNvSpPr txBox="1"/>
        </xdr:nvSpPr>
        <xdr:spPr>
          <a:xfrm rot="16200000">
            <a:off x="6629395" y="1886578"/>
            <a:ext cx="595745" cy="24885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000" b="0" i="0" u="none" strike="noStrike">
                <a:solidFill>
                  <a:schemeClr val="bg1"/>
                </a:solidFill>
                <a:latin typeface="Calibri"/>
                <a:cs typeface="Calibri"/>
              </a:rPr>
              <a:t> SoHo</a:t>
            </a:r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3302BAB3-6A36-4BCB-A449-B158552F512B}"/>
              </a:ext>
            </a:extLst>
          </xdr:cNvPr>
          <xdr:cNvSpPr txBox="1"/>
        </xdr:nvSpPr>
        <xdr:spPr>
          <a:xfrm rot="16200000">
            <a:off x="6622468" y="4391481"/>
            <a:ext cx="595745" cy="24885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US" sz="1000" b="0" i="0" u="none" strike="noStrike">
                <a:solidFill>
                  <a:schemeClr val="bg1"/>
                </a:solidFill>
                <a:latin typeface="Calibri"/>
                <a:cs typeface="Calibri"/>
              </a:rPr>
              <a:t> 125cc</a:t>
            </a:r>
          </a:p>
        </xdr:txBody>
      </xdr: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C0CC217B-D122-48EB-8540-95F6023F9103}"/>
              </a:ext>
            </a:extLst>
          </xdr:cNvPr>
          <xdr:cNvCxnSpPr>
            <a:endCxn id="22" idx="1"/>
          </xdr:cNvCxnSpPr>
        </xdr:nvCxnSpPr>
        <xdr:spPr>
          <a:xfrm flipV="1">
            <a:off x="7647709" y="1431627"/>
            <a:ext cx="2279061" cy="93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8D86EDFC-287D-44D5-9461-CCDB3193E922}"/>
              </a:ext>
            </a:extLst>
          </xdr:cNvPr>
          <xdr:cNvCxnSpPr>
            <a:stCxn id="31" idx="3"/>
            <a:endCxn id="32" idx="1"/>
          </xdr:cNvCxnSpPr>
        </xdr:nvCxnSpPr>
        <xdr:spPr>
          <a:xfrm>
            <a:off x="7588824" y="3957304"/>
            <a:ext cx="2337947" cy="1386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Core!AL4">
        <xdr:nvSpPr>
          <xdr:cNvPr id="35" name="TextBox 34">
            <a:extLst>
              <a:ext uri="{FF2B5EF4-FFF2-40B4-BE49-F238E27FC236}">
                <a16:creationId xmlns:a16="http://schemas.microsoft.com/office/drawing/2014/main" id="{503D7824-71D8-4EE7-AC30-A3A34590EEDF}"/>
              </a:ext>
            </a:extLst>
          </xdr:cNvPr>
          <xdr:cNvSpPr txBox="1"/>
        </xdr:nvSpPr>
        <xdr:spPr>
          <a:xfrm>
            <a:off x="8319649" y="1411774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CE03620B-C91C-4A3D-8128-A52626086344}" type="TxLink">
              <a:rPr lang="en-US" sz="8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-€ 341,20 </a:t>
            </a:fld>
            <a:endParaRPr lang="pt-BR" sz="700" b="1">
              <a:solidFill>
                <a:schemeClr val="accent2">
                  <a:lumMod val="60000"/>
                  <a:lumOff val="40000"/>
                </a:schemeClr>
              </a:solidFill>
            </a:endParaRPr>
          </a:p>
        </xdr:txBody>
      </xdr:sp>
      <xdr:sp macro="" textlink="Core!AN4">
        <xdr:nvSpPr>
          <xdr:cNvPr id="36" name="TextBox 35">
            <a:extLst>
              <a:ext uri="{FF2B5EF4-FFF2-40B4-BE49-F238E27FC236}">
                <a16:creationId xmlns:a16="http://schemas.microsoft.com/office/drawing/2014/main" id="{6609C081-0822-47FB-84FF-7E9764737786}"/>
              </a:ext>
            </a:extLst>
          </xdr:cNvPr>
          <xdr:cNvSpPr txBox="1"/>
        </xdr:nvSpPr>
        <xdr:spPr>
          <a:xfrm>
            <a:off x="8326576" y="3958240"/>
            <a:ext cx="595745" cy="21979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fld id="{F1C04C34-ED2C-435C-A712-9B0B68A1599D}" type="TxLink">
              <a:rPr lang="en-US" sz="800" b="1" i="0" u="none" strike="noStrike">
                <a:solidFill>
                  <a:schemeClr val="accent2">
                    <a:lumMod val="60000"/>
                    <a:lumOff val="40000"/>
                  </a:schemeClr>
                </a:solidFill>
                <a:latin typeface="Calibri"/>
                <a:cs typeface="Calibri"/>
              </a:rPr>
              <a:pPr algn="ctr"/>
              <a:t>-€ 204,05 </a:t>
            </a:fld>
            <a:endParaRPr lang="pt-BR" sz="600" b="1">
              <a:solidFill>
                <a:schemeClr val="accent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565785</xdr:colOff>
      <xdr:row>4</xdr:row>
      <xdr:rowOff>99060</xdr:rowOff>
    </xdr:from>
    <xdr:to>
      <xdr:col>5</xdr:col>
      <xdr:colOff>117794</xdr:colOff>
      <xdr:row>5</xdr:row>
      <xdr:rowOff>121920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E8A2847-2A0C-4900-978C-12E1DB2B4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5785" y="822960"/>
          <a:ext cx="2885759" cy="203835"/>
        </a:xfrm>
        <a:prstGeom prst="rect">
          <a:avLst/>
        </a:prstGeom>
      </xdr:spPr>
    </xdr:pic>
    <xdr:clientData/>
  </xdr:twoCellAnchor>
  <xdr:twoCellAnchor>
    <xdr:from>
      <xdr:col>5</xdr:col>
      <xdr:colOff>412363</xdr:colOff>
      <xdr:row>1</xdr:row>
      <xdr:rowOff>93235</xdr:rowOff>
    </xdr:from>
    <xdr:to>
      <xdr:col>11</xdr:col>
      <xdr:colOff>5539</xdr:colOff>
      <xdr:row>21</xdr:row>
      <xdr:rowOff>146187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B37D581E-E11F-4EAE-8881-7EFCF216EB6B}"/>
            </a:ext>
          </a:extLst>
        </xdr:cNvPr>
        <xdr:cNvGrpSpPr/>
      </xdr:nvGrpSpPr>
      <xdr:grpSpPr>
        <a:xfrm>
          <a:off x="3735549" y="278886"/>
          <a:ext cx="3233804" cy="3684055"/>
          <a:chOff x="3810883" y="276115"/>
          <a:chExt cx="3250776" cy="3710552"/>
        </a:xfrm>
      </xdr:grpSpPr>
      <xdr:cxnSp macro="">
        <xdr:nvCxnSpPr>
          <xdr:cNvPr id="14" name="Connector: Elbow 13">
            <a:extLst>
              <a:ext uri="{FF2B5EF4-FFF2-40B4-BE49-F238E27FC236}">
                <a16:creationId xmlns:a16="http://schemas.microsoft.com/office/drawing/2014/main" id="{D9531110-444B-465E-8FE0-441EB1C95FA6}"/>
              </a:ext>
            </a:extLst>
          </xdr:cNvPr>
          <xdr:cNvCxnSpPr>
            <a:stCxn id="26" idx="3"/>
            <a:endCxn id="21" idx="1"/>
          </xdr:cNvCxnSpPr>
        </xdr:nvCxnSpPr>
        <xdr:spPr>
          <a:xfrm>
            <a:off x="3810883" y="278040"/>
            <a:ext cx="3245924" cy="1190659"/>
          </a:xfrm>
          <a:prstGeom prst="bentConnector3">
            <a:avLst>
              <a:gd name="adj1" fmla="val 90789"/>
            </a:avLst>
          </a:prstGeom>
          <a:ln>
            <a:solidFill>
              <a:schemeClr val="accent2">
                <a:lumMod val="40000"/>
                <a:lumOff val="60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nector: Elbow 18">
            <a:extLst>
              <a:ext uri="{FF2B5EF4-FFF2-40B4-BE49-F238E27FC236}">
                <a16:creationId xmlns:a16="http://schemas.microsoft.com/office/drawing/2014/main" id="{0DC35F9E-8B57-4FA0-B29C-290E08E48D6E}"/>
              </a:ext>
            </a:extLst>
          </xdr:cNvPr>
          <xdr:cNvCxnSpPr/>
        </xdr:nvCxnSpPr>
        <xdr:spPr>
          <a:xfrm>
            <a:off x="3826123" y="276115"/>
            <a:ext cx="3235536" cy="3710552"/>
          </a:xfrm>
          <a:prstGeom prst="bentConnector3">
            <a:avLst>
              <a:gd name="adj1" fmla="val 90508"/>
            </a:avLst>
          </a:prstGeom>
          <a:ln>
            <a:solidFill>
              <a:schemeClr val="accent2">
                <a:lumMod val="40000"/>
                <a:lumOff val="60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464820</xdr:colOff>
      <xdr:row>3</xdr:row>
      <xdr:rowOff>60960</xdr:rowOff>
    </xdr:from>
    <xdr:to>
      <xdr:col>22</xdr:col>
      <xdr:colOff>175260</xdr:colOff>
      <xdr:row>14</xdr:row>
      <xdr:rowOff>137160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079AA28-FC94-4DD0-8569-1BFA02CD0969}"/>
            </a:ext>
          </a:extLst>
        </xdr:cNvPr>
        <xdr:cNvGrpSpPr/>
      </xdr:nvGrpSpPr>
      <xdr:grpSpPr>
        <a:xfrm>
          <a:off x="10960677" y="602673"/>
          <a:ext cx="2597728" cy="2076450"/>
          <a:chOff x="11178540" y="609600"/>
          <a:chExt cx="2758440" cy="2087880"/>
        </a:xfrm>
      </xdr:grpSpPr>
      <xdr:graphicFrame macro="">
        <xdr:nvGraphicFramePr>
          <xdr:cNvPr id="39" name="Chart 38">
            <a:extLst>
              <a:ext uri="{FF2B5EF4-FFF2-40B4-BE49-F238E27FC236}">
                <a16:creationId xmlns:a16="http://schemas.microsoft.com/office/drawing/2014/main" id="{2C20129A-EFE3-45D9-9CC2-8FE92DCF062A}"/>
              </a:ext>
            </a:extLst>
          </xdr:cNvPr>
          <xdr:cNvGraphicFramePr>
            <a:graphicFrameLocks/>
          </xdr:cNvGraphicFramePr>
        </xdr:nvGraphicFramePr>
        <xdr:xfrm>
          <a:off x="11178540" y="609600"/>
          <a:ext cx="2758440" cy="20878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ore!BR3">
        <xdr:nvSpPr>
          <xdr:cNvPr id="40" name="TextBox 39">
            <a:extLst>
              <a:ext uri="{FF2B5EF4-FFF2-40B4-BE49-F238E27FC236}">
                <a16:creationId xmlns:a16="http://schemas.microsoft.com/office/drawing/2014/main" id="{7C524328-4D04-4BC1-A9A3-813766960521}"/>
              </a:ext>
            </a:extLst>
          </xdr:cNvPr>
          <xdr:cNvSpPr txBox="1"/>
        </xdr:nvSpPr>
        <xdr:spPr>
          <a:xfrm>
            <a:off x="12328658" y="1340814"/>
            <a:ext cx="595745" cy="49560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r"/>
            <a:fld id="{A61A1D78-46D9-4BA9-8F6E-6CAF4983FE9C}" type="TxLink">
              <a:rPr lang="en-US" sz="2800" b="1" i="0" u="none" strike="noStrike" cap="none" spc="50">
                <a:ln w="0"/>
                <a:solidFill>
                  <a:schemeClr val="bg2">
                    <a:alpha val="29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libri"/>
                <a:cs typeface="Calibri"/>
              </a:rPr>
              <a:pPr algn="r"/>
              <a:t>35</a:t>
            </a:fld>
            <a:endParaRPr lang="pt-BR" sz="2000" b="1" cap="none" spc="50">
              <a:ln w="0"/>
              <a:solidFill>
                <a:schemeClr val="bg2">
                  <a:alpha val="29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68ED3A0C-518D-4530-919B-652C3DB620F3}"/>
              </a:ext>
            </a:extLst>
          </xdr:cNvPr>
          <xdr:cNvSpPr txBox="1"/>
        </xdr:nvSpPr>
        <xdr:spPr>
          <a:xfrm>
            <a:off x="12747758" y="1516075"/>
            <a:ext cx="663442" cy="3051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pt-BR" sz="1400" b="1" i="0" u="none" strike="noStrike" cap="none" spc="50">
                <a:ln w="0"/>
                <a:solidFill>
                  <a:schemeClr val="bg2">
                    <a:alpha val="29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libri"/>
                <a:cs typeface="Calibri"/>
              </a:rPr>
              <a:t>dias</a:t>
            </a:r>
            <a:endParaRPr lang="pt-BR" sz="2000" b="1" i="0" u="none" strike="noStrike" cap="none" spc="50">
              <a:ln w="0"/>
              <a:solidFill>
                <a:schemeClr val="bg2">
                  <a:alpha val="29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17</xdr:col>
      <xdr:colOff>480060</xdr:colOff>
      <xdr:row>15</xdr:row>
      <xdr:rowOff>53340</xdr:rowOff>
    </xdr:from>
    <xdr:to>
      <xdr:col>22</xdr:col>
      <xdr:colOff>190500</xdr:colOff>
      <xdr:row>26</xdr:row>
      <xdr:rowOff>129540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E86F971-166D-4221-8804-C12D7D68DBFE}"/>
            </a:ext>
          </a:extLst>
        </xdr:cNvPr>
        <xdr:cNvGrpSpPr/>
      </xdr:nvGrpSpPr>
      <xdr:grpSpPr>
        <a:xfrm>
          <a:off x="10960677" y="2784764"/>
          <a:ext cx="2616778" cy="2076450"/>
          <a:chOff x="11193780" y="2796540"/>
          <a:chExt cx="2758440" cy="2087880"/>
        </a:xfrm>
      </xdr:grpSpPr>
      <xdr:graphicFrame macro="">
        <xdr:nvGraphicFramePr>
          <xdr:cNvPr id="37" name="Chart 36">
            <a:extLst>
              <a:ext uri="{FF2B5EF4-FFF2-40B4-BE49-F238E27FC236}">
                <a16:creationId xmlns:a16="http://schemas.microsoft.com/office/drawing/2014/main" id="{E2E76C65-27E7-4F67-A137-32CDC064D9B5}"/>
              </a:ext>
            </a:extLst>
          </xdr:cNvPr>
          <xdr:cNvGraphicFramePr>
            <a:graphicFrameLocks/>
          </xdr:cNvGraphicFramePr>
        </xdr:nvGraphicFramePr>
        <xdr:xfrm>
          <a:off x="11193780" y="2796540"/>
          <a:ext cx="2758440" cy="20878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Core!BV21">
        <xdr:nvSpPr>
          <xdr:cNvPr id="41" name="TextBox 40">
            <a:extLst>
              <a:ext uri="{FF2B5EF4-FFF2-40B4-BE49-F238E27FC236}">
                <a16:creationId xmlns:a16="http://schemas.microsoft.com/office/drawing/2014/main" id="{64BB4464-767A-486D-A875-525FBEDEDA34}"/>
              </a:ext>
            </a:extLst>
          </xdr:cNvPr>
          <xdr:cNvSpPr txBox="1"/>
        </xdr:nvSpPr>
        <xdr:spPr>
          <a:xfrm>
            <a:off x="12207240" y="3535680"/>
            <a:ext cx="778625" cy="49560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r"/>
            <a:fld id="{2F4F9EA8-D75F-4251-99DC-4A25C4EA8834}" type="TxLink">
              <a:rPr lang="en-US" sz="2800" b="1" i="0" u="none" strike="noStrike" cap="none" spc="50">
                <a:ln w="0"/>
                <a:solidFill>
                  <a:schemeClr val="bg2">
                    <a:alpha val="3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libri"/>
                <a:ea typeface="+mn-ea"/>
                <a:cs typeface="Calibri"/>
              </a:rPr>
              <a:pPr marL="0" indent="0" algn="r"/>
              <a:t>180</a:t>
            </a:fld>
            <a:endParaRPr lang="pt-BR" sz="2800" b="1" i="0" u="none" strike="noStrike" cap="none" spc="50">
              <a:ln w="0"/>
              <a:solidFill>
                <a:schemeClr val="bg2">
                  <a:alpha val="3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8FA21EAC-FDD7-49D4-A867-6E47301BCA4B}"/>
              </a:ext>
            </a:extLst>
          </xdr:cNvPr>
          <xdr:cNvSpPr txBox="1"/>
        </xdr:nvSpPr>
        <xdr:spPr>
          <a:xfrm>
            <a:off x="12824460" y="3703320"/>
            <a:ext cx="663442" cy="3051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pt-BR" sz="1400" b="1" i="0" u="none" strike="noStrike" cap="none" spc="50">
                <a:ln w="0"/>
                <a:solidFill>
                  <a:schemeClr val="bg2">
                    <a:alpha val="29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libri"/>
                <a:cs typeface="Calibri"/>
              </a:rPr>
              <a:t>horas</a:t>
            </a:r>
            <a:endParaRPr lang="pt-BR" sz="2000" b="1" i="0" u="none" strike="noStrike" cap="none" spc="50">
              <a:ln w="0"/>
              <a:solidFill>
                <a:schemeClr val="bg2">
                  <a:alpha val="29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21</xdr:col>
      <xdr:colOff>514351</xdr:colOff>
      <xdr:row>15</xdr:row>
      <xdr:rowOff>171450</xdr:rowOff>
    </xdr:from>
    <xdr:to>
      <xdr:col>26</xdr:col>
      <xdr:colOff>83821</xdr:colOff>
      <xdr:row>27</xdr:row>
      <xdr:rowOff>66675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7364D2E8-CDE7-4511-8B69-9EA2D792BE9F}"/>
            </a:ext>
          </a:extLst>
        </xdr:cNvPr>
        <xdr:cNvGrpSpPr/>
      </xdr:nvGrpSpPr>
      <xdr:grpSpPr>
        <a:xfrm>
          <a:off x="13291359" y="2895254"/>
          <a:ext cx="3134072" cy="2079221"/>
          <a:chOff x="10164703" y="-294827"/>
          <a:chExt cx="2758440" cy="2087880"/>
        </a:xfrm>
      </xdr:grpSpPr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575C64D5-B754-43B2-9AFF-0B03C21A0E00}"/>
              </a:ext>
            </a:extLst>
          </xdr:cNvPr>
          <xdr:cNvGraphicFramePr>
            <a:graphicFrameLocks/>
          </xdr:cNvGraphicFramePr>
        </xdr:nvGraphicFramePr>
        <xdr:xfrm>
          <a:off x="10164703" y="-294827"/>
          <a:ext cx="2758440" cy="20878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Core!AI5">
        <xdr:nvSpPr>
          <xdr:cNvPr id="59" name="TextBox 58">
            <a:extLst>
              <a:ext uri="{FF2B5EF4-FFF2-40B4-BE49-F238E27FC236}">
                <a16:creationId xmlns:a16="http://schemas.microsoft.com/office/drawing/2014/main" id="{4C2CA44B-7E36-4E4C-A2A4-1F0C7660D55B}"/>
              </a:ext>
            </a:extLst>
          </xdr:cNvPr>
          <xdr:cNvSpPr txBox="1"/>
        </xdr:nvSpPr>
        <xdr:spPr>
          <a:xfrm>
            <a:off x="10863111" y="474873"/>
            <a:ext cx="1128505" cy="49560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r"/>
            <a:fld id="{E456AC0E-C538-4E43-8AC4-6BEA9BA409B0}" type="TxLink">
              <a:rPr lang="en-US" sz="2800" b="1" i="0" u="none" strike="noStrike" cap="none" spc="50">
                <a:ln w="0"/>
                <a:solidFill>
                  <a:schemeClr val="bg2">
                    <a:alpha val="3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libri"/>
                <a:ea typeface="+mn-ea"/>
                <a:cs typeface="Calibri"/>
              </a:rPr>
              <a:pPr marL="0" indent="0" algn="r"/>
              <a:t>2699</a:t>
            </a:fld>
            <a:endParaRPr lang="pt-BR" sz="2800" b="1" i="0" u="none" strike="noStrike" cap="none" spc="50">
              <a:ln w="0"/>
              <a:solidFill>
                <a:schemeClr val="bg2">
                  <a:alpha val="3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libri"/>
              <a:ea typeface="+mn-ea"/>
              <a:cs typeface="Calibri"/>
            </a:endParaRP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EE65EB0-4F56-42A4-820E-87FA388B0600}"/>
              </a:ext>
            </a:extLst>
          </xdr:cNvPr>
          <xdr:cNvSpPr txBox="1"/>
        </xdr:nvSpPr>
        <xdr:spPr>
          <a:xfrm>
            <a:off x="11780819" y="657708"/>
            <a:ext cx="496088" cy="29826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r"/>
            <a:r>
              <a:rPr lang="pt-BR" sz="1400" b="1" i="0" u="none" strike="noStrike" cap="none" spc="50">
                <a:ln w="0"/>
                <a:solidFill>
                  <a:schemeClr val="bg2">
                    <a:alpha val="3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libri"/>
                <a:ea typeface="+mn-ea"/>
                <a:cs typeface="Calibri"/>
              </a:rPr>
              <a:t>km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52403" cy="152403"/>
    <xdr:pic>
      <xdr:nvPicPr>
        <xdr:cNvPr id="2" name="Imagem 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BB0B1D3-FDF0-426E-841D-79D3BE47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828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5</xdr:row>
      <xdr:rowOff>0</xdr:rowOff>
    </xdr:from>
    <xdr:ext cx="152403" cy="152403"/>
    <xdr:pic>
      <xdr:nvPicPr>
        <xdr:cNvPr id="3" name="Imagem 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8D1281A-8140-4C2F-BBC2-FF0020642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9144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8</xdr:row>
      <xdr:rowOff>0</xdr:rowOff>
    </xdr:from>
    <xdr:ext cx="152403" cy="152403"/>
    <xdr:pic>
      <xdr:nvPicPr>
        <xdr:cNvPr id="4" name="Imagem 3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A6E95975-7696-4BAD-95BD-3C0FD089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266700" y="14630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12</xdr:row>
      <xdr:rowOff>0</xdr:rowOff>
    </xdr:from>
    <xdr:ext cx="152403" cy="152403"/>
    <xdr:pic>
      <xdr:nvPicPr>
        <xdr:cNvPr id="5" name="Imagem 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58BA580-E3E3-4EE0-B306-54E053491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1945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16</xdr:row>
      <xdr:rowOff>0</xdr:rowOff>
    </xdr:from>
    <xdr:ext cx="152403" cy="152403"/>
    <xdr:pic>
      <xdr:nvPicPr>
        <xdr:cNvPr id="6" name="Imagem 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2316DCF-63A9-4A4B-86D7-A9F26A560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9260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20</xdr:row>
      <xdr:rowOff>0</xdr:rowOff>
    </xdr:from>
    <xdr:ext cx="152403" cy="152403"/>
    <xdr:pic>
      <xdr:nvPicPr>
        <xdr:cNvPr id="7" name="Imagem 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813E802-2C9D-47B8-BB40-F42B90E09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6576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24</xdr:row>
      <xdr:rowOff>0</xdr:rowOff>
    </xdr:from>
    <xdr:ext cx="152403" cy="152403"/>
    <xdr:pic>
      <xdr:nvPicPr>
        <xdr:cNvPr id="8" name="Imagem 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7F089C4-5377-4EF4-A658-1290426A0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3891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28</xdr:row>
      <xdr:rowOff>0</xdr:rowOff>
    </xdr:from>
    <xdr:ext cx="152403" cy="152403"/>
    <xdr:pic>
      <xdr:nvPicPr>
        <xdr:cNvPr id="9" name="Imagem 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662FD6-DDFE-4E8C-8AF1-60B8B11C0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51206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32</xdr:row>
      <xdr:rowOff>0</xdr:rowOff>
    </xdr:from>
    <xdr:ext cx="152403" cy="152403"/>
    <xdr:pic>
      <xdr:nvPicPr>
        <xdr:cNvPr id="10" name="Imagem 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1667C55-5178-4751-A499-89A73557A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58521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36</xdr:row>
      <xdr:rowOff>0</xdr:rowOff>
    </xdr:from>
    <xdr:ext cx="152403" cy="152403"/>
    <xdr:pic>
      <xdr:nvPicPr>
        <xdr:cNvPr id="11" name="Imagem 1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770BC76-15B8-41FC-A14F-2BBC2D0AB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65836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40</xdr:row>
      <xdr:rowOff>0</xdr:rowOff>
    </xdr:from>
    <xdr:ext cx="152403" cy="152403"/>
    <xdr:pic>
      <xdr:nvPicPr>
        <xdr:cNvPr id="12" name="Imagem 1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8B91C37-F9B2-4F52-9062-4DD680BE4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73152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44</xdr:row>
      <xdr:rowOff>0</xdr:rowOff>
    </xdr:from>
    <xdr:ext cx="152403" cy="152403"/>
    <xdr:pic>
      <xdr:nvPicPr>
        <xdr:cNvPr id="13" name="Imagem 1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D30B2B2-3392-481F-9358-D2BB38F77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80467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48</xdr:row>
      <xdr:rowOff>0</xdr:rowOff>
    </xdr:from>
    <xdr:ext cx="152403" cy="152403"/>
    <xdr:pic>
      <xdr:nvPicPr>
        <xdr:cNvPr id="14" name="Imagem 1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B2A5488-6257-45C8-AEBE-E0E80467E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87782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52</xdr:row>
      <xdr:rowOff>0</xdr:rowOff>
    </xdr:from>
    <xdr:ext cx="152403" cy="152403"/>
    <xdr:pic>
      <xdr:nvPicPr>
        <xdr:cNvPr id="15" name="Imagem 1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302AD87-CDBF-41C1-B0E5-572CB0D32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95097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56</xdr:row>
      <xdr:rowOff>0</xdr:rowOff>
    </xdr:from>
    <xdr:ext cx="152403" cy="152403"/>
    <xdr:pic>
      <xdr:nvPicPr>
        <xdr:cNvPr id="16" name="Imagem 1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7363692-1185-4B3F-AADC-6812757CA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02412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60</xdr:row>
      <xdr:rowOff>0</xdr:rowOff>
    </xdr:from>
    <xdr:ext cx="152403" cy="152403"/>
    <xdr:pic>
      <xdr:nvPicPr>
        <xdr:cNvPr id="17" name="Imagem 1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99EE5B6-9E64-40EC-B1E9-9BD3DC544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09728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63</xdr:row>
      <xdr:rowOff>0</xdr:rowOff>
    </xdr:from>
    <xdr:ext cx="152403" cy="152403"/>
    <xdr:pic>
      <xdr:nvPicPr>
        <xdr:cNvPr id="18" name="Imagem 1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1C4F40F-6205-48EA-AA34-B5871A5CE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15214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67</xdr:row>
      <xdr:rowOff>0</xdr:rowOff>
    </xdr:from>
    <xdr:ext cx="152403" cy="152403"/>
    <xdr:pic>
      <xdr:nvPicPr>
        <xdr:cNvPr id="19" name="Imagem 1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C33A6E5-7C44-4711-8E83-1C972997D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22529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71</xdr:row>
      <xdr:rowOff>0</xdr:rowOff>
    </xdr:from>
    <xdr:ext cx="152403" cy="152403"/>
    <xdr:pic>
      <xdr:nvPicPr>
        <xdr:cNvPr id="20" name="Imagem 1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A6233E3-A255-4710-9F41-92D071B78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29844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75</xdr:row>
      <xdr:rowOff>0</xdr:rowOff>
    </xdr:from>
    <xdr:ext cx="152403" cy="152403"/>
    <xdr:pic>
      <xdr:nvPicPr>
        <xdr:cNvPr id="21" name="Imagem 2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EC77CDB-B61B-4E37-9A88-A1B61E3AD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37160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79</xdr:row>
      <xdr:rowOff>0</xdr:rowOff>
    </xdr:from>
    <xdr:ext cx="152403" cy="152403"/>
    <xdr:pic>
      <xdr:nvPicPr>
        <xdr:cNvPr id="22" name="Imagem 2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3B9D7FE-1E16-4340-AD28-6BC30C4C2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44475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83</xdr:row>
      <xdr:rowOff>0</xdr:rowOff>
    </xdr:from>
    <xdr:ext cx="152403" cy="152403"/>
    <xdr:pic>
      <xdr:nvPicPr>
        <xdr:cNvPr id="23" name="Imagem 2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622D58E-46D7-43A3-AD72-55E269E32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51790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86</xdr:row>
      <xdr:rowOff>0</xdr:rowOff>
    </xdr:from>
    <xdr:ext cx="152403" cy="152403"/>
    <xdr:pic>
      <xdr:nvPicPr>
        <xdr:cNvPr id="24" name="Imagem 2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9A7DA0C-8A58-4AE6-9ADE-7BF8819D7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57276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90</xdr:row>
      <xdr:rowOff>0</xdr:rowOff>
    </xdr:from>
    <xdr:ext cx="152403" cy="152403"/>
    <xdr:pic>
      <xdr:nvPicPr>
        <xdr:cNvPr id="25" name="Imagem 2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3CA3095-DF77-48EC-8BA2-860624326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64592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94</xdr:row>
      <xdr:rowOff>0</xdr:rowOff>
    </xdr:from>
    <xdr:ext cx="152403" cy="152403"/>
    <xdr:pic>
      <xdr:nvPicPr>
        <xdr:cNvPr id="26" name="Imagem 2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6FB3A98-5844-4865-9232-CB5BD2033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71907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98</xdr:row>
      <xdr:rowOff>0</xdr:rowOff>
    </xdr:from>
    <xdr:ext cx="152403" cy="152403"/>
    <xdr:pic>
      <xdr:nvPicPr>
        <xdr:cNvPr id="27" name="Imagem 2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5FF497D-8545-419C-8A2D-1800AFB0B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79222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102</xdr:row>
      <xdr:rowOff>0</xdr:rowOff>
    </xdr:from>
    <xdr:ext cx="152403" cy="152403"/>
    <xdr:pic>
      <xdr:nvPicPr>
        <xdr:cNvPr id="28" name="Imagem 2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49A05B8-BFBA-4A3B-8E47-AFC19709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86537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106</xdr:row>
      <xdr:rowOff>0</xdr:rowOff>
    </xdr:from>
    <xdr:ext cx="152403" cy="152403"/>
    <xdr:pic>
      <xdr:nvPicPr>
        <xdr:cNvPr id="29" name="Imagem 2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C3F3F2B-8DDC-42B3-96BB-A07F8453C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193852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110</xdr:row>
      <xdr:rowOff>0</xdr:rowOff>
    </xdr:from>
    <xdr:ext cx="152403" cy="152403"/>
    <xdr:pic>
      <xdr:nvPicPr>
        <xdr:cNvPr id="30" name="Imagem 2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5EBB071-4783-44A4-9E69-BBA1B1EED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01168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114</xdr:row>
      <xdr:rowOff>0</xdr:rowOff>
    </xdr:from>
    <xdr:ext cx="152403" cy="152403"/>
    <xdr:pic>
      <xdr:nvPicPr>
        <xdr:cNvPr id="31" name="Imagem 3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F109C7D-B57D-4F12-A512-E7A68A8DF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08483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118</xdr:row>
      <xdr:rowOff>0</xdr:rowOff>
    </xdr:from>
    <xdr:ext cx="152403" cy="152403"/>
    <xdr:pic>
      <xdr:nvPicPr>
        <xdr:cNvPr id="32" name="Imagem 3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DFD2B15-5906-46E8-BDE8-9DF4404B0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15798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122</xdr:row>
      <xdr:rowOff>0</xdr:rowOff>
    </xdr:from>
    <xdr:ext cx="152403" cy="152403"/>
    <xdr:pic>
      <xdr:nvPicPr>
        <xdr:cNvPr id="33" name="Imagem 3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8FC6214-A4A7-4BA0-84B8-CEB202392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23113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126</xdr:row>
      <xdr:rowOff>0</xdr:rowOff>
    </xdr:from>
    <xdr:ext cx="152403" cy="152403"/>
    <xdr:pic>
      <xdr:nvPicPr>
        <xdr:cNvPr id="34" name="Imagem 3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AB318F1-7EB8-41C1-814F-B6986B1C1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30428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130</xdr:row>
      <xdr:rowOff>0</xdr:rowOff>
    </xdr:from>
    <xdr:ext cx="152403" cy="152403"/>
    <xdr:pic>
      <xdr:nvPicPr>
        <xdr:cNvPr id="35" name="Imagem 3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A0FE830-615E-4757-9398-1F963131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37744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134</xdr:row>
      <xdr:rowOff>0</xdr:rowOff>
    </xdr:from>
    <xdr:ext cx="152403" cy="152403"/>
    <xdr:pic>
      <xdr:nvPicPr>
        <xdr:cNvPr id="36" name="Imagem 3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1656E02-A62B-4EAF-9FA1-577EC1111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45059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138</xdr:row>
      <xdr:rowOff>0</xdr:rowOff>
    </xdr:from>
    <xdr:ext cx="152403" cy="152403"/>
    <xdr:pic>
      <xdr:nvPicPr>
        <xdr:cNvPr id="37" name="Imagem 3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B208D84-0E15-48AD-88B8-3507EB2CD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52374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142</xdr:row>
      <xdr:rowOff>0</xdr:rowOff>
    </xdr:from>
    <xdr:ext cx="152403" cy="152403"/>
    <xdr:pic>
      <xdr:nvPicPr>
        <xdr:cNvPr id="38" name="Imagem 3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903767E-BF2C-43CF-9914-00F1FACA4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59689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146</xdr:row>
      <xdr:rowOff>0</xdr:rowOff>
    </xdr:from>
    <xdr:ext cx="152403" cy="152403"/>
    <xdr:pic>
      <xdr:nvPicPr>
        <xdr:cNvPr id="39" name="Imagem 3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52C7749-4F43-4B28-B5D3-01D35FA84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67004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150</xdr:row>
      <xdr:rowOff>0</xdr:rowOff>
    </xdr:from>
    <xdr:ext cx="152403" cy="152403"/>
    <xdr:pic>
      <xdr:nvPicPr>
        <xdr:cNvPr id="40" name="Imagem 3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08CF5B1-DA9E-4F40-9C75-D3698643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74320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154</xdr:row>
      <xdr:rowOff>0</xdr:rowOff>
    </xdr:from>
    <xdr:ext cx="152403" cy="152403"/>
    <xdr:pic>
      <xdr:nvPicPr>
        <xdr:cNvPr id="41" name="Imagem 4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44D57A5-503B-42C6-AD67-A459CFB32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81635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156</xdr:row>
      <xdr:rowOff>0</xdr:rowOff>
    </xdr:from>
    <xdr:ext cx="152403" cy="152403"/>
    <xdr:pic>
      <xdr:nvPicPr>
        <xdr:cNvPr id="42" name="Imagem 4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41A7D09-957A-4F0B-9A36-2BF7AD1A7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85292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160</xdr:row>
      <xdr:rowOff>0</xdr:rowOff>
    </xdr:from>
    <xdr:ext cx="152403" cy="152403"/>
    <xdr:pic>
      <xdr:nvPicPr>
        <xdr:cNvPr id="43" name="Imagem 4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0CCF7C0-E3C1-492D-9C39-3D8B279E9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92608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164</xdr:row>
      <xdr:rowOff>0</xdr:rowOff>
    </xdr:from>
    <xdr:ext cx="152403" cy="152403"/>
    <xdr:pic>
      <xdr:nvPicPr>
        <xdr:cNvPr id="44" name="Imagem 4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7AFF06A-D2CF-42FB-A383-1B338A03F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299923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168</xdr:row>
      <xdr:rowOff>0</xdr:rowOff>
    </xdr:from>
    <xdr:ext cx="152403" cy="152403"/>
    <xdr:pic>
      <xdr:nvPicPr>
        <xdr:cNvPr id="45" name="Imagem 4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7FAEC39-7909-4702-8FDC-34C56C65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07238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172</xdr:row>
      <xdr:rowOff>0</xdr:rowOff>
    </xdr:from>
    <xdr:ext cx="152403" cy="152403"/>
    <xdr:pic>
      <xdr:nvPicPr>
        <xdr:cNvPr id="46" name="Imagem 4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A7F5260-FF66-4A87-BD1C-61405DAC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14553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176</xdr:row>
      <xdr:rowOff>0</xdr:rowOff>
    </xdr:from>
    <xdr:ext cx="152403" cy="152403"/>
    <xdr:pic>
      <xdr:nvPicPr>
        <xdr:cNvPr id="47" name="Imagem 4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CE95F38-A291-4A8A-B4FC-61675CE45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21868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180</xdr:row>
      <xdr:rowOff>0</xdr:rowOff>
    </xdr:from>
    <xdr:ext cx="152403" cy="152403"/>
    <xdr:pic>
      <xdr:nvPicPr>
        <xdr:cNvPr id="48" name="Imagem 47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FC14F9B4-906D-4B46-BB34-02396959D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266700" y="329184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183</xdr:row>
      <xdr:rowOff>0</xdr:rowOff>
    </xdr:from>
    <xdr:ext cx="152403" cy="152403"/>
    <xdr:pic>
      <xdr:nvPicPr>
        <xdr:cNvPr id="49" name="Imagem 4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16B09EF-19BB-4208-948E-3DE838BEA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34670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187</xdr:row>
      <xdr:rowOff>0</xdr:rowOff>
    </xdr:from>
    <xdr:ext cx="152403" cy="152403"/>
    <xdr:pic>
      <xdr:nvPicPr>
        <xdr:cNvPr id="50" name="Imagem 4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2D52DFB-01B0-4B01-BDCD-3044C2173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41985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191</xdr:row>
      <xdr:rowOff>0</xdr:rowOff>
    </xdr:from>
    <xdr:ext cx="152403" cy="152403"/>
    <xdr:pic>
      <xdr:nvPicPr>
        <xdr:cNvPr id="51" name="Imagem 5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0AC66A8-D0FF-406C-BDA1-6521CE76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49300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195</xdr:row>
      <xdr:rowOff>0</xdr:rowOff>
    </xdr:from>
    <xdr:ext cx="152403" cy="152403"/>
    <xdr:pic>
      <xdr:nvPicPr>
        <xdr:cNvPr id="52" name="Imagem 5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454687E-3007-4121-9C12-47832FF46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56616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199</xdr:row>
      <xdr:rowOff>0</xdr:rowOff>
    </xdr:from>
    <xdr:ext cx="152403" cy="152403"/>
    <xdr:pic>
      <xdr:nvPicPr>
        <xdr:cNvPr id="53" name="Imagem 5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814A910-745E-4764-87E3-EAD6D1714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63931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203</xdr:row>
      <xdr:rowOff>0</xdr:rowOff>
    </xdr:from>
    <xdr:ext cx="152403" cy="152403"/>
    <xdr:pic>
      <xdr:nvPicPr>
        <xdr:cNvPr id="54" name="Imagem 5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91781F1-B003-4004-A15C-DA5FB20D6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71246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207</xdr:row>
      <xdr:rowOff>0</xdr:rowOff>
    </xdr:from>
    <xdr:ext cx="152403" cy="152403"/>
    <xdr:pic>
      <xdr:nvPicPr>
        <xdr:cNvPr id="55" name="Imagem 5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C8BE555-985A-4016-9808-FE8BF6710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78561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211</xdr:row>
      <xdr:rowOff>0</xdr:rowOff>
    </xdr:from>
    <xdr:ext cx="152403" cy="152403"/>
    <xdr:pic>
      <xdr:nvPicPr>
        <xdr:cNvPr id="56" name="Imagem 5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A30BCA4-57A8-4F4D-8DF2-524100382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85876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215</xdr:row>
      <xdr:rowOff>0</xdr:rowOff>
    </xdr:from>
    <xdr:ext cx="152403" cy="152403"/>
    <xdr:pic>
      <xdr:nvPicPr>
        <xdr:cNvPr id="57" name="Imagem 5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8EE217B-0BBC-4F0E-BC47-91A25C365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93192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218</xdr:row>
      <xdr:rowOff>0</xdr:rowOff>
    </xdr:from>
    <xdr:ext cx="152403" cy="152403"/>
    <xdr:pic>
      <xdr:nvPicPr>
        <xdr:cNvPr id="58" name="Imagem 5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15DF459-E34C-4774-BD10-3080EDF8F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398678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222</xdr:row>
      <xdr:rowOff>0</xdr:rowOff>
    </xdr:from>
    <xdr:ext cx="152403" cy="152403"/>
    <xdr:pic>
      <xdr:nvPicPr>
        <xdr:cNvPr id="59" name="Imagem 5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4BE4AD9-D9A2-4C5A-9EF6-EE454A533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05993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226</xdr:row>
      <xdr:rowOff>0</xdr:rowOff>
    </xdr:from>
    <xdr:ext cx="152403" cy="152403"/>
    <xdr:pic>
      <xdr:nvPicPr>
        <xdr:cNvPr id="60" name="Imagem 5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11911BD-6403-4DF6-8FD7-CD4FFD1C5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13308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230</xdr:row>
      <xdr:rowOff>0</xdr:rowOff>
    </xdr:from>
    <xdr:ext cx="152403" cy="152403"/>
    <xdr:pic>
      <xdr:nvPicPr>
        <xdr:cNvPr id="61" name="Imagem 6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F7B8B0A-8BED-429F-97E8-6ACDB9145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20624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233</xdr:row>
      <xdr:rowOff>0</xdr:rowOff>
    </xdr:from>
    <xdr:ext cx="152403" cy="152403"/>
    <xdr:pic>
      <xdr:nvPicPr>
        <xdr:cNvPr id="62" name="Imagem 6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B8E97E4-4BB9-4E07-9BB0-A798A7A05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26110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237</xdr:row>
      <xdr:rowOff>0</xdr:rowOff>
    </xdr:from>
    <xdr:ext cx="152403" cy="152403"/>
    <xdr:pic>
      <xdr:nvPicPr>
        <xdr:cNvPr id="63" name="Imagem 6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5A9898A-7879-4DC1-BDB8-19BE2D90E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33425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241</xdr:row>
      <xdr:rowOff>0</xdr:rowOff>
    </xdr:from>
    <xdr:ext cx="152403" cy="152403"/>
    <xdr:pic>
      <xdr:nvPicPr>
        <xdr:cNvPr id="64" name="Imagem 6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7440448-9640-43C2-94F7-923232309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407408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245</xdr:row>
      <xdr:rowOff>0</xdr:rowOff>
    </xdr:from>
    <xdr:ext cx="152403" cy="152403"/>
    <xdr:pic>
      <xdr:nvPicPr>
        <xdr:cNvPr id="65" name="Imagem 6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455B065-67F2-4363-A59D-B3E274D29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480560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249</xdr:row>
      <xdr:rowOff>0</xdr:rowOff>
    </xdr:from>
    <xdr:ext cx="152403" cy="152403"/>
    <xdr:pic>
      <xdr:nvPicPr>
        <xdr:cNvPr id="66" name="Imagem 6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659ACCE-2C1C-4960-AADC-0C08C7EA9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553712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253</xdr:row>
      <xdr:rowOff>0</xdr:rowOff>
    </xdr:from>
    <xdr:ext cx="152403" cy="152403"/>
    <xdr:pic>
      <xdr:nvPicPr>
        <xdr:cNvPr id="67" name="Imagem 6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B3A59D5-0674-4511-9EFA-64B6327AC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626864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1</xdr:col>
      <xdr:colOff>0</xdr:colOff>
      <xdr:row>257</xdr:row>
      <xdr:rowOff>0</xdr:rowOff>
    </xdr:from>
    <xdr:ext cx="152403" cy="152403"/>
    <xdr:pic>
      <xdr:nvPicPr>
        <xdr:cNvPr id="68" name="Imagem 6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9D9EE63-0899-4531-ACD7-9596555EC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266700" y="47000160"/>
          <a:ext cx="152403" cy="152403"/>
        </a:xfrm>
        <a:prstGeom prst="rect">
          <a:avLst/>
        </a:prstGeom>
        <a:noFill/>
        <a:ln cap="flat">
          <a:noFill/>
        </a:ln>
      </xdr:spPr>
    </xdr:pic>
    <xdr:clientData/>
  </xdr:oneCellAnchor>
  <xdr:twoCellAnchor editAs="oneCell">
    <xdr:from>
      <xdr:col>1</xdr:col>
      <xdr:colOff>0</xdr:colOff>
      <xdr:row>157</xdr:row>
      <xdr:rowOff>0</xdr:rowOff>
    </xdr:from>
    <xdr:to>
      <xdr:col>1</xdr:col>
      <xdr:colOff>152400</xdr:colOff>
      <xdr:row>157</xdr:row>
      <xdr:rowOff>152400</xdr:rowOff>
    </xdr:to>
    <xdr:pic>
      <xdr:nvPicPr>
        <xdr:cNvPr id="109" name="Picture 10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87FB09C-13C9-4CC7-A46C-89DE238A4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8757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152400</xdr:colOff>
      <xdr:row>161</xdr:row>
      <xdr:rowOff>152400</xdr:rowOff>
    </xdr:to>
    <xdr:pic>
      <xdr:nvPicPr>
        <xdr:cNvPr id="110" name="Picture 10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81BF004-A39F-4FC2-AD7D-55FCA8BAC4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95122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152400</xdr:colOff>
      <xdr:row>165</xdr:row>
      <xdr:rowOff>152400</xdr:rowOff>
    </xdr:to>
    <xdr:pic>
      <xdr:nvPicPr>
        <xdr:cNvPr id="111" name="Picture 11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2D60FEA-27EA-4B90-AC62-2A874FCC30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0266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152400</xdr:colOff>
      <xdr:row>169</xdr:row>
      <xdr:rowOff>152400</xdr:rowOff>
    </xdr:to>
    <xdr:pic>
      <xdr:nvPicPr>
        <xdr:cNvPr id="112" name="Picture 11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9401B6C-D12C-4322-B082-F4BAC9634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1021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152400</xdr:colOff>
      <xdr:row>173</xdr:row>
      <xdr:rowOff>152400</xdr:rowOff>
    </xdr:to>
    <xdr:pic>
      <xdr:nvPicPr>
        <xdr:cNvPr id="113" name="Picture 11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1984FB3-9464-4CB7-B4B7-71653BEF5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19049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152400</xdr:colOff>
      <xdr:row>177</xdr:row>
      <xdr:rowOff>152400</xdr:rowOff>
    </xdr:to>
    <xdr:pic>
      <xdr:nvPicPr>
        <xdr:cNvPr id="114" name="Picture 11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2858E95-51FA-4C8C-AB7D-4DB76288F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27888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152400</xdr:colOff>
      <xdr:row>181</xdr:row>
      <xdr:rowOff>152400</xdr:rowOff>
    </xdr:to>
    <xdr:pic>
      <xdr:nvPicPr>
        <xdr:cNvPr id="115" name="Picture 114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DC9933BC-9AAD-4385-8B12-39C413CD5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3672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152400</xdr:colOff>
      <xdr:row>184</xdr:row>
      <xdr:rowOff>152400</xdr:rowOff>
    </xdr:to>
    <xdr:pic>
      <xdr:nvPicPr>
        <xdr:cNvPr id="116" name="Picture 11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C1E8A89-A6D6-4083-8E8D-ECBD516EF8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4251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152400</xdr:colOff>
      <xdr:row>188</xdr:row>
      <xdr:rowOff>152400</xdr:rowOff>
    </xdr:to>
    <xdr:pic>
      <xdr:nvPicPr>
        <xdr:cNvPr id="117" name="Picture 11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0BF5AFC-0DE2-4B3C-8C41-B99142FF6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5524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152400</xdr:colOff>
      <xdr:row>192</xdr:row>
      <xdr:rowOff>152400</xdr:rowOff>
    </xdr:to>
    <xdr:pic>
      <xdr:nvPicPr>
        <xdr:cNvPr id="118" name="Picture 11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8B0A32B-3599-44CA-A40B-BA5EDC1D49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6278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152400</xdr:colOff>
      <xdr:row>196</xdr:row>
      <xdr:rowOff>152400</xdr:rowOff>
    </xdr:to>
    <xdr:pic>
      <xdr:nvPicPr>
        <xdr:cNvPr id="119" name="Picture 11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57F9ABE-07F4-4793-8C32-51368BE1EB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7033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152400</xdr:colOff>
      <xdr:row>200</xdr:row>
      <xdr:rowOff>152400</xdr:rowOff>
    </xdr:to>
    <xdr:pic>
      <xdr:nvPicPr>
        <xdr:cNvPr id="120" name="Picture 11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BF18492-6893-4B58-804E-2B26011849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7787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152400</xdr:colOff>
      <xdr:row>204</xdr:row>
      <xdr:rowOff>152400</xdr:rowOff>
    </xdr:to>
    <xdr:pic>
      <xdr:nvPicPr>
        <xdr:cNvPr id="121" name="Picture 12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A0D0757-3712-474B-A542-04B9E8F869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8671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152400</xdr:colOff>
      <xdr:row>208</xdr:row>
      <xdr:rowOff>152400</xdr:rowOff>
    </xdr:to>
    <xdr:pic>
      <xdr:nvPicPr>
        <xdr:cNvPr id="122" name="Picture 12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65B4219-0428-40FE-B0FD-E9A1339EB7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95554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152400</xdr:colOff>
      <xdr:row>212</xdr:row>
      <xdr:rowOff>152400</xdr:rowOff>
    </xdr:to>
    <xdr:pic>
      <xdr:nvPicPr>
        <xdr:cNvPr id="123" name="Picture 12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B9AE28D-5BB4-4D7E-BE0D-F08CB797C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0309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152400</xdr:colOff>
      <xdr:row>216</xdr:row>
      <xdr:rowOff>152400</xdr:rowOff>
    </xdr:to>
    <xdr:pic>
      <xdr:nvPicPr>
        <xdr:cNvPr id="124" name="Picture 12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B508099-E486-4153-BDB3-0E3059AF8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1064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152400</xdr:colOff>
      <xdr:row>219</xdr:row>
      <xdr:rowOff>152400</xdr:rowOff>
    </xdr:to>
    <xdr:pic>
      <xdr:nvPicPr>
        <xdr:cNvPr id="125" name="Picture 12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01F828F-30E8-4872-B636-B8952D073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1643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152400</xdr:colOff>
      <xdr:row>223</xdr:row>
      <xdr:rowOff>152400</xdr:rowOff>
    </xdr:to>
    <xdr:pic>
      <xdr:nvPicPr>
        <xdr:cNvPr id="126" name="Picture 12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3F8A457-37BC-4FFA-A6C9-1163F09234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2527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152400</xdr:colOff>
      <xdr:row>227</xdr:row>
      <xdr:rowOff>152400</xdr:rowOff>
    </xdr:to>
    <xdr:pic>
      <xdr:nvPicPr>
        <xdr:cNvPr id="127" name="Picture 12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1224B82-B731-450C-B3EF-E1E4DC00E3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3281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152400</xdr:colOff>
      <xdr:row>231</xdr:row>
      <xdr:rowOff>152400</xdr:rowOff>
    </xdr:to>
    <xdr:pic>
      <xdr:nvPicPr>
        <xdr:cNvPr id="128" name="Picture 12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5F37525-55DB-4AF6-BF58-76D39FFCE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4035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152400</xdr:colOff>
      <xdr:row>234</xdr:row>
      <xdr:rowOff>152400</xdr:rowOff>
    </xdr:to>
    <xdr:pic>
      <xdr:nvPicPr>
        <xdr:cNvPr id="129" name="Picture 12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7B63534-33E6-49D8-B0AD-8590B6A66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4615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152400</xdr:colOff>
      <xdr:row>238</xdr:row>
      <xdr:rowOff>152400</xdr:rowOff>
    </xdr:to>
    <xdr:pic>
      <xdr:nvPicPr>
        <xdr:cNvPr id="130" name="Picture 12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FAE0EB8-C340-4EAF-99ED-C4F44A49B9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5499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152400</xdr:colOff>
      <xdr:row>242</xdr:row>
      <xdr:rowOff>152400</xdr:rowOff>
    </xdr:to>
    <xdr:pic>
      <xdr:nvPicPr>
        <xdr:cNvPr id="131" name="Picture 13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9C527F5-360D-4160-869E-8F55BAE95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625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152400</xdr:colOff>
      <xdr:row>246</xdr:row>
      <xdr:rowOff>152400</xdr:rowOff>
    </xdr:to>
    <xdr:pic>
      <xdr:nvPicPr>
        <xdr:cNvPr id="132" name="Picture 13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1F48EB9-E26F-4C97-8573-0BD8488B7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007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152400</xdr:colOff>
      <xdr:row>250</xdr:row>
      <xdr:rowOff>152400</xdr:rowOff>
    </xdr:to>
    <xdr:pic>
      <xdr:nvPicPr>
        <xdr:cNvPr id="133" name="Picture 13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E44AF49-DC8C-4903-9CA9-FE9F4F5E7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762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152400</xdr:colOff>
      <xdr:row>254</xdr:row>
      <xdr:rowOff>152400</xdr:rowOff>
    </xdr:to>
    <xdr:pic>
      <xdr:nvPicPr>
        <xdr:cNvPr id="134" name="Picture 13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0FDAD82-F782-4F06-BC76-0FDDC36BE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86460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152400</xdr:colOff>
      <xdr:row>258</xdr:row>
      <xdr:rowOff>152400</xdr:rowOff>
    </xdr:to>
    <xdr:pic>
      <xdr:nvPicPr>
        <xdr:cNvPr id="135" name="Picture 13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DEF4CB3-D532-4732-843A-61BCD7C77A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953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152400</xdr:colOff>
      <xdr:row>261</xdr:row>
      <xdr:rowOff>152400</xdr:rowOff>
    </xdr:to>
    <xdr:pic>
      <xdr:nvPicPr>
        <xdr:cNvPr id="136" name="Picture 13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589A004-EE82-4BB7-99BE-69E5C68EB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0109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152400</xdr:colOff>
      <xdr:row>265</xdr:row>
      <xdr:rowOff>152400</xdr:rowOff>
    </xdr:to>
    <xdr:pic>
      <xdr:nvPicPr>
        <xdr:cNvPr id="137" name="Picture 13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6DCC489-9B05-4058-B617-ABA04DC6E6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0993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152400</xdr:colOff>
      <xdr:row>269</xdr:row>
      <xdr:rowOff>152400</xdr:rowOff>
    </xdr:to>
    <xdr:pic>
      <xdr:nvPicPr>
        <xdr:cNvPr id="138" name="Picture 13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E08C942-9C9A-4DDD-A692-CB35F636F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1876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152400</xdr:colOff>
      <xdr:row>274</xdr:row>
      <xdr:rowOff>0</xdr:rowOff>
    </xdr:to>
    <xdr:pic>
      <xdr:nvPicPr>
        <xdr:cNvPr id="139" name="Picture 13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D696379-0962-406D-80CC-1C236EE681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2631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152400</xdr:colOff>
      <xdr:row>278</xdr:row>
      <xdr:rowOff>0</xdr:rowOff>
    </xdr:to>
    <xdr:pic>
      <xdr:nvPicPr>
        <xdr:cNvPr id="140" name="Picture 13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EE3C503-F297-4FCB-AB7B-39474453B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3385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152400</xdr:colOff>
      <xdr:row>282</xdr:row>
      <xdr:rowOff>0</xdr:rowOff>
    </xdr:to>
    <xdr:pic>
      <xdr:nvPicPr>
        <xdr:cNvPr id="141" name="Picture 14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489625D-4736-4396-B887-DAFFFA1BC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4140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152400</xdr:colOff>
      <xdr:row>285</xdr:row>
      <xdr:rowOff>0</xdr:rowOff>
    </xdr:to>
    <xdr:pic>
      <xdr:nvPicPr>
        <xdr:cNvPr id="142" name="Picture 14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AA0E0F7-9EEB-433A-882A-517990AA9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4719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152400</xdr:colOff>
      <xdr:row>289</xdr:row>
      <xdr:rowOff>0</xdr:rowOff>
    </xdr:to>
    <xdr:pic>
      <xdr:nvPicPr>
        <xdr:cNvPr id="143" name="Picture 14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31297FC-4BA9-4015-8E82-69E1111A5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5473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152400</xdr:colOff>
      <xdr:row>293</xdr:row>
      <xdr:rowOff>0</xdr:rowOff>
    </xdr:to>
    <xdr:pic>
      <xdr:nvPicPr>
        <xdr:cNvPr id="144" name="Picture 14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9D9155A-C8ED-4A75-845A-B8EBF528EA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6227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152400</xdr:colOff>
      <xdr:row>296</xdr:row>
      <xdr:rowOff>183547</xdr:rowOff>
    </xdr:to>
    <xdr:pic>
      <xdr:nvPicPr>
        <xdr:cNvPr id="145" name="Picture 14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F75E6B3-C92B-455C-8321-9CE219CE3E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69823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152400</xdr:colOff>
      <xdr:row>301</xdr:row>
      <xdr:rowOff>0</xdr:rowOff>
    </xdr:to>
    <xdr:pic>
      <xdr:nvPicPr>
        <xdr:cNvPr id="146" name="Picture 14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53A437C-D369-4F8D-BB43-961EBFA76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7866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152400</xdr:colOff>
      <xdr:row>305</xdr:row>
      <xdr:rowOff>0</xdr:rowOff>
    </xdr:to>
    <xdr:pic>
      <xdr:nvPicPr>
        <xdr:cNvPr id="147" name="Picture 146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5FDCAE25-373E-420F-9CC1-AA46715F89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8750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152400</xdr:colOff>
      <xdr:row>309</xdr:row>
      <xdr:rowOff>0</xdr:rowOff>
    </xdr:to>
    <xdr:pic>
      <xdr:nvPicPr>
        <xdr:cNvPr id="148" name="Picture 14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F58E88B-C44E-4E9E-A0BE-3A001E370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59504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152400</xdr:colOff>
      <xdr:row>154</xdr:row>
      <xdr:rowOff>152400</xdr:rowOff>
    </xdr:to>
    <xdr:pic>
      <xdr:nvPicPr>
        <xdr:cNvPr id="149" name="Picture 14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A5EC4A0-9509-4D05-A49E-672EBADBF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152400</xdr:colOff>
      <xdr:row>158</xdr:row>
      <xdr:rowOff>152400</xdr:rowOff>
    </xdr:to>
    <xdr:pic>
      <xdr:nvPicPr>
        <xdr:cNvPr id="150" name="Picture 14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5B2D06B-5BEA-40FD-86AD-88A3FC18D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14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152400</xdr:colOff>
      <xdr:row>162</xdr:row>
      <xdr:rowOff>152400</xdr:rowOff>
    </xdr:to>
    <xdr:pic>
      <xdr:nvPicPr>
        <xdr:cNvPr id="151" name="Picture 15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22C2A29-0CFD-4430-98E6-9CB9B93CA8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45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152400</xdr:colOff>
      <xdr:row>166</xdr:row>
      <xdr:rowOff>152400</xdr:rowOff>
    </xdr:to>
    <xdr:pic>
      <xdr:nvPicPr>
        <xdr:cNvPr id="152" name="Picture 15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32E48BF-2341-43DC-A69B-0EFD1BD84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77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152400</xdr:colOff>
      <xdr:row>170</xdr:row>
      <xdr:rowOff>152400</xdr:rowOff>
    </xdr:to>
    <xdr:pic>
      <xdr:nvPicPr>
        <xdr:cNvPr id="153" name="Picture 15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7C13B1D-78F8-443D-8D6D-B29D83A88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08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152400</xdr:colOff>
      <xdr:row>174</xdr:row>
      <xdr:rowOff>152400</xdr:rowOff>
    </xdr:to>
    <xdr:pic>
      <xdr:nvPicPr>
        <xdr:cNvPr id="154" name="Picture 15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13E3114-F341-46AD-86FC-D7538ACE6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404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152400</xdr:colOff>
      <xdr:row>178</xdr:row>
      <xdr:rowOff>152400</xdr:rowOff>
    </xdr:to>
    <xdr:pic>
      <xdr:nvPicPr>
        <xdr:cNvPr id="155" name="Picture 154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0494EEE0-DF91-4CC9-BAF6-DD931FE18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72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152400</xdr:colOff>
      <xdr:row>181</xdr:row>
      <xdr:rowOff>152400</xdr:rowOff>
    </xdr:to>
    <xdr:pic>
      <xdr:nvPicPr>
        <xdr:cNvPr id="156" name="Picture 15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3EC5C7B-FD5A-4BA5-8ED5-20E20E0862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1282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152400</xdr:colOff>
      <xdr:row>185</xdr:row>
      <xdr:rowOff>152400</xdr:rowOff>
    </xdr:to>
    <xdr:pic>
      <xdr:nvPicPr>
        <xdr:cNvPr id="157" name="Picture 15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0CE1E34-AED4-434D-81E2-B40EF0A3A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82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152400</xdr:colOff>
      <xdr:row>189</xdr:row>
      <xdr:rowOff>152400</xdr:rowOff>
    </xdr:to>
    <xdr:pic>
      <xdr:nvPicPr>
        <xdr:cNvPr id="158" name="Picture 15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4C28C69-467B-4C58-836D-7AB6F9AF4E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614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152400</xdr:colOff>
      <xdr:row>193</xdr:row>
      <xdr:rowOff>152400</xdr:rowOff>
    </xdr:to>
    <xdr:pic>
      <xdr:nvPicPr>
        <xdr:cNvPr id="159" name="Picture 15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1DD1768-AB2A-4F23-9A22-ACDCB9A7D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45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152400</xdr:colOff>
      <xdr:row>197</xdr:row>
      <xdr:rowOff>152400</xdr:rowOff>
    </xdr:to>
    <xdr:pic>
      <xdr:nvPicPr>
        <xdr:cNvPr id="160" name="Picture 15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BB63DBA-C882-491E-B595-A8B0DB848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77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152400</xdr:colOff>
      <xdr:row>201</xdr:row>
      <xdr:rowOff>152400</xdr:rowOff>
    </xdr:to>
    <xdr:pic>
      <xdr:nvPicPr>
        <xdr:cNvPr id="161" name="Picture 16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83D8F46-9416-4188-B0FF-3D88E9E74E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8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152400</xdr:colOff>
      <xdr:row>205</xdr:row>
      <xdr:rowOff>152400</xdr:rowOff>
    </xdr:to>
    <xdr:pic>
      <xdr:nvPicPr>
        <xdr:cNvPr id="162" name="Picture 16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60BE996-F297-4DD5-96BE-3960367D0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540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152400</xdr:colOff>
      <xdr:row>209</xdr:row>
      <xdr:rowOff>152400</xdr:rowOff>
    </xdr:to>
    <xdr:pic>
      <xdr:nvPicPr>
        <xdr:cNvPr id="163" name="Picture 16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8870259-4D96-4AD0-BF75-39CD38F40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2717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152400</xdr:colOff>
      <xdr:row>213</xdr:row>
      <xdr:rowOff>152400</xdr:rowOff>
    </xdr:to>
    <xdr:pic>
      <xdr:nvPicPr>
        <xdr:cNvPr id="164" name="Picture 16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A2125DA-94C2-4359-B549-B65D1ADBE8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003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152400</xdr:colOff>
      <xdr:row>216</xdr:row>
      <xdr:rowOff>152400</xdr:rowOff>
    </xdr:to>
    <xdr:pic>
      <xdr:nvPicPr>
        <xdr:cNvPr id="165" name="Picture 16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3EADE00-69F2-4F27-B2DB-EFE59E921F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5595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152400</xdr:colOff>
      <xdr:row>220</xdr:row>
      <xdr:rowOff>152400</xdr:rowOff>
    </xdr:to>
    <xdr:pic>
      <xdr:nvPicPr>
        <xdr:cNvPr id="166" name="Picture 16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CE0A4E8-B400-4F72-ADED-9154C0C5C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2910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152400</xdr:colOff>
      <xdr:row>224</xdr:row>
      <xdr:rowOff>152400</xdr:rowOff>
    </xdr:to>
    <xdr:pic>
      <xdr:nvPicPr>
        <xdr:cNvPr id="167" name="Picture 16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86F5769-A61A-460F-A23F-A0CA5679F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022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152400</xdr:colOff>
      <xdr:row>228</xdr:row>
      <xdr:rowOff>152400</xdr:rowOff>
    </xdr:to>
    <xdr:pic>
      <xdr:nvPicPr>
        <xdr:cNvPr id="168" name="Picture 16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3BCCF8A-45E0-4F65-9FF7-09B98FA79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754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152400</xdr:colOff>
      <xdr:row>231</xdr:row>
      <xdr:rowOff>152400</xdr:rowOff>
    </xdr:to>
    <xdr:pic>
      <xdr:nvPicPr>
        <xdr:cNvPr id="169" name="Picture 16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F7880CF-C065-477E-836B-B3F680E9E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3103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152400</xdr:colOff>
      <xdr:row>235</xdr:row>
      <xdr:rowOff>152400</xdr:rowOff>
    </xdr:to>
    <xdr:pic>
      <xdr:nvPicPr>
        <xdr:cNvPr id="170" name="Picture 16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14AD35D-666E-4E55-8E5D-F9F287BB7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041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152400</xdr:colOff>
      <xdr:row>239</xdr:row>
      <xdr:rowOff>152400</xdr:rowOff>
    </xdr:to>
    <xdr:pic>
      <xdr:nvPicPr>
        <xdr:cNvPr id="171" name="Picture 17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C6ED5F3-285A-4E3C-B24C-3B91F44FE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77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152400</xdr:colOff>
      <xdr:row>243</xdr:row>
      <xdr:rowOff>152400</xdr:rowOff>
    </xdr:to>
    <xdr:pic>
      <xdr:nvPicPr>
        <xdr:cNvPr id="172" name="Picture 17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82B44C3-5111-4EAF-8C6A-207A511F2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504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152400</xdr:colOff>
      <xdr:row>247</xdr:row>
      <xdr:rowOff>152400</xdr:rowOff>
    </xdr:to>
    <xdr:pic>
      <xdr:nvPicPr>
        <xdr:cNvPr id="173" name="Picture 17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0D97565-4B16-4C98-AE62-C1AED57F0C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36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152400</xdr:colOff>
      <xdr:row>251</xdr:row>
      <xdr:rowOff>152400</xdr:rowOff>
    </xdr:to>
    <xdr:pic>
      <xdr:nvPicPr>
        <xdr:cNvPr id="174" name="Picture 17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81CE097-B5E1-46E0-9E3D-44CC4EB7B2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967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152400</xdr:colOff>
      <xdr:row>255</xdr:row>
      <xdr:rowOff>152400</xdr:rowOff>
    </xdr:to>
    <xdr:pic>
      <xdr:nvPicPr>
        <xdr:cNvPr id="175" name="Picture 17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D432115-0363-44DC-B801-D5298F64C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6994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152400</xdr:colOff>
      <xdr:row>258</xdr:row>
      <xdr:rowOff>152400</xdr:rowOff>
    </xdr:to>
    <xdr:pic>
      <xdr:nvPicPr>
        <xdr:cNvPr id="176" name="Picture 17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92F2DFF-7D96-427B-A71B-6B34C3895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557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152400</xdr:colOff>
      <xdr:row>262</xdr:row>
      <xdr:rowOff>152400</xdr:rowOff>
    </xdr:to>
    <xdr:pic>
      <xdr:nvPicPr>
        <xdr:cNvPr id="177" name="Picture 17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EEBBFD6-C305-4129-BF89-FCB09AD9C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9872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152400</xdr:colOff>
      <xdr:row>266</xdr:row>
      <xdr:rowOff>152400</xdr:rowOff>
    </xdr:to>
    <xdr:pic>
      <xdr:nvPicPr>
        <xdr:cNvPr id="178" name="Picture 17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E4EAEDF-C7D6-41E1-AE4D-2FAF5F296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718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152400</xdr:colOff>
      <xdr:row>270</xdr:row>
      <xdr:rowOff>152400</xdr:rowOff>
    </xdr:to>
    <xdr:pic>
      <xdr:nvPicPr>
        <xdr:cNvPr id="179" name="Picture 17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E65805E-A575-4B83-AABF-6F4E491D6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450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152400</xdr:colOff>
      <xdr:row>275</xdr:row>
      <xdr:rowOff>0</xdr:rowOff>
    </xdr:to>
    <xdr:pic>
      <xdr:nvPicPr>
        <xdr:cNvPr id="180" name="Picture 17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B9116A4-4F5E-4E4D-9BF2-3EC71E55B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181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152400</xdr:colOff>
      <xdr:row>279</xdr:row>
      <xdr:rowOff>0</xdr:rowOff>
    </xdr:to>
    <xdr:pic>
      <xdr:nvPicPr>
        <xdr:cNvPr id="181" name="Picture 18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9D56893-A201-49B9-9823-48356E1AE4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913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152400</xdr:colOff>
      <xdr:row>282</xdr:row>
      <xdr:rowOff>0</xdr:rowOff>
    </xdr:to>
    <xdr:pic>
      <xdr:nvPicPr>
        <xdr:cNvPr id="182" name="Picture 18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2D53833-F5E0-40D4-9235-8F8CCDC5C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469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152400</xdr:colOff>
      <xdr:row>286</xdr:row>
      <xdr:rowOff>0</xdr:rowOff>
    </xdr:to>
    <xdr:pic>
      <xdr:nvPicPr>
        <xdr:cNvPr id="183" name="Picture 18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72A0FB-7609-4DC2-A2A4-468A1694C2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201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152400</xdr:colOff>
      <xdr:row>290</xdr:row>
      <xdr:rowOff>0</xdr:rowOff>
    </xdr:to>
    <xdr:pic>
      <xdr:nvPicPr>
        <xdr:cNvPr id="184" name="Picture 18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1174CC4-7B02-4D90-BA9D-4915051F3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4932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152400</xdr:colOff>
      <xdr:row>294</xdr:row>
      <xdr:rowOff>0</xdr:rowOff>
    </xdr:to>
    <xdr:pic>
      <xdr:nvPicPr>
        <xdr:cNvPr id="185" name="Picture 18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F68AB31-4F30-4A8F-AA07-E0FF02D685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664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152400</xdr:colOff>
      <xdr:row>298</xdr:row>
      <xdr:rowOff>0</xdr:rowOff>
    </xdr:to>
    <xdr:pic>
      <xdr:nvPicPr>
        <xdr:cNvPr id="186" name="Picture 18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2FE29C5-EE4A-4F00-9C24-D00F199551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395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302</xdr:row>
      <xdr:rowOff>0</xdr:rowOff>
    </xdr:to>
    <xdr:pic>
      <xdr:nvPicPr>
        <xdr:cNvPr id="187" name="Picture 186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EC7871EE-2325-4E83-86A2-570F75C1BB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127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152400</xdr:colOff>
      <xdr:row>305</xdr:row>
      <xdr:rowOff>183547</xdr:rowOff>
    </xdr:to>
    <xdr:pic>
      <xdr:nvPicPr>
        <xdr:cNvPr id="188" name="Picture 18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57AE1A7-17B7-4652-8B50-B2779CE44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7858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152400</xdr:colOff>
      <xdr:row>309</xdr:row>
      <xdr:rowOff>0</xdr:rowOff>
    </xdr:to>
    <xdr:pic>
      <xdr:nvPicPr>
        <xdr:cNvPr id="189" name="Picture 18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85A5340-5A6C-4213-8C44-13835ACE83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414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152400</xdr:colOff>
      <xdr:row>313</xdr:row>
      <xdr:rowOff>0</xdr:rowOff>
    </xdr:to>
    <xdr:pic>
      <xdr:nvPicPr>
        <xdr:cNvPr id="190" name="Picture 18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240DAD9-F7C8-43D9-80AF-9D996B2AF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14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152400</xdr:colOff>
      <xdr:row>317</xdr:row>
      <xdr:rowOff>0</xdr:rowOff>
    </xdr:to>
    <xdr:pic>
      <xdr:nvPicPr>
        <xdr:cNvPr id="191" name="Picture 19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E29E995-D405-4DC4-A0AF-F07BF33B5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878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320</xdr:row>
      <xdr:rowOff>0</xdr:rowOff>
    </xdr:from>
    <xdr:to>
      <xdr:col>1</xdr:col>
      <xdr:colOff>152400</xdr:colOff>
      <xdr:row>321</xdr:row>
      <xdr:rowOff>0</xdr:rowOff>
    </xdr:to>
    <xdr:pic>
      <xdr:nvPicPr>
        <xdr:cNvPr id="192" name="Picture 19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8323268-A89F-42EF-A5D4-ACEC34A1D6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6095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152400</xdr:colOff>
      <xdr:row>325</xdr:row>
      <xdr:rowOff>0</xdr:rowOff>
    </xdr:to>
    <xdr:pic>
      <xdr:nvPicPr>
        <xdr:cNvPr id="193" name="Picture 19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E2CC1B1-48DC-48D1-8462-4D1819172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13410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328</xdr:row>
      <xdr:rowOff>0</xdr:rowOff>
    </xdr:from>
    <xdr:to>
      <xdr:col>1</xdr:col>
      <xdr:colOff>152400</xdr:colOff>
      <xdr:row>329</xdr:row>
      <xdr:rowOff>0</xdr:rowOff>
    </xdr:to>
    <xdr:pic>
      <xdr:nvPicPr>
        <xdr:cNvPr id="194" name="Picture 19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ED71528-6DF8-46F7-9162-E972147CA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72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332</xdr:row>
      <xdr:rowOff>0</xdr:rowOff>
    </xdr:from>
    <xdr:to>
      <xdr:col>1</xdr:col>
      <xdr:colOff>152400</xdr:colOff>
      <xdr:row>332</xdr:row>
      <xdr:rowOff>183547</xdr:rowOff>
    </xdr:to>
    <xdr:pic>
      <xdr:nvPicPr>
        <xdr:cNvPr id="195" name="Picture 19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B615260-A307-4A2C-B51A-0A60EB549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804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152400</xdr:colOff>
      <xdr:row>337</xdr:row>
      <xdr:rowOff>0</xdr:rowOff>
    </xdr:to>
    <xdr:pic>
      <xdr:nvPicPr>
        <xdr:cNvPr id="196" name="Picture 19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E18947D-180A-4133-905F-FC43675BF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5356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152400</xdr:colOff>
      <xdr:row>340</xdr:row>
      <xdr:rowOff>0</xdr:rowOff>
    </xdr:to>
    <xdr:pic>
      <xdr:nvPicPr>
        <xdr:cNvPr id="197" name="Picture 19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565B7DA-EBEA-4546-8A3F-AE254A063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091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343</xdr:row>
      <xdr:rowOff>0</xdr:rowOff>
    </xdr:from>
    <xdr:to>
      <xdr:col>1</xdr:col>
      <xdr:colOff>152400</xdr:colOff>
      <xdr:row>343</xdr:row>
      <xdr:rowOff>183547</xdr:rowOff>
    </xdr:to>
    <xdr:pic>
      <xdr:nvPicPr>
        <xdr:cNvPr id="198" name="Picture 19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960F73A-9642-4459-855A-9E4D31326F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82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152400</xdr:colOff>
      <xdr:row>348</xdr:row>
      <xdr:rowOff>0</xdr:rowOff>
    </xdr:to>
    <xdr:pic>
      <xdr:nvPicPr>
        <xdr:cNvPr id="199" name="Picture 19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03E938F-E599-4246-9235-5360A454AC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5554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351</xdr:row>
      <xdr:rowOff>0</xdr:rowOff>
    </xdr:from>
    <xdr:to>
      <xdr:col>1</xdr:col>
      <xdr:colOff>152400</xdr:colOff>
      <xdr:row>352</xdr:row>
      <xdr:rowOff>0</xdr:rowOff>
    </xdr:to>
    <xdr:pic>
      <xdr:nvPicPr>
        <xdr:cNvPr id="200" name="Picture 19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10B8173-F30A-4B16-80E8-405CB38C4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286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355</xdr:row>
      <xdr:rowOff>0</xdr:rowOff>
    </xdr:from>
    <xdr:to>
      <xdr:col>1</xdr:col>
      <xdr:colOff>152400</xdr:colOff>
      <xdr:row>356</xdr:row>
      <xdr:rowOff>0</xdr:rowOff>
    </xdr:to>
    <xdr:pic>
      <xdr:nvPicPr>
        <xdr:cNvPr id="201" name="Picture 20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3FC336C-22C5-4899-A159-755FE2798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017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358</xdr:row>
      <xdr:rowOff>0</xdr:rowOff>
    </xdr:from>
    <xdr:to>
      <xdr:col>1</xdr:col>
      <xdr:colOff>152400</xdr:colOff>
      <xdr:row>359</xdr:row>
      <xdr:rowOff>0</xdr:rowOff>
    </xdr:to>
    <xdr:pic>
      <xdr:nvPicPr>
        <xdr:cNvPr id="202" name="Picture 20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3BF0A62-C328-49B5-B46F-4142839A6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244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152400</xdr:colOff>
      <xdr:row>363</xdr:row>
      <xdr:rowOff>0</xdr:rowOff>
    </xdr:to>
    <xdr:pic>
      <xdr:nvPicPr>
        <xdr:cNvPr id="203" name="Picture 20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2091232-C0E1-4018-9FF9-59AAFD0DA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976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366</xdr:row>
      <xdr:rowOff>0</xdr:rowOff>
    </xdr:from>
    <xdr:to>
      <xdr:col>1</xdr:col>
      <xdr:colOff>152400</xdr:colOff>
      <xdr:row>367</xdr:row>
      <xdr:rowOff>0</xdr:rowOff>
    </xdr:to>
    <xdr:pic>
      <xdr:nvPicPr>
        <xdr:cNvPr id="204" name="Picture 20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955E56C-BB16-4675-AF1E-6C1C126C3B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707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370</xdr:row>
      <xdr:rowOff>0</xdr:rowOff>
    </xdr:from>
    <xdr:to>
      <xdr:col>1</xdr:col>
      <xdr:colOff>152400</xdr:colOff>
      <xdr:row>370</xdr:row>
      <xdr:rowOff>183547</xdr:rowOff>
    </xdr:to>
    <xdr:pic>
      <xdr:nvPicPr>
        <xdr:cNvPr id="205" name="Picture 20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B66820E-7D84-436A-A9F2-AA6795ABA6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439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152400</xdr:colOff>
      <xdr:row>375</xdr:row>
      <xdr:rowOff>0</xdr:rowOff>
    </xdr:to>
    <xdr:pic>
      <xdr:nvPicPr>
        <xdr:cNvPr id="206" name="Picture 20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FA1880D-96FC-4C02-8741-A67D05A17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1708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378</xdr:row>
      <xdr:rowOff>0</xdr:rowOff>
    </xdr:from>
    <xdr:to>
      <xdr:col>1</xdr:col>
      <xdr:colOff>152400</xdr:colOff>
      <xdr:row>379</xdr:row>
      <xdr:rowOff>0</xdr:rowOff>
    </xdr:to>
    <xdr:pic>
      <xdr:nvPicPr>
        <xdr:cNvPr id="207" name="Picture 20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2388498-A9BD-4901-8A04-64B42B4B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902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382</xdr:row>
      <xdr:rowOff>0</xdr:rowOff>
    </xdr:from>
    <xdr:to>
      <xdr:col>1</xdr:col>
      <xdr:colOff>152400</xdr:colOff>
      <xdr:row>383</xdr:row>
      <xdr:rowOff>0</xdr:rowOff>
    </xdr:to>
    <xdr:pic>
      <xdr:nvPicPr>
        <xdr:cNvPr id="208" name="Picture 20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E7D9255-86B2-468D-9949-6F6BE3172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633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385</xdr:row>
      <xdr:rowOff>0</xdr:rowOff>
    </xdr:from>
    <xdr:to>
      <xdr:col>1</xdr:col>
      <xdr:colOff>152400</xdr:colOff>
      <xdr:row>386</xdr:row>
      <xdr:rowOff>0</xdr:rowOff>
    </xdr:to>
    <xdr:pic>
      <xdr:nvPicPr>
        <xdr:cNvPr id="209" name="Picture 20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28BEAC3-E27D-4065-81C5-37BD1BEDA8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190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152400</xdr:colOff>
      <xdr:row>390</xdr:row>
      <xdr:rowOff>0</xdr:rowOff>
    </xdr:to>
    <xdr:pic>
      <xdr:nvPicPr>
        <xdr:cNvPr id="210" name="Picture 20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0B239BD-559E-4011-8D2A-F9EF85033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921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393</xdr:row>
      <xdr:rowOff>0</xdr:rowOff>
    </xdr:from>
    <xdr:to>
      <xdr:col>1</xdr:col>
      <xdr:colOff>152400</xdr:colOff>
      <xdr:row>394</xdr:row>
      <xdr:rowOff>0</xdr:rowOff>
    </xdr:to>
    <xdr:pic>
      <xdr:nvPicPr>
        <xdr:cNvPr id="211" name="Picture 21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D0D1462-FE45-42AB-BE2A-89B0FC0FE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653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397</xdr:row>
      <xdr:rowOff>0</xdr:rowOff>
    </xdr:from>
    <xdr:to>
      <xdr:col>1</xdr:col>
      <xdr:colOff>152400</xdr:colOff>
      <xdr:row>398</xdr:row>
      <xdr:rowOff>0</xdr:rowOff>
    </xdr:to>
    <xdr:pic>
      <xdr:nvPicPr>
        <xdr:cNvPr id="212" name="Picture 21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4579A9F-3E57-4E39-B32F-2DF3BB51F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5384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401</xdr:row>
      <xdr:rowOff>0</xdr:rowOff>
    </xdr:from>
    <xdr:to>
      <xdr:col>1</xdr:col>
      <xdr:colOff>152400</xdr:colOff>
      <xdr:row>402</xdr:row>
      <xdr:rowOff>0</xdr:rowOff>
    </xdr:to>
    <xdr:pic>
      <xdr:nvPicPr>
        <xdr:cNvPr id="213" name="Picture 21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14FAC6F-3018-466C-99F1-82E50F403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116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405</xdr:row>
      <xdr:rowOff>0</xdr:rowOff>
    </xdr:from>
    <xdr:to>
      <xdr:col>1</xdr:col>
      <xdr:colOff>152400</xdr:colOff>
      <xdr:row>406</xdr:row>
      <xdr:rowOff>0</xdr:rowOff>
    </xdr:to>
    <xdr:pic>
      <xdr:nvPicPr>
        <xdr:cNvPr id="214" name="Picture 21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E118415-DC38-4D7C-83A6-CFE5EC8E4B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931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152400</xdr:colOff>
      <xdr:row>410</xdr:row>
      <xdr:rowOff>0</xdr:rowOff>
    </xdr:to>
    <xdr:pic>
      <xdr:nvPicPr>
        <xdr:cNvPr id="215" name="Picture 21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84C3F9F-DD00-4B3A-A747-C9048C9AB1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7663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413</xdr:row>
      <xdr:rowOff>0</xdr:rowOff>
    </xdr:from>
    <xdr:to>
      <xdr:col>1</xdr:col>
      <xdr:colOff>152400</xdr:colOff>
      <xdr:row>414</xdr:row>
      <xdr:rowOff>0</xdr:rowOff>
    </xdr:to>
    <xdr:pic>
      <xdr:nvPicPr>
        <xdr:cNvPr id="216" name="Picture 21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3D0C980-197E-4994-B214-6EE56F3B95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3946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417</xdr:row>
      <xdr:rowOff>0</xdr:rowOff>
    </xdr:from>
    <xdr:to>
      <xdr:col>1</xdr:col>
      <xdr:colOff>152400</xdr:colOff>
      <xdr:row>417</xdr:row>
      <xdr:rowOff>183547</xdr:rowOff>
    </xdr:to>
    <xdr:pic>
      <xdr:nvPicPr>
        <xdr:cNvPr id="217" name="Picture 216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9F710DDF-B4C5-4365-97BE-C49C63B81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1261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421</xdr:row>
      <xdr:rowOff>0</xdr:rowOff>
    </xdr:from>
    <xdr:to>
      <xdr:col>1</xdr:col>
      <xdr:colOff>152400</xdr:colOff>
      <xdr:row>422</xdr:row>
      <xdr:rowOff>0</xdr:rowOff>
    </xdr:to>
    <xdr:pic>
      <xdr:nvPicPr>
        <xdr:cNvPr id="218" name="Picture 21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996CF14-6E2E-4AE4-90A1-443D24E143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8576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425</xdr:row>
      <xdr:rowOff>0</xdr:rowOff>
    </xdr:from>
    <xdr:to>
      <xdr:col>1</xdr:col>
      <xdr:colOff>152400</xdr:colOff>
      <xdr:row>426</xdr:row>
      <xdr:rowOff>0</xdr:rowOff>
    </xdr:to>
    <xdr:pic>
      <xdr:nvPicPr>
        <xdr:cNvPr id="219" name="Picture 21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104E8DF-EC7D-4C4B-B8B1-22E8F0936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0589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428</xdr:row>
      <xdr:rowOff>0</xdr:rowOff>
    </xdr:from>
    <xdr:to>
      <xdr:col>1</xdr:col>
      <xdr:colOff>152400</xdr:colOff>
      <xdr:row>428</xdr:row>
      <xdr:rowOff>183547</xdr:rowOff>
    </xdr:to>
    <xdr:pic>
      <xdr:nvPicPr>
        <xdr:cNvPr id="220" name="Picture 21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4CC1051-85BD-419A-88DB-FB3CAE8593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29284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432</xdr:row>
      <xdr:rowOff>0</xdr:rowOff>
    </xdr:from>
    <xdr:to>
      <xdr:col>1</xdr:col>
      <xdr:colOff>152400</xdr:colOff>
      <xdr:row>433</xdr:row>
      <xdr:rowOff>0</xdr:rowOff>
    </xdr:to>
    <xdr:pic>
      <xdr:nvPicPr>
        <xdr:cNvPr id="221" name="Picture 220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1019C297-5308-44E9-8EC4-C606ED1AB1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3659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435</xdr:row>
      <xdr:rowOff>0</xdr:rowOff>
    </xdr:from>
    <xdr:to>
      <xdr:col>1</xdr:col>
      <xdr:colOff>152400</xdr:colOff>
      <xdr:row>436</xdr:row>
      <xdr:rowOff>0</xdr:rowOff>
    </xdr:to>
    <xdr:pic>
      <xdr:nvPicPr>
        <xdr:cNvPr id="222" name="Picture 22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1C3EDE0-208D-4717-8681-BFE743A3E0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2791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152400</xdr:colOff>
      <xdr:row>440</xdr:row>
      <xdr:rowOff>0</xdr:rowOff>
    </xdr:to>
    <xdr:pic>
      <xdr:nvPicPr>
        <xdr:cNvPr id="223" name="Picture 22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523545E-C2EE-4A4E-9C07-818D6F42CD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3522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443</xdr:row>
      <xdr:rowOff>0</xdr:rowOff>
    </xdr:from>
    <xdr:to>
      <xdr:col>1</xdr:col>
      <xdr:colOff>152400</xdr:colOff>
      <xdr:row>444</xdr:row>
      <xdr:rowOff>0</xdr:rowOff>
    </xdr:to>
    <xdr:pic>
      <xdr:nvPicPr>
        <xdr:cNvPr id="224" name="Picture 22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7302368-9631-410B-BA32-5B2917DE4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4254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447</xdr:row>
      <xdr:rowOff>0</xdr:rowOff>
    </xdr:from>
    <xdr:to>
      <xdr:col>1</xdr:col>
      <xdr:colOff>152400</xdr:colOff>
      <xdr:row>448</xdr:row>
      <xdr:rowOff>0</xdr:rowOff>
    </xdr:to>
    <xdr:pic>
      <xdr:nvPicPr>
        <xdr:cNvPr id="225" name="Picture 22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2947C04-C170-4DA1-8F02-38CC40E2D5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49858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451</xdr:row>
      <xdr:rowOff>0</xdr:rowOff>
    </xdr:from>
    <xdr:to>
      <xdr:col>1</xdr:col>
      <xdr:colOff>152400</xdr:colOff>
      <xdr:row>452</xdr:row>
      <xdr:rowOff>0</xdr:rowOff>
    </xdr:to>
    <xdr:pic>
      <xdr:nvPicPr>
        <xdr:cNvPr id="226" name="Picture 22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C9BAD2B-3D2D-4E8C-A566-83F2175EDC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5717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455</xdr:row>
      <xdr:rowOff>0</xdr:rowOff>
    </xdr:from>
    <xdr:to>
      <xdr:col>1</xdr:col>
      <xdr:colOff>152400</xdr:colOff>
      <xdr:row>455</xdr:row>
      <xdr:rowOff>183547</xdr:rowOff>
    </xdr:to>
    <xdr:pic>
      <xdr:nvPicPr>
        <xdr:cNvPr id="227" name="Picture 22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AD24822-73E5-45D2-9CCB-EFDAA8401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6448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152400</xdr:colOff>
      <xdr:row>460</xdr:row>
      <xdr:rowOff>0</xdr:rowOff>
    </xdr:to>
    <xdr:pic>
      <xdr:nvPicPr>
        <xdr:cNvPr id="228" name="Picture 22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9F7711-C87A-4375-A3C6-CD456A4AE2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71804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152400</xdr:colOff>
      <xdr:row>464</xdr:row>
      <xdr:rowOff>0</xdr:rowOff>
    </xdr:to>
    <xdr:pic>
      <xdr:nvPicPr>
        <xdr:cNvPr id="229" name="Picture 22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376A570-A2BE-47E3-BD78-BC41AA65B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79119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152400</xdr:colOff>
      <xdr:row>468</xdr:row>
      <xdr:rowOff>0</xdr:rowOff>
    </xdr:to>
    <xdr:pic>
      <xdr:nvPicPr>
        <xdr:cNvPr id="230" name="Picture 229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B13D62AE-A6A9-4D49-A6D5-03F4D04A3F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86434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471</xdr:row>
      <xdr:rowOff>0</xdr:rowOff>
    </xdr:from>
    <xdr:to>
      <xdr:col>1</xdr:col>
      <xdr:colOff>152400</xdr:colOff>
      <xdr:row>472</xdr:row>
      <xdr:rowOff>0</xdr:rowOff>
    </xdr:to>
    <xdr:pic>
      <xdr:nvPicPr>
        <xdr:cNvPr id="231" name="Picture 23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8554B55-47B6-49C6-B995-44D5E7460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89374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475</xdr:row>
      <xdr:rowOff>0</xdr:rowOff>
    </xdr:from>
    <xdr:to>
      <xdr:col>1</xdr:col>
      <xdr:colOff>152400</xdr:colOff>
      <xdr:row>476</xdr:row>
      <xdr:rowOff>0</xdr:rowOff>
    </xdr:to>
    <xdr:pic>
      <xdr:nvPicPr>
        <xdr:cNvPr id="232" name="Picture 23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ED65A8D-0E53-4E24-A3C1-3F07CE520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010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152400</xdr:colOff>
      <xdr:row>480</xdr:row>
      <xdr:rowOff>0</xdr:rowOff>
    </xdr:to>
    <xdr:pic>
      <xdr:nvPicPr>
        <xdr:cNvPr id="233" name="Picture 23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295F8EB-6BD9-4183-AF01-3DD419A5E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0838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483</xdr:row>
      <xdr:rowOff>0</xdr:rowOff>
    </xdr:from>
    <xdr:to>
      <xdr:col>1</xdr:col>
      <xdr:colOff>152400</xdr:colOff>
      <xdr:row>484</xdr:row>
      <xdr:rowOff>0</xdr:rowOff>
    </xdr:to>
    <xdr:pic>
      <xdr:nvPicPr>
        <xdr:cNvPr id="234" name="Picture 23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B1C9DC1-1719-471C-87C7-12DEE805D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15695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487</xdr:row>
      <xdr:rowOff>0</xdr:rowOff>
    </xdr:from>
    <xdr:to>
      <xdr:col>1</xdr:col>
      <xdr:colOff>152400</xdr:colOff>
      <xdr:row>488</xdr:row>
      <xdr:rowOff>0</xdr:rowOff>
    </xdr:to>
    <xdr:pic>
      <xdr:nvPicPr>
        <xdr:cNvPr id="235" name="Picture 234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DEA44D06-5E92-459D-9210-F34AEF8D7B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23010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152400</xdr:colOff>
      <xdr:row>491</xdr:row>
      <xdr:rowOff>183547</xdr:rowOff>
    </xdr:to>
    <xdr:pic>
      <xdr:nvPicPr>
        <xdr:cNvPr id="236" name="Picture 23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9E6AA9E-27C0-4D02-999A-04D26708CD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3032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152400</xdr:colOff>
      <xdr:row>494</xdr:row>
      <xdr:rowOff>0</xdr:rowOff>
    </xdr:to>
    <xdr:pic>
      <xdr:nvPicPr>
        <xdr:cNvPr id="255" name="Picture 25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E4E31F8-522B-43ED-AEA0-A5AA836C5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3428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152400</xdr:colOff>
      <xdr:row>498</xdr:row>
      <xdr:rowOff>0</xdr:rowOff>
    </xdr:to>
    <xdr:pic>
      <xdr:nvPicPr>
        <xdr:cNvPr id="256" name="Picture 25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0C26A27-6EDD-4C36-837C-5A744694E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4160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501</xdr:row>
      <xdr:rowOff>0</xdr:rowOff>
    </xdr:from>
    <xdr:to>
      <xdr:col>1</xdr:col>
      <xdr:colOff>152400</xdr:colOff>
      <xdr:row>502</xdr:row>
      <xdr:rowOff>0</xdr:rowOff>
    </xdr:to>
    <xdr:pic>
      <xdr:nvPicPr>
        <xdr:cNvPr id="257" name="Picture 25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98B60B6-B6BE-4CA1-936F-C0ECECEB9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48918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505</xdr:row>
      <xdr:rowOff>0</xdr:rowOff>
    </xdr:from>
    <xdr:to>
      <xdr:col>1</xdr:col>
      <xdr:colOff>152400</xdr:colOff>
      <xdr:row>506</xdr:row>
      <xdr:rowOff>0</xdr:rowOff>
    </xdr:to>
    <xdr:pic>
      <xdr:nvPicPr>
        <xdr:cNvPr id="258" name="Picture 25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3FCB8BD-29B8-4EA3-9620-896F235FB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5623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509</xdr:row>
      <xdr:rowOff>0</xdr:rowOff>
    </xdr:from>
    <xdr:to>
      <xdr:col>1</xdr:col>
      <xdr:colOff>152400</xdr:colOff>
      <xdr:row>509</xdr:row>
      <xdr:rowOff>183547</xdr:rowOff>
    </xdr:to>
    <xdr:pic>
      <xdr:nvPicPr>
        <xdr:cNvPr id="259" name="Picture 25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F093D12-389D-4F8C-9764-C8713C1751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6354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513</xdr:row>
      <xdr:rowOff>0</xdr:rowOff>
    </xdr:from>
    <xdr:to>
      <xdr:col>1</xdr:col>
      <xdr:colOff>152400</xdr:colOff>
      <xdr:row>514</xdr:row>
      <xdr:rowOff>0</xdr:rowOff>
    </xdr:to>
    <xdr:pic>
      <xdr:nvPicPr>
        <xdr:cNvPr id="260" name="Picture 25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6C6715D-CE56-45EB-BEB7-464EFCDE9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70864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517</xdr:row>
      <xdr:rowOff>0</xdr:rowOff>
    </xdr:from>
    <xdr:to>
      <xdr:col>1</xdr:col>
      <xdr:colOff>152400</xdr:colOff>
      <xdr:row>518</xdr:row>
      <xdr:rowOff>0</xdr:rowOff>
    </xdr:to>
    <xdr:pic>
      <xdr:nvPicPr>
        <xdr:cNvPr id="261" name="Picture 26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7BDB6B9-B017-4A09-BBD1-5B292C1059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78179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521</xdr:row>
      <xdr:rowOff>0</xdr:rowOff>
    </xdr:from>
    <xdr:to>
      <xdr:col>1</xdr:col>
      <xdr:colOff>152400</xdr:colOff>
      <xdr:row>522</xdr:row>
      <xdr:rowOff>0</xdr:rowOff>
    </xdr:to>
    <xdr:pic>
      <xdr:nvPicPr>
        <xdr:cNvPr id="262" name="Picture 26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93B634-7C16-4C6F-9553-68CEC190D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85494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525</xdr:row>
      <xdr:rowOff>0</xdr:rowOff>
    </xdr:from>
    <xdr:to>
      <xdr:col>1</xdr:col>
      <xdr:colOff>152400</xdr:colOff>
      <xdr:row>526</xdr:row>
      <xdr:rowOff>0</xdr:rowOff>
    </xdr:to>
    <xdr:pic>
      <xdr:nvPicPr>
        <xdr:cNvPr id="263" name="Picture 262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F422F03E-B7C0-4750-BD29-A3339D011D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880" y="99280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528</xdr:row>
      <xdr:rowOff>0</xdr:rowOff>
    </xdr:from>
    <xdr:to>
      <xdr:col>1</xdr:col>
      <xdr:colOff>152400</xdr:colOff>
      <xdr:row>528</xdr:row>
      <xdr:rowOff>180975</xdr:rowOff>
    </xdr:to>
    <xdr:pic>
      <xdr:nvPicPr>
        <xdr:cNvPr id="237" name="Picture 23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688C665-E98B-4B8C-AEF3-5128A4B9E7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99837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532</xdr:row>
      <xdr:rowOff>0</xdr:rowOff>
    </xdr:from>
    <xdr:to>
      <xdr:col>1</xdr:col>
      <xdr:colOff>152400</xdr:colOff>
      <xdr:row>532</xdr:row>
      <xdr:rowOff>177799</xdr:rowOff>
    </xdr:to>
    <xdr:pic>
      <xdr:nvPicPr>
        <xdr:cNvPr id="238" name="Picture 23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6314349-CCFC-461B-80DD-AFB53237A6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05687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536</xdr:row>
      <xdr:rowOff>0</xdr:rowOff>
    </xdr:from>
    <xdr:to>
      <xdr:col>1</xdr:col>
      <xdr:colOff>152400</xdr:colOff>
      <xdr:row>537</xdr:row>
      <xdr:rowOff>0</xdr:rowOff>
    </xdr:to>
    <xdr:pic>
      <xdr:nvPicPr>
        <xdr:cNvPr id="239" name="Picture 23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D0390C7-7345-4348-BA11-F4654C0A5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1300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540</xdr:row>
      <xdr:rowOff>0</xdr:rowOff>
    </xdr:from>
    <xdr:to>
      <xdr:col>1</xdr:col>
      <xdr:colOff>152400</xdr:colOff>
      <xdr:row>541</xdr:row>
      <xdr:rowOff>0</xdr:rowOff>
    </xdr:to>
    <xdr:pic>
      <xdr:nvPicPr>
        <xdr:cNvPr id="240" name="Picture 23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A248852-E47A-4E64-A79E-1AD81F327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2031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544</xdr:row>
      <xdr:rowOff>0</xdr:rowOff>
    </xdr:from>
    <xdr:to>
      <xdr:col>1</xdr:col>
      <xdr:colOff>152400</xdr:colOff>
      <xdr:row>545</xdr:row>
      <xdr:rowOff>1</xdr:rowOff>
    </xdr:to>
    <xdr:pic>
      <xdr:nvPicPr>
        <xdr:cNvPr id="241" name="Picture 24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05D67EB-9A60-4804-9B48-3B7383933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2763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548</xdr:row>
      <xdr:rowOff>0</xdr:rowOff>
    </xdr:from>
    <xdr:to>
      <xdr:col>1</xdr:col>
      <xdr:colOff>152400</xdr:colOff>
      <xdr:row>549</xdr:row>
      <xdr:rowOff>0</xdr:rowOff>
    </xdr:to>
    <xdr:pic>
      <xdr:nvPicPr>
        <xdr:cNvPr id="242" name="Picture 241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A4B990DF-7DFD-4145-8C42-9671A9E190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3494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551</xdr:row>
      <xdr:rowOff>0</xdr:rowOff>
    </xdr:from>
    <xdr:to>
      <xdr:col>1</xdr:col>
      <xdr:colOff>152400</xdr:colOff>
      <xdr:row>551</xdr:row>
      <xdr:rowOff>180975</xdr:rowOff>
    </xdr:to>
    <xdr:pic>
      <xdr:nvPicPr>
        <xdr:cNvPr id="243" name="Picture 24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3C5A6B2-CB8C-4C55-B1F7-6AB1F6450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4051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555</xdr:row>
      <xdr:rowOff>0</xdr:rowOff>
    </xdr:from>
    <xdr:to>
      <xdr:col>1</xdr:col>
      <xdr:colOff>152400</xdr:colOff>
      <xdr:row>555</xdr:row>
      <xdr:rowOff>177799</xdr:rowOff>
    </xdr:to>
    <xdr:pic>
      <xdr:nvPicPr>
        <xdr:cNvPr id="244" name="Picture 24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E2276FA-4C4B-4C7C-8A83-0D4DF67B76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47826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559</xdr:row>
      <xdr:rowOff>0</xdr:rowOff>
    </xdr:from>
    <xdr:to>
      <xdr:col>1</xdr:col>
      <xdr:colOff>152400</xdr:colOff>
      <xdr:row>559</xdr:row>
      <xdr:rowOff>183547</xdr:rowOff>
    </xdr:to>
    <xdr:pic>
      <xdr:nvPicPr>
        <xdr:cNvPr id="245" name="Picture 24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D98606A-1494-45E0-A1CD-4F9872EB2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55141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563</xdr:row>
      <xdr:rowOff>0</xdr:rowOff>
    </xdr:from>
    <xdr:to>
      <xdr:col>1</xdr:col>
      <xdr:colOff>152400</xdr:colOff>
      <xdr:row>564</xdr:row>
      <xdr:rowOff>0</xdr:rowOff>
    </xdr:to>
    <xdr:pic>
      <xdr:nvPicPr>
        <xdr:cNvPr id="246" name="Picture 24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F7BD029-C5EB-40A4-8ECA-DD0A1FEAD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62456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567</xdr:row>
      <xdr:rowOff>0</xdr:rowOff>
    </xdr:from>
    <xdr:to>
      <xdr:col>1</xdr:col>
      <xdr:colOff>152400</xdr:colOff>
      <xdr:row>568</xdr:row>
      <xdr:rowOff>1</xdr:rowOff>
    </xdr:to>
    <xdr:pic>
      <xdr:nvPicPr>
        <xdr:cNvPr id="247" name="Picture 24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88002E5-1778-4FFB-8F34-B4471166E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6977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571</xdr:row>
      <xdr:rowOff>0</xdr:rowOff>
    </xdr:from>
    <xdr:to>
      <xdr:col>1</xdr:col>
      <xdr:colOff>152400</xdr:colOff>
      <xdr:row>572</xdr:row>
      <xdr:rowOff>0</xdr:rowOff>
    </xdr:to>
    <xdr:pic>
      <xdr:nvPicPr>
        <xdr:cNvPr id="248" name="Picture 24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1D385F4-81FC-4F56-9436-1987F0716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7708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575</xdr:row>
      <xdr:rowOff>0</xdr:rowOff>
    </xdr:from>
    <xdr:to>
      <xdr:col>1</xdr:col>
      <xdr:colOff>152400</xdr:colOff>
      <xdr:row>576</xdr:row>
      <xdr:rowOff>0</xdr:rowOff>
    </xdr:to>
    <xdr:pic>
      <xdr:nvPicPr>
        <xdr:cNvPr id="249" name="Picture 24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3E2A38C-8F83-4221-9DC6-C7E4FF4B0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8440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579</xdr:row>
      <xdr:rowOff>0</xdr:rowOff>
    </xdr:from>
    <xdr:to>
      <xdr:col>1</xdr:col>
      <xdr:colOff>152400</xdr:colOff>
      <xdr:row>580</xdr:row>
      <xdr:rowOff>0</xdr:rowOff>
    </xdr:to>
    <xdr:pic>
      <xdr:nvPicPr>
        <xdr:cNvPr id="250" name="Picture 24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7089BB2-2551-411E-B8DE-F66115D83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91717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583</xdr:row>
      <xdr:rowOff>0</xdr:rowOff>
    </xdr:from>
    <xdr:to>
      <xdr:col>1</xdr:col>
      <xdr:colOff>152400</xdr:colOff>
      <xdr:row>583</xdr:row>
      <xdr:rowOff>177799</xdr:rowOff>
    </xdr:to>
    <xdr:pic>
      <xdr:nvPicPr>
        <xdr:cNvPr id="251" name="Picture 25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86F592E-C483-4338-A36C-4A739CF35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099032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587</xdr:row>
      <xdr:rowOff>0</xdr:rowOff>
    </xdr:from>
    <xdr:to>
      <xdr:col>1</xdr:col>
      <xdr:colOff>152400</xdr:colOff>
      <xdr:row>588</xdr:row>
      <xdr:rowOff>0</xdr:rowOff>
    </xdr:to>
    <xdr:pic>
      <xdr:nvPicPr>
        <xdr:cNvPr id="252" name="Picture 25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8E1F71-1A84-4F08-B82A-965E54D0E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0634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591</xdr:row>
      <xdr:rowOff>0</xdr:rowOff>
    </xdr:from>
    <xdr:to>
      <xdr:col>1</xdr:col>
      <xdr:colOff>152400</xdr:colOff>
      <xdr:row>592</xdr:row>
      <xdr:rowOff>0</xdr:rowOff>
    </xdr:to>
    <xdr:pic>
      <xdr:nvPicPr>
        <xdr:cNvPr id="253" name="Picture 25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77ACE04-A13F-4377-A8C0-E125CCECF1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1366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595</xdr:row>
      <xdr:rowOff>0</xdr:rowOff>
    </xdr:from>
    <xdr:to>
      <xdr:col>1</xdr:col>
      <xdr:colOff>152400</xdr:colOff>
      <xdr:row>596</xdr:row>
      <xdr:rowOff>1</xdr:rowOff>
    </xdr:to>
    <xdr:pic>
      <xdr:nvPicPr>
        <xdr:cNvPr id="275" name="Picture 27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6034289-A81B-4D23-A2AA-762703FF58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2105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599</xdr:row>
      <xdr:rowOff>0</xdr:rowOff>
    </xdr:from>
    <xdr:to>
      <xdr:col>1</xdr:col>
      <xdr:colOff>152400</xdr:colOff>
      <xdr:row>599</xdr:row>
      <xdr:rowOff>177799</xdr:rowOff>
    </xdr:to>
    <xdr:pic>
      <xdr:nvPicPr>
        <xdr:cNvPr id="276" name="Picture 275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F3F6D34B-EEBB-44BB-B99D-3E9961215C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2836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603</xdr:row>
      <xdr:rowOff>0</xdr:rowOff>
    </xdr:from>
    <xdr:to>
      <xdr:col>1</xdr:col>
      <xdr:colOff>152400</xdr:colOff>
      <xdr:row>604</xdr:row>
      <xdr:rowOff>0</xdr:rowOff>
    </xdr:to>
    <xdr:pic>
      <xdr:nvPicPr>
        <xdr:cNvPr id="277" name="Picture 27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58F3971-C827-4D53-A1BD-903E5776A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35684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607</xdr:row>
      <xdr:rowOff>0</xdr:rowOff>
    </xdr:from>
    <xdr:to>
      <xdr:col>1</xdr:col>
      <xdr:colOff>152400</xdr:colOff>
      <xdr:row>608</xdr:row>
      <xdr:rowOff>0</xdr:rowOff>
    </xdr:to>
    <xdr:pic>
      <xdr:nvPicPr>
        <xdr:cNvPr id="278" name="Picture 27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44E8260-F659-4A4D-B20A-1B5CE84F81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430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611</xdr:row>
      <xdr:rowOff>0</xdr:rowOff>
    </xdr:from>
    <xdr:to>
      <xdr:col>1</xdr:col>
      <xdr:colOff>152400</xdr:colOff>
      <xdr:row>612</xdr:row>
      <xdr:rowOff>0</xdr:rowOff>
    </xdr:to>
    <xdr:pic>
      <xdr:nvPicPr>
        <xdr:cNvPr id="279" name="Picture 27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3D102FE-9CE7-4560-99F5-BDD0A9EF9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50315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615</xdr:row>
      <xdr:rowOff>0</xdr:rowOff>
    </xdr:from>
    <xdr:to>
      <xdr:col>1</xdr:col>
      <xdr:colOff>152400</xdr:colOff>
      <xdr:row>615</xdr:row>
      <xdr:rowOff>183547</xdr:rowOff>
    </xdr:to>
    <xdr:pic>
      <xdr:nvPicPr>
        <xdr:cNvPr id="280" name="Picture 27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1C6F9FE-930F-4325-8867-43DE7C7C96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5763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619</xdr:row>
      <xdr:rowOff>0</xdr:rowOff>
    </xdr:from>
    <xdr:to>
      <xdr:col>1</xdr:col>
      <xdr:colOff>152400</xdr:colOff>
      <xdr:row>620</xdr:row>
      <xdr:rowOff>0</xdr:rowOff>
    </xdr:to>
    <xdr:pic>
      <xdr:nvPicPr>
        <xdr:cNvPr id="281" name="Picture 28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A3D4071-0D44-43B2-BE49-3C08A83B59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64945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623</xdr:row>
      <xdr:rowOff>0</xdr:rowOff>
    </xdr:from>
    <xdr:to>
      <xdr:col>1</xdr:col>
      <xdr:colOff>152400</xdr:colOff>
      <xdr:row>624</xdr:row>
      <xdr:rowOff>1</xdr:rowOff>
    </xdr:to>
    <xdr:pic>
      <xdr:nvPicPr>
        <xdr:cNvPr id="282" name="Picture 28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212E7FB-C412-4A98-A00B-911A1783B8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72260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627</xdr:row>
      <xdr:rowOff>0</xdr:rowOff>
    </xdr:from>
    <xdr:to>
      <xdr:col>1</xdr:col>
      <xdr:colOff>152400</xdr:colOff>
      <xdr:row>627</xdr:row>
      <xdr:rowOff>177799</xdr:rowOff>
    </xdr:to>
    <xdr:pic>
      <xdr:nvPicPr>
        <xdr:cNvPr id="283" name="Picture 28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AAAB1AE-B887-41C6-A84E-7FB01E918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7957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631</xdr:row>
      <xdr:rowOff>0</xdr:rowOff>
    </xdr:from>
    <xdr:to>
      <xdr:col>1</xdr:col>
      <xdr:colOff>152400</xdr:colOff>
      <xdr:row>632</xdr:row>
      <xdr:rowOff>0</xdr:rowOff>
    </xdr:to>
    <xdr:pic>
      <xdr:nvPicPr>
        <xdr:cNvPr id="284" name="Picture 28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47C65D9-D860-4E30-A191-D671F9FB9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8689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635</xdr:row>
      <xdr:rowOff>0</xdr:rowOff>
    </xdr:from>
    <xdr:to>
      <xdr:col>1</xdr:col>
      <xdr:colOff>152400</xdr:colOff>
      <xdr:row>636</xdr:row>
      <xdr:rowOff>0</xdr:rowOff>
    </xdr:to>
    <xdr:pic>
      <xdr:nvPicPr>
        <xdr:cNvPr id="285" name="Picture 28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14BC991-5C14-4D98-9FD5-4EAEE3B77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19420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639</xdr:row>
      <xdr:rowOff>0</xdr:rowOff>
    </xdr:from>
    <xdr:to>
      <xdr:col>1</xdr:col>
      <xdr:colOff>152400</xdr:colOff>
      <xdr:row>640</xdr:row>
      <xdr:rowOff>0</xdr:rowOff>
    </xdr:to>
    <xdr:pic>
      <xdr:nvPicPr>
        <xdr:cNvPr id="286" name="Picture 28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30B1E22-385B-4C78-A082-0C1168CD79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120152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642</xdr:row>
      <xdr:rowOff>0</xdr:rowOff>
    </xdr:from>
    <xdr:to>
      <xdr:col>1</xdr:col>
      <xdr:colOff>152400</xdr:colOff>
      <xdr:row>642</xdr:row>
      <xdr:rowOff>183547</xdr:rowOff>
    </xdr:to>
    <xdr:pic>
      <xdr:nvPicPr>
        <xdr:cNvPr id="323" name="Picture 32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4DFD511-F109-473B-AB5C-8081875F64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8008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646</xdr:row>
      <xdr:rowOff>0</xdr:rowOff>
    </xdr:from>
    <xdr:to>
      <xdr:col>1</xdr:col>
      <xdr:colOff>152400</xdr:colOff>
      <xdr:row>647</xdr:row>
      <xdr:rowOff>0</xdr:rowOff>
    </xdr:to>
    <xdr:pic>
      <xdr:nvPicPr>
        <xdr:cNvPr id="324" name="Picture 32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FF5B681-A34F-4491-8F9A-1DC230FD5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8618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650</xdr:row>
      <xdr:rowOff>0</xdr:rowOff>
    </xdr:from>
    <xdr:to>
      <xdr:col>1</xdr:col>
      <xdr:colOff>152400</xdr:colOff>
      <xdr:row>650</xdr:row>
      <xdr:rowOff>177799</xdr:rowOff>
    </xdr:to>
    <xdr:pic>
      <xdr:nvPicPr>
        <xdr:cNvPr id="325" name="Picture 32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EB126DA-72AC-4DD3-B28B-FD04FE5B2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9227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654</xdr:row>
      <xdr:rowOff>0</xdr:rowOff>
    </xdr:from>
    <xdr:to>
      <xdr:col>1</xdr:col>
      <xdr:colOff>152400</xdr:colOff>
      <xdr:row>655</xdr:row>
      <xdr:rowOff>0</xdr:rowOff>
    </xdr:to>
    <xdr:pic>
      <xdr:nvPicPr>
        <xdr:cNvPr id="326" name="Picture 32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EEC6177-C68A-4749-B9D1-7478089A3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9837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658</xdr:row>
      <xdr:rowOff>0</xdr:rowOff>
    </xdr:from>
    <xdr:to>
      <xdr:col>1</xdr:col>
      <xdr:colOff>152400</xdr:colOff>
      <xdr:row>659</xdr:row>
      <xdr:rowOff>1</xdr:rowOff>
    </xdr:to>
    <xdr:pic>
      <xdr:nvPicPr>
        <xdr:cNvPr id="327" name="Picture 32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1CB098D-6B06-4891-8B81-C74AA6C72D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0446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662</xdr:row>
      <xdr:rowOff>0</xdr:rowOff>
    </xdr:from>
    <xdr:to>
      <xdr:col>1</xdr:col>
      <xdr:colOff>152400</xdr:colOff>
      <xdr:row>662</xdr:row>
      <xdr:rowOff>183547</xdr:rowOff>
    </xdr:to>
    <xdr:pic>
      <xdr:nvPicPr>
        <xdr:cNvPr id="328" name="Picture 32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78D7035-08D5-46D3-B91A-FF4F8E3B4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1056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666</xdr:row>
      <xdr:rowOff>0</xdr:rowOff>
    </xdr:from>
    <xdr:to>
      <xdr:col>1</xdr:col>
      <xdr:colOff>152400</xdr:colOff>
      <xdr:row>667</xdr:row>
      <xdr:rowOff>0</xdr:rowOff>
    </xdr:to>
    <xdr:pic>
      <xdr:nvPicPr>
        <xdr:cNvPr id="329" name="Picture 32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F449171-4763-4700-8A29-C777198C0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1666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670</xdr:row>
      <xdr:rowOff>0</xdr:rowOff>
    </xdr:from>
    <xdr:to>
      <xdr:col>1</xdr:col>
      <xdr:colOff>152400</xdr:colOff>
      <xdr:row>671</xdr:row>
      <xdr:rowOff>0</xdr:rowOff>
    </xdr:to>
    <xdr:pic>
      <xdr:nvPicPr>
        <xdr:cNvPr id="330" name="Picture 32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A713D55-897E-4F32-9D39-E38CAFD8BF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2275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674</xdr:row>
      <xdr:rowOff>0</xdr:rowOff>
    </xdr:from>
    <xdr:to>
      <xdr:col>1</xdr:col>
      <xdr:colOff>152400</xdr:colOff>
      <xdr:row>675</xdr:row>
      <xdr:rowOff>0</xdr:rowOff>
    </xdr:to>
    <xdr:pic>
      <xdr:nvPicPr>
        <xdr:cNvPr id="331" name="Picture 33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F958DF2-364C-4245-81DC-A5EA49ACAB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2885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677</xdr:row>
      <xdr:rowOff>0</xdr:rowOff>
    </xdr:from>
    <xdr:to>
      <xdr:col>1</xdr:col>
      <xdr:colOff>152400</xdr:colOff>
      <xdr:row>678</xdr:row>
      <xdr:rowOff>0</xdr:rowOff>
    </xdr:to>
    <xdr:pic>
      <xdr:nvPicPr>
        <xdr:cNvPr id="287" name="Picture 28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39B651D-5AA6-4F39-9FE1-A806DC038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0756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681</xdr:row>
      <xdr:rowOff>0</xdr:rowOff>
    </xdr:from>
    <xdr:to>
      <xdr:col>1</xdr:col>
      <xdr:colOff>152400</xdr:colOff>
      <xdr:row>682</xdr:row>
      <xdr:rowOff>0</xdr:rowOff>
    </xdr:to>
    <xdr:pic>
      <xdr:nvPicPr>
        <xdr:cNvPr id="288" name="Picture 28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09560ED-5BB0-4573-9E64-AF87CD342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1366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685</xdr:row>
      <xdr:rowOff>0</xdr:rowOff>
    </xdr:from>
    <xdr:to>
      <xdr:col>1</xdr:col>
      <xdr:colOff>152400</xdr:colOff>
      <xdr:row>686</xdr:row>
      <xdr:rowOff>0</xdr:rowOff>
    </xdr:to>
    <xdr:pic>
      <xdr:nvPicPr>
        <xdr:cNvPr id="289" name="Picture 28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BB6F8E1-8143-4E49-A207-931A8E512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1975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689</xdr:row>
      <xdr:rowOff>0</xdr:rowOff>
    </xdr:from>
    <xdr:to>
      <xdr:col>1</xdr:col>
      <xdr:colOff>152400</xdr:colOff>
      <xdr:row>690</xdr:row>
      <xdr:rowOff>0</xdr:rowOff>
    </xdr:to>
    <xdr:pic>
      <xdr:nvPicPr>
        <xdr:cNvPr id="290" name="Picture 28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D9939FA-2D69-48FA-B192-D9D4F59F3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258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693</xdr:row>
      <xdr:rowOff>0</xdr:rowOff>
    </xdr:from>
    <xdr:to>
      <xdr:col>1</xdr:col>
      <xdr:colOff>152400</xdr:colOff>
      <xdr:row>694</xdr:row>
      <xdr:rowOff>0</xdr:rowOff>
    </xdr:to>
    <xdr:pic>
      <xdr:nvPicPr>
        <xdr:cNvPr id="291" name="Picture 29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3AD773F-8CB9-4CDB-8F6B-0A78791F8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3195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697</xdr:row>
      <xdr:rowOff>0</xdr:rowOff>
    </xdr:from>
    <xdr:to>
      <xdr:col>1</xdr:col>
      <xdr:colOff>152400</xdr:colOff>
      <xdr:row>698</xdr:row>
      <xdr:rowOff>1492</xdr:rowOff>
    </xdr:to>
    <xdr:pic>
      <xdr:nvPicPr>
        <xdr:cNvPr id="292" name="Picture 29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E90BADB-2DAE-4014-972D-ACE2AD4BC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380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701</xdr:row>
      <xdr:rowOff>0</xdr:rowOff>
    </xdr:from>
    <xdr:to>
      <xdr:col>1</xdr:col>
      <xdr:colOff>152400</xdr:colOff>
      <xdr:row>702</xdr:row>
      <xdr:rowOff>0</xdr:rowOff>
    </xdr:to>
    <xdr:pic>
      <xdr:nvPicPr>
        <xdr:cNvPr id="293" name="Picture 29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B06122C-FB27-4C03-9D0A-C2A8B7A11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4414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705</xdr:row>
      <xdr:rowOff>0</xdr:rowOff>
    </xdr:from>
    <xdr:to>
      <xdr:col>1</xdr:col>
      <xdr:colOff>152400</xdr:colOff>
      <xdr:row>706</xdr:row>
      <xdr:rowOff>0</xdr:rowOff>
    </xdr:to>
    <xdr:pic>
      <xdr:nvPicPr>
        <xdr:cNvPr id="294" name="Picture 29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F7E9EB5-389F-4755-B986-DB2BF433E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5023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709</xdr:row>
      <xdr:rowOff>0</xdr:rowOff>
    </xdr:from>
    <xdr:to>
      <xdr:col>1</xdr:col>
      <xdr:colOff>152400</xdr:colOff>
      <xdr:row>710</xdr:row>
      <xdr:rowOff>0</xdr:rowOff>
    </xdr:to>
    <xdr:pic>
      <xdr:nvPicPr>
        <xdr:cNvPr id="295" name="Picture 29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0849218-4CBA-41E1-AA44-A7835D345B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5633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713</xdr:row>
      <xdr:rowOff>0</xdr:rowOff>
    </xdr:from>
    <xdr:to>
      <xdr:col>1</xdr:col>
      <xdr:colOff>152400</xdr:colOff>
      <xdr:row>714</xdr:row>
      <xdr:rowOff>1492</xdr:rowOff>
    </xdr:to>
    <xdr:pic>
      <xdr:nvPicPr>
        <xdr:cNvPr id="296" name="Picture 29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738D99F-677E-4A52-8C06-567C7D3F29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6243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717</xdr:row>
      <xdr:rowOff>0</xdr:rowOff>
    </xdr:from>
    <xdr:to>
      <xdr:col>1</xdr:col>
      <xdr:colOff>152400</xdr:colOff>
      <xdr:row>718</xdr:row>
      <xdr:rowOff>0</xdr:rowOff>
    </xdr:to>
    <xdr:pic>
      <xdr:nvPicPr>
        <xdr:cNvPr id="297" name="Picture 29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1C09DFB-D9BA-4F13-9C10-271ED91AB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6852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721</xdr:row>
      <xdr:rowOff>0</xdr:rowOff>
    </xdr:from>
    <xdr:to>
      <xdr:col>1</xdr:col>
      <xdr:colOff>152400</xdr:colOff>
      <xdr:row>722</xdr:row>
      <xdr:rowOff>0</xdr:rowOff>
    </xdr:to>
    <xdr:pic>
      <xdr:nvPicPr>
        <xdr:cNvPr id="298" name="Picture 297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2022CA1B-2F2D-47B0-BEDE-E801B84CA3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7462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724</xdr:row>
      <xdr:rowOff>0</xdr:rowOff>
    </xdr:from>
    <xdr:to>
      <xdr:col>1</xdr:col>
      <xdr:colOff>152400</xdr:colOff>
      <xdr:row>725</xdr:row>
      <xdr:rowOff>1492</xdr:rowOff>
    </xdr:to>
    <xdr:pic>
      <xdr:nvPicPr>
        <xdr:cNvPr id="272" name="Picture 27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D8102C5-DD62-4BBA-9830-5EC12070E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1064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728</xdr:row>
      <xdr:rowOff>0</xdr:rowOff>
    </xdr:from>
    <xdr:to>
      <xdr:col>1</xdr:col>
      <xdr:colOff>152400</xdr:colOff>
      <xdr:row>729</xdr:row>
      <xdr:rowOff>0</xdr:rowOff>
    </xdr:to>
    <xdr:pic>
      <xdr:nvPicPr>
        <xdr:cNvPr id="273" name="Picture 27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25C5F86-D4C0-4FB2-ADB7-FB7B50D33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1673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732</xdr:row>
      <xdr:rowOff>0</xdr:rowOff>
    </xdr:from>
    <xdr:to>
      <xdr:col>1</xdr:col>
      <xdr:colOff>152400</xdr:colOff>
      <xdr:row>733</xdr:row>
      <xdr:rowOff>0</xdr:rowOff>
    </xdr:to>
    <xdr:pic>
      <xdr:nvPicPr>
        <xdr:cNvPr id="274" name="Picture 27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08113FB-21CC-468A-AA1B-EB3D72944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2283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736</xdr:row>
      <xdr:rowOff>0</xdr:rowOff>
    </xdr:from>
    <xdr:to>
      <xdr:col>1</xdr:col>
      <xdr:colOff>152400</xdr:colOff>
      <xdr:row>737</xdr:row>
      <xdr:rowOff>0</xdr:rowOff>
    </xdr:to>
    <xdr:pic>
      <xdr:nvPicPr>
        <xdr:cNvPr id="299" name="Picture 29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447E794-41D1-48FD-8130-BB24AF594A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2892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740</xdr:row>
      <xdr:rowOff>0</xdr:rowOff>
    </xdr:from>
    <xdr:to>
      <xdr:col>1</xdr:col>
      <xdr:colOff>152400</xdr:colOff>
      <xdr:row>741</xdr:row>
      <xdr:rowOff>1492</xdr:rowOff>
    </xdr:to>
    <xdr:pic>
      <xdr:nvPicPr>
        <xdr:cNvPr id="300" name="Picture 29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3A9FA05-0826-4DEA-ACB2-4579A0518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3502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744</xdr:row>
      <xdr:rowOff>0</xdr:rowOff>
    </xdr:from>
    <xdr:to>
      <xdr:col>1</xdr:col>
      <xdr:colOff>152400</xdr:colOff>
      <xdr:row>745</xdr:row>
      <xdr:rowOff>0</xdr:rowOff>
    </xdr:to>
    <xdr:pic>
      <xdr:nvPicPr>
        <xdr:cNvPr id="301" name="Picture 30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01C77BA-F2FF-40D6-85DB-9023087024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4112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748</xdr:row>
      <xdr:rowOff>0</xdr:rowOff>
    </xdr:from>
    <xdr:to>
      <xdr:col>1</xdr:col>
      <xdr:colOff>152400</xdr:colOff>
      <xdr:row>749</xdr:row>
      <xdr:rowOff>0</xdr:rowOff>
    </xdr:to>
    <xdr:pic>
      <xdr:nvPicPr>
        <xdr:cNvPr id="302" name="Picture 301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3EDF958B-CBAE-40A0-BAED-6F86B05754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4721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752</xdr:row>
      <xdr:rowOff>0</xdr:rowOff>
    </xdr:from>
    <xdr:to>
      <xdr:col>1</xdr:col>
      <xdr:colOff>152400</xdr:colOff>
      <xdr:row>753</xdr:row>
      <xdr:rowOff>0</xdr:rowOff>
    </xdr:to>
    <xdr:pic>
      <xdr:nvPicPr>
        <xdr:cNvPr id="303" name="Picture 30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2E0F3AF-7701-42C2-A38A-A6D9BCF8B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5331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152400</xdr:colOff>
      <xdr:row>493</xdr:row>
      <xdr:rowOff>152400</xdr:rowOff>
    </xdr:to>
    <xdr:pic>
      <xdr:nvPicPr>
        <xdr:cNvPr id="378" name="Picture 37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96E8AC2-6741-4B69-A7D7-A42409F921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03198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152400</xdr:colOff>
      <xdr:row>497</xdr:row>
      <xdr:rowOff>152400</xdr:rowOff>
    </xdr:to>
    <xdr:pic>
      <xdr:nvPicPr>
        <xdr:cNvPr id="379" name="Picture 37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605BC52-C92C-4A06-8F96-FD95D1CE5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1051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501</xdr:row>
      <xdr:rowOff>0</xdr:rowOff>
    </xdr:from>
    <xdr:to>
      <xdr:col>1</xdr:col>
      <xdr:colOff>152400</xdr:colOff>
      <xdr:row>501</xdr:row>
      <xdr:rowOff>152400</xdr:rowOff>
    </xdr:to>
    <xdr:pic>
      <xdr:nvPicPr>
        <xdr:cNvPr id="380" name="Picture 37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E45EB0B-02D1-4FC6-81FE-21A0B215E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1782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505</xdr:row>
      <xdr:rowOff>0</xdr:rowOff>
    </xdr:from>
    <xdr:to>
      <xdr:col>1</xdr:col>
      <xdr:colOff>152400</xdr:colOff>
      <xdr:row>505</xdr:row>
      <xdr:rowOff>152400</xdr:rowOff>
    </xdr:to>
    <xdr:pic>
      <xdr:nvPicPr>
        <xdr:cNvPr id="381" name="Picture 38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3AAD211-FA55-49BF-AF9D-F6D1BEF08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25144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509</xdr:row>
      <xdr:rowOff>0</xdr:rowOff>
    </xdr:from>
    <xdr:to>
      <xdr:col>1</xdr:col>
      <xdr:colOff>152400</xdr:colOff>
      <xdr:row>509</xdr:row>
      <xdr:rowOff>152400</xdr:rowOff>
    </xdr:to>
    <xdr:pic>
      <xdr:nvPicPr>
        <xdr:cNvPr id="382" name="Picture 38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FDA2E73-1580-425F-A767-2CE98A4AD7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32459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513</xdr:row>
      <xdr:rowOff>0</xdr:rowOff>
    </xdr:from>
    <xdr:to>
      <xdr:col>1</xdr:col>
      <xdr:colOff>152400</xdr:colOff>
      <xdr:row>513</xdr:row>
      <xdr:rowOff>152400</xdr:rowOff>
    </xdr:to>
    <xdr:pic>
      <xdr:nvPicPr>
        <xdr:cNvPr id="383" name="Picture 38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FCB0B2C-DD55-4D9B-861F-9CCF63906F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39774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517</xdr:row>
      <xdr:rowOff>0</xdr:rowOff>
    </xdr:from>
    <xdr:to>
      <xdr:col>1</xdr:col>
      <xdr:colOff>152400</xdr:colOff>
      <xdr:row>517</xdr:row>
      <xdr:rowOff>152400</xdr:rowOff>
    </xdr:to>
    <xdr:pic>
      <xdr:nvPicPr>
        <xdr:cNvPr id="384" name="Picture 38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17A3FC6-1481-424C-8F0B-A5070AB127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4708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521</xdr:row>
      <xdr:rowOff>0</xdr:rowOff>
    </xdr:from>
    <xdr:to>
      <xdr:col>1</xdr:col>
      <xdr:colOff>152400</xdr:colOff>
      <xdr:row>521</xdr:row>
      <xdr:rowOff>152400</xdr:rowOff>
    </xdr:to>
    <xdr:pic>
      <xdr:nvPicPr>
        <xdr:cNvPr id="385" name="Picture 38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BB104AE-4698-40A7-8912-7965838B74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5440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525</xdr:row>
      <xdr:rowOff>0</xdr:rowOff>
    </xdr:from>
    <xdr:to>
      <xdr:col>1</xdr:col>
      <xdr:colOff>152400</xdr:colOff>
      <xdr:row>525</xdr:row>
      <xdr:rowOff>152400</xdr:rowOff>
    </xdr:to>
    <xdr:pic>
      <xdr:nvPicPr>
        <xdr:cNvPr id="386" name="Picture 385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67051D44-3816-46AA-9B34-328D918FA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6172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528</xdr:row>
      <xdr:rowOff>0</xdr:rowOff>
    </xdr:from>
    <xdr:to>
      <xdr:col>1</xdr:col>
      <xdr:colOff>152400</xdr:colOff>
      <xdr:row>528</xdr:row>
      <xdr:rowOff>152400</xdr:rowOff>
    </xdr:to>
    <xdr:pic>
      <xdr:nvPicPr>
        <xdr:cNvPr id="387" name="Picture 38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2A03F5F-6F8F-4BEF-9EAB-659A45E744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6728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532</xdr:row>
      <xdr:rowOff>0</xdr:rowOff>
    </xdr:from>
    <xdr:to>
      <xdr:col>1</xdr:col>
      <xdr:colOff>152400</xdr:colOff>
      <xdr:row>532</xdr:row>
      <xdr:rowOff>152400</xdr:rowOff>
    </xdr:to>
    <xdr:pic>
      <xdr:nvPicPr>
        <xdr:cNvPr id="388" name="Picture 38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62A6A58-C4D8-46D3-88D8-603FE6ACED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7459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536</xdr:row>
      <xdr:rowOff>0</xdr:rowOff>
    </xdr:from>
    <xdr:to>
      <xdr:col>1</xdr:col>
      <xdr:colOff>152400</xdr:colOff>
      <xdr:row>536</xdr:row>
      <xdr:rowOff>152400</xdr:rowOff>
    </xdr:to>
    <xdr:pic>
      <xdr:nvPicPr>
        <xdr:cNvPr id="389" name="Picture 38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287831D-856F-427C-AF87-5BD11ECEF7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8191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540</xdr:row>
      <xdr:rowOff>0</xdr:rowOff>
    </xdr:from>
    <xdr:to>
      <xdr:col>1</xdr:col>
      <xdr:colOff>152400</xdr:colOff>
      <xdr:row>540</xdr:row>
      <xdr:rowOff>152400</xdr:rowOff>
    </xdr:to>
    <xdr:pic>
      <xdr:nvPicPr>
        <xdr:cNvPr id="390" name="Picture 38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E6740D0-F2FA-449E-871D-8AA10D01D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8922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544</xdr:row>
      <xdr:rowOff>0</xdr:rowOff>
    </xdr:from>
    <xdr:to>
      <xdr:col>1</xdr:col>
      <xdr:colOff>152400</xdr:colOff>
      <xdr:row>544</xdr:row>
      <xdr:rowOff>152400</xdr:rowOff>
    </xdr:to>
    <xdr:pic>
      <xdr:nvPicPr>
        <xdr:cNvPr id="391" name="Picture 39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3C396C0-7A50-4907-A603-BCB72FF99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996543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548</xdr:row>
      <xdr:rowOff>0</xdr:rowOff>
    </xdr:from>
    <xdr:to>
      <xdr:col>1</xdr:col>
      <xdr:colOff>152400</xdr:colOff>
      <xdr:row>548</xdr:row>
      <xdr:rowOff>152400</xdr:rowOff>
    </xdr:to>
    <xdr:pic>
      <xdr:nvPicPr>
        <xdr:cNvPr id="392" name="Picture 391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D5252B76-8967-4413-84C3-D010DF0F3D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0385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551</xdr:row>
      <xdr:rowOff>0</xdr:rowOff>
    </xdr:from>
    <xdr:to>
      <xdr:col>1</xdr:col>
      <xdr:colOff>152400</xdr:colOff>
      <xdr:row>551</xdr:row>
      <xdr:rowOff>152400</xdr:rowOff>
    </xdr:to>
    <xdr:pic>
      <xdr:nvPicPr>
        <xdr:cNvPr id="393" name="Picture 39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E20D4C-B6B9-487F-8DE1-C92A6C0BA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09421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555</xdr:row>
      <xdr:rowOff>0</xdr:rowOff>
    </xdr:from>
    <xdr:to>
      <xdr:col>1</xdr:col>
      <xdr:colOff>152400</xdr:colOff>
      <xdr:row>555</xdr:row>
      <xdr:rowOff>152400</xdr:rowOff>
    </xdr:to>
    <xdr:pic>
      <xdr:nvPicPr>
        <xdr:cNvPr id="394" name="Picture 39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17EA700-22C6-407A-A938-17F9E3B12C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16736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559</xdr:row>
      <xdr:rowOff>0</xdr:rowOff>
    </xdr:from>
    <xdr:to>
      <xdr:col>1</xdr:col>
      <xdr:colOff>152400</xdr:colOff>
      <xdr:row>559</xdr:row>
      <xdr:rowOff>152400</xdr:rowOff>
    </xdr:to>
    <xdr:pic>
      <xdr:nvPicPr>
        <xdr:cNvPr id="395" name="Picture 39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D481D00-9F71-4903-A989-00547DE01B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2405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563</xdr:row>
      <xdr:rowOff>0</xdr:rowOff>
    </xdr:from>
    <xdr:to>
      <xdr:col>1</xdr:col>
      <xdr:colOff>152400</xdr:colOff>
      <xdr:row>563</xdr:row>
      <xdr:rowOff>152400</xdr:rowOff>
    </xdr:to>
    <xdr:pic>
      <xdr:nvPicPr>
        <xdr:cNvPr id="396" name="Picture 39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607CD55-7091-4DEB-B3E9-7EC901E8B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3136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567</xdr:row>
      <xdr:rowOff>0</xdr:rowOff>
    </xdr:from>
    <xdr:to>
      <xdr:col>1</xdr:col>
      <xdr:colOff>152400</xdr:colOff>
      <xdr:row>567</xdr:row>
      <xdr:rowOff>152400</xdr:rowOff>
    </xdr:to>
    <xdr:pic>
      <xdr:nvPicPr>
        <xdr:cNvPr id="397" name="Picture 39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6736A47-A4BC-4794-A21E-A3BC45344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3868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571</xdr:row>
      <xdr:rowOff>0</xdr:rowOff>
    </xdr:from>
    <xdr:to>
      <xdr:col>1</xdr:col>
      <xdr:colOff>152400</xdr:colOff>
      <xdr:row>571</xdr:row>
      <xdr:rowOff>152400</xdr:rowOff>
    </xdr:to>
    <xdr:pic>
      <xdr:nvPicPr>
        <xdr:cNvPr id="398" name="Picture 39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A6B9C04-DFE6-4884-B579-7E5B6549F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45997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575</xdr:row>
      <xdr:rowOff>0</xdr:rowOff>
    </xdr:from>
    <xdr:to>
      <xdr:col>1</xdr:col>
      <xdr:colOff>152400</xdr:colOff>
      <xdr:row>575</xdr:row>
      <xdr:rowOff>152400</xdr:rowOff>
    </xdr:to>
    <xdr:pic>
      <xdr:nvPicPr>
        <xdr:cNvPr id="399" name="Picture 39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E23AD3F-3758-4E99-9F6D-75D7154E5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53312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579</xdr:row>
      <xdr:rowOff>0</xdr:rowOff>
    </xdr:from>
    <xdr:to>
      <xdr:col>1</xdr:col>
      <xdr:colOff>152400</xdr:colOff>
      <xdr:row>579</xdr:row>
      <xdr:rowOff>152400</xdr:rowOff>
    </xdr:to>
    <xdr:pic>
      <xdr:nvPicPr>
        <xdr:cNvPr id="400" name="Picture 39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977E0C5-E907-4A29-93D1-07C018AC9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6062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583</xdr:row>
      <xdr:rowOff>0</xdr:rowOff>
    </xdr:from>
    <xdr:to>
      <xdr:col>1</xdr:col>
      <xdr:colOff>152400</xdr:colOff>
      <xdr:row>583</xdr:row>
      <xdr:rowOff>152400</xdr:rowOff>
    </xdr:to>
    <xdr:pic>
      <xdr:nvPicPr>
        <xdr:cNvPr id="401" name="Picture 40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FA6FCDD-A0E3-47E8-BB31-CCE1CD2C6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6794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587</xdr:row>
      <xdr:rowOff>0</xdr:rowOff>
    </xdr:from>
    <xdr:to>
      <xdr:col>1</xdr:col>
      <xdr:colOff>152400</xdr:colOff>
      <xdr:row>587</xdr:row>
      <xdr:rowOff>152400</xdr:rowOff>
    </xdr:to>
    <xdr:pic>
      <xdr:nvPicPr>
        <xdr:cNvPr id="402" name="Picture 40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AAD5B95-59A0-4772-A8CA-016239F24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7525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591</xdr:row>
      <xdr:rowOff>0</xdr:rowOff>
    </xdr:from>
    <xdr:to>
      <xdr:col>1</xdr:col>
      <xdr:colOff>152400</xdr:colOff>
      <xdr:row>591</xdr:row>
      <xdr:rowOff>152400</xdr:rowOff>
    </xdr:to>
    <xdr:pic>
      <xdr:nvPicPr>
        <xdr:cNvPr id="403" name="Picture 40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7125E62-D725-49DE-A381-164E79EAB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8257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594</xdr:row>
      <xdr:rowOff>0</xdr:rowOff>
    </xdr:from>
    <xdr:to>
      <xdr:col>1</xdr:col>
      <xdr:colOff>152400</xdr:colOff>
      <xdr:row>594</xdr:row>
      <xdr:rowOff>152400</xdr:rowOff>
    </xdr:to>
    <xdr:pic>
      <xdr:nvPicPr>
        <xdr:cNvPr id="404" name="Picture 40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A4A3F30-D30F-469D-B3C9-1E2231ED5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8813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598</xdr:row>
      <xdr:rowOff>0</xdr:rowOff>
    </xdr:from>
    <xdr:to>
      <xdr:col>1</xdr:col>
      <xdr:colOff>152400</xdr:colOff>
      <xdr:row>598</xdr:row>
      <xdr:rowOff>152400</xdr:rowOff>
    </xdr:to>
    <xdr:pic>
      <xdr:nvPicPr>
        <xdr:cNvPr id="405" name="Picture 404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4B03FEC7-9AFB-4605-BEB3-3E6EEF455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09545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602</xdr:row>
      <xdr:rowOff>0</xdr:rowOff>
    </xdr:from>
    <xdr:to>
      <xdr:col>1</xdr:col>
      <xdr:colOff>152400</xdr:colOff>
      <xdr:row>602</xdr:row>
      <xdr:rowOff>152400</xdr:rowOff>
    </xdr:to>
    <xdr:pic>
      <xdr:nvPicPr>
        <xdr:cNvPr id="406" name="Picture 40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942C205-A94F-4C39-BB9B-4BA6F0CDB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0276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606</xdr:row>
      <xdr:rowOff>0</xdr:rowOff>
    </xdr:from>
    <xdr:to>
      <xdr:col>1</xdr:col>
      <xdr:colOff>152400</xdr:colOff>
      <xdr:row>606</xdr:row>
      <xdr:rowOff>152400</xdr:rowOff>
    </xdr:to>
    <xdr:pic>
      <xdr:nvPicPr>
        <xdr:cNvPr id="407" name="Picture 40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2F5C62A-8C04-450F-91EB-8997F048C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1008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610</xdr:row>
      <xdr:rowOff>0</xdr:rowOff>
    </xdr:from>
    <xdr:to>
      <xdr:col>1</xdr:col>
      <xdr:colOff>152400</xdr:colOff>
      <xdr:row>610</xdr:row>
      <xdr:rowOff>152400</xdr:rowOff>
    </xdr:to>
    <xdr:pic>
      <xdr:nvPicPr>
        <xdr:cNvPr id="408" name="Picture 40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CDAE9BE-4895-46BD-9D90-7B7FBEC36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1739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614</xdr:row>
      <xdr:rowOff>0</xdr:rowOff>
    </xdr:from>
    <xdr:to>
      <xdr:col>1</xdr:col>
      <xdr:colOff>152400</xdr:colOff>
      <xdr:row>614</xdr:row>
      <xdr:rowOff>152400</xdr:rowOff>
    </xdr:to>
    <xdr:pic>
      <xdr:nvPicPr>
        <xdr:cNvPr id="409" name="Picture 40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75AA691-15E2-40E5-9C92-93EB54812E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2471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618</xdr:row>
      <xdr:rowOff>0</xdr:rowOff>
    </xdr:from>
    <xdr:to>
      <xdr:col>1</xdr:col>
      <xdr:colOff>152400</xdr:colOff>
      <xdr:row>618</xdr:row>
      <xdr:rowOff>152400</xdr:rowOff>
    </xdr:to>
    <xdr:pic>
      <xdr:nvPicPr>
        <xdr:cNvPr id="410" name="Picture 40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6CD19AC-3FEA-4E39-B679-3274A0DF9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3202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622</xdr:row>
      <xdr:rowOff>0</xdr:rowOff>
    </xdr:from>
    <xdr:to>
      <xdr:col>1</xdr:col>
      <xdr:colOff>152400</xdr:colOff>
      <xdr:row>622</xdr:row>
      <xdr:rowOff>152400</xdr:rowOff>
    </xdr:to>
    <xdr:pic>
      <xdr:nvPicPr>
        <xdr:cNvPr id="411" name="Picture 41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37AD5BD-0467-47AB-9016-97AF83743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3934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626</xdr:row>
      <xdr:rowOff>0</xdr:rowOff>
    </xdr:from>
    <xdr:to>
      <xdr:col>1</xdr:col>
      <xdr:colOff>152400</xdr:colOff>
      <xdr:row>626</xdr:row>
      <xdr:rowOff>152400</xdr:rowOff>
    </xdr:to>
    <xdr:pic>
      <xdr:nvPicPr>
        <xdr:cNvPr id="412" name="Picture 41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EBF07C2-864F-48D7-9C08-2A8FD90BD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46657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630</xdr:row>
      <xdr:rowOff>0</xdr:rowOff>
    </xdr:from>
    <xdr:to>
      <xdr:col>1</xdr:col>
      <xdr:colOff>152400</xdr:colOff>
      <xdr:row>630</xdr:row>
      <xdr:rowOff>152400</xdr:rowOff>
    </xdr:to>
    <xdr:pic>
      <xdr:nvPicPr>
        <xdr:cNvPr id="413" name="Picture 41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C9681DB-B500-4D54-8C3B-6A23F245C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5397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634</xdr:row>
      <xdr:rowOff>0</xdr:rowOff>
    </xdr:from>
    <xdr:to>
      <xdr:col>1</xdr:col>
      <xdr:colOff>152400</xdr:colOff>
      <xdr:row>634</xdr:row>
      <xdr:rowOff>152400</xdr:rowOff>
    </xdr:to>
    <xdr:pic>
      <xdr:nvPicPr>
        <xdr:cNvPr id="414" name="Picture 41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F3EC7E5-EA10-4CD7-A975-317377331F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6128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638</xdr:row>
      <xdr:rowOff>0</xdr:rowOff>
    </xdr:from>
    <xdr:to>
      <xdr:col>1</xdr:col>
      <xdr:colOff>152400</xdr:colOff>
      <xdr:row>638</xdr:row>
      <xdr:rowOff>152400</xdr:rowOff>
    </xdr:to>
    <xdr:pic>
      <xdr:nvPicPr>
        <xdr:cNvPr id="415" name="Picture 41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8AB496D-1AC5-4292-B1A8-2B96365C24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6860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641</xdr:row>
      <xdr:rowOff>0</xdr:rowOff>
    </xdr:from>
    <xdr:to>
      <xdr:col>1</xdr:col>
      <xdr:colOff>152400</xdr:colOff>
      <xdr:row>641</xdr:row>
      <xdr:rowOff>152400</xdr:rowOff>
    </xdr:to>
    <xdr:pic>
      <xdr:nvPicPr>
        <xdr:cNvPr id="416" name="Picture 41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D5E0BB2-C498-4705-930C-B7E84DD9B2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7416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645</xdr:row>
      <xdr:rowOff>0</xdr:rowOff>
    </xdr:from>
    <xdr:to>
      <xdr:col>1</xdr:col>
      <xdr:colOff>152400</xdr:colOff>
      <xdr:row>645</xdr:row>
      <xdr:rowOff>152400</xdr:rowOff>
    </xdr:to>
    <xdr:pic>
      <xdr:nvPicPr>
        <xdr:cNvPr id="417" name="Picture 41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A835F6E-1AE5-4FA2-9B77-D21BC0F8BD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8148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649</xdr:row>
      <xdr:rowOff>0</xdr:rowOff>
    </xdr:from>
    <xdr:to>
      <xdr:col>1</xdr:col>
      <xdr:colOff>152400</xdr:colOff>
      <xdr:row>649</xdr:row>
      <xdr:rowOff>152400</xdr:rowOff>
    </xdr:to>
    <xdr:pic>
      <xdr:nvPicPr>
        <xdr:cNvPr id="418" name="Picture 41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5131AC5-302D-4216-9721-3EB02C9E10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88796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653</xdr:row>
      <xdr:rowOff>0</xdr:rowOff>
    </xdr:from>
    <xdr:to>
      <xdr:col>1</xdr:col>
      <xdr:colOff>152400</xdr:colOff>
      <xdr:row>653</xdr:row>
      <xdr:rowOff>152400</xdr:rowOff>
    </xdr:to>
    <xdr:pic>
      <xdr:nvPicPr>
        <xdr:cNvPr id="419" name="Picture 41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204D563-62B4-47A0-871B-561A6B04C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196111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657</xdr:row>
      <xdr:rowOff>0</xdr:rowOff>
    </xdr:from>
    <xdr:to>
      <xdr:col>1</xdr:col>
      <xdr:colOff>152400</xdr:colOff>
      <xdr:row>657</xdr:row>
      <xdr:rowOff>152400</xdr:rowOff>
    </xdr:to>
    <xdr:pic>
      <xdr:nvPicPr>
        <xdr:cNvPr id="420" name="Picture 41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25A2669-B09D-4B6D-B77F-35A6CCD57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03426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661</xdr:row>
      <xdr:rowOff>0</xdr:rowOff>
    </xdr:from>
    <xdr:to>
      <xdr:col>1</xdr:col>
      <xdr:colOff>152400</xdr:colOff>
      <xdr:row>661</xdr:row>
      <xdr:rowOff>152400</xdr:rowOff>
    </xdr:to>
    <xdr:pic>
      <xdr:nvPicPr>
        <xdr:cNvPr id="421" name="Picture 42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AD2F91C-1263-467A-853B-996BE5BD8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1074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665</xdr:row>
      <xdr:rowOff>0</xdr:rowOff>
    </xdr:from>
    <xdr:to>
      <xdr:col>1</xdr:col>
      <xdr:colOff>152400</xdr:colOff>
      <xdr:row>665</xdr:row>
      <xdr:rowOff>152400</xdr:rowOff>
    </xdr:to>
    <xdr:pic>
      <xdr:nvPicPr>
        <xdr:cNvPr id="422" name="Picture 42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828B6FC-62E1-42E0-BCE5-CE6ACB4806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1805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669</xdr:row>
      <xdr:rowOff>0</xdr:rowOff>
    </xdr:from>
    <xdr:to>
      <xdr:col>1</xdr:col>
      <xdr:colOff>152400</xdr:colOff>
      <xdr:row>669</xdr:row>
      <xdr:rowOff>152400</xdr:rowOff>
    </xdr:to>
    <xdr:pic>
      <xdr:nvPicPr>
        <xdr:cNvPr id="423" name="Picture 42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677BBEE-807E-4255-8669-124806246F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2537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673</xdr:row>
      <xdr:rowOff>0</xdr:rowOff>
    </xdr:from>
    <xdr:to>
      <xdr:col>1</xdr:col>
      <xdr:colOff>152400</xdr:colOff>
      <xdr:row>673</xdr:row>
      <xdr:rowOff>152400</xdr:rowOff>
    </xdr:to>
    <xdr:pic>
      <xdr:nvPicPr>
        <xdr:cNvPr id="424" name="Picture 42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676F4B4-0EC5-4011-B7CF-0FF8BBFC47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32687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676</xdr:row>
      <xdr:rowOff>0</xdr:rowOff>
    </xdr:from>
    <xdr:to>
      <xdr:col>1</xdr:col>
      <xdr:colOff>152400</xdr:colOff>
      <xdr:row>676</xdr:row>
      <xdr:rowOff>152400</xdr:rowOff>
    </xdr:to>
    <xdr:pic>
      <xdr:nvPicPr>
        <xdr:cNvPr id="425" name="Picture 42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50B4B51-FCF3-47EF-8732-27F7096C9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382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680</xdr:row>
      <xdr:rowOff>0</xdr:rowOff>
    </xdr:from>
    <xdr:to>
      <xdr:col>1</xdr:col>
      <xdr:colOff>152400</xdr:colOff>
      <xdr:row>681</xdr:row>
      <xdr:rowOff>1492</xdr:rowOff>
    </xdr:to>
    <xdr:pic>
      <xdr:nvPicPr>
        <xdr:cNvPr id="426" name="Picture 42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17C29BC-B0FB-4A6E-9051-56FC2148E7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44650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684</xdr:row>
      <xdr:rowOff>0</xdr:rowOff>
    </xdr:from>
    <xdr:to>
      <xdr:col>1</xdr:col>
      <xdr:colOff>152400</xdr:colOff>
      <xdr:row>685</xdr:row>
      <xdr:rowOff>0</xdr:rowOff>
    </xdr:to>
    <xdr:pic>
      <xdr:nvPicPr>
        <xdr:cNvPr id="427" name="Picture 42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23B937E-8EA4-434C-AD0D-31DD2D3C6E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5074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688</xdr:row>
      <xdr:rowOff>0</xdr:rowOff>
    </xdr:from>
    <xdr:to>
      <xdr:col>1</xdr:col>
      <xdr:colOff>152400</xdr:colOff>
      <xdr:row>689</xdr:row>
      <xdr:rowOff>0</xdr:rowOff>
    </xdr:to>
    <xdr:pic>
      <xdr:nvPicPr>
        <xdr:cNvPr id="428" name="Picture 42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6106084-EE21-42D4-8324-092B16761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5684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692</xdr:row>
      <xdr:rowOff>0</xdr:rowOff>
    </xdr:from>
    <xdr:to>
      <xdr:col>1</xdr:col>
      <xdr:colOff>152400</xdr:colOff>
      <xdr:row>693</xdr:row>
      <xdr:rowOff>0</xdr:rowOff>
    </xdr:to>
    <xdr:pic>
      <xdr:nvPicPr>
        <xdr:cNvPr id="429" name="Picture 42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972E18B-9102-49C3-9277-B3EB1AD93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6293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696</xdr:row>
      <xdr:rowOff>0</xdr:rowOff>
    </xdr:from>
    <xdr:to>
      <xdr:col>1</xdr:col>
      <xdr:colOff>152400</xdr:colOff>
      <xdr:row>697</xdr:row>
      <xdr:rowOff>0</xdr:rowOff>
    </xdr:to>
    <xdr:pic>
      <xdr:nvPicPr>
        <xdr:cNvPr id="430" name="Picture 42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30A838D-E721-49CF-88EB-0EBA07E939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69034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700</xdr:row>
      <xdr:rowOff>0</xdr:rowOff>
    </xdr:from>
    <xdr:to>
      <xdr:col>1</xdr:col>
      <xdr:colOff>152400</xdr:colOff>
      <xdr:row>701</xdr:row>
      <xdr:rowOff>0</xdr:rowOff>
    </xdr:to>
    <xdr:pic>
      <xdr:nvPicPr>
        <xdr:cNvPr id="431" name="Picture 43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F39EDFB-8A22-47BC-8565-F389F934F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75130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704</xdr:row>
      <xdr:rowOff>0</xdr:rowOff>
    </xdr:from>
    <xdr:to>
      <xdr:col>1</xdr:col>
      <xdr:colOff>152400</xdr:colOff>
      <xdr:row>705</xdr:row>
      <xdr:rowOff>0</xdr:rowOff>
    </xdr:to>
    <xdr:pic>
      <xdr:nvPicPr>
        <xdr:cNvPr id="432" name="Picture 43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8E2ED4F-513B-4699-946D-59C2BB8A24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8122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708</xdr:row>
      <xdr:rowOff>0</xdr:rowOff>
    </xdr:from>
    <xdr:to>
      <xdr:col>1</xdr:col>
      <xdr:colOff>152400</xdr:colOff>
      <xdr:row>709</xdr:row>
      <xdr:rowOff>1492</xdr:rowOff>
    </xdr:to>
    <xdr:pic>
      <xdr:nvPicPr>
        <xdr:cNvPr id="433" name="Picture 43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6C6E7AF-BA83-4950-B5B7-E0E4328E8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8732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712</xdr:row>
      <xdr:rowOff>0</xdr:rowOff>
    </xdr:from>
    <xdr:to>
      <xdr:col>1</xdr:col>
      <xdr:colOff>152400</xdr:colOff>
      <xdr:row>713</xdr:row>
      <xdr:rowOff>0</xdr:rowOff>
    </xdr:to>
    <xdr:pic>
      <xdr:nvPicPr>
        <xdr:cNvPr id="434" name="Picture 43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C523559-7F20-41FB-8F5B-EFB5F112BD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9341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716</xdr:row>
      <xdr:rowOff>0</xdr:rowOff>
    </xdr:from>
    <xdr:to>
      <xdr:col>1</xdr:col>
      <xdr:colOff>152400</xdr:colOff>
      <xdr:row>717</xdr:row>
      <xdr:rowOff>0</xdr:rowOff>
    </xdr:to>
    <xdr:pic>
      <xdr:nvPicPr>
        <xdr:cNvPr id="435" name="Picture 43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3ACF4A2-854C-49D1-8282-CB0EF9EB23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299514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720</xdr:row>
      <xdr:rowOff>0</xdr:rowOff>
    </xdr:from>
    <xdr:to>
      <xdr:col>1</xdr:col>
      <xdr:colOff>152400</xdr:colOff>
      <xdr:row>721</xdr:row>
      <xdr:rowOff>0</xdr:rowOff>
    </xdr:to>
    <xdr:pic>
      <xdr:nvPicPr>
        <xdr:cNvPr id="436" name="Picture 435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D9FD18AD-B676-4579-A5F3-A0E5BBF6E9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05610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723</xdr:row>
      <xdr:rowOff>0</xdr:rowOff>
    </xdr:from>
    <xdr:to>
      <xdr:col>1</xdr:col>
      <xdr:colOff>152400</xdr:colOff>
      <xdr:row>723</xdr:row>
      <xdr:rowOff>152400</xdr:rowOff>
    </xdr:to>
    <xdr:pic>
      <xdr:nvPicPr>
        <xdr:cNvPr id="437" name="Picture 43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7AAAF1B-9248-4E3F-AB0F-F8E6E7B087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1025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727</xdr:row>
      <xdr:rowOff>0</xdr:rowOff>
    </xdr:from>
    <xdr:to>
      <xdr:col>1</xdr:col>
      <xdr:colOff>152400</xdr:colOff>
      <xdr:row>728</xdr:row>
      <xdr:rowOff>0</xdr:rowOff>
    </xdr:to>
    <xdr:pic>
      <xdr:nvPicPr>
        <xdr:cNvPr id="438" name="Picture 43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FD655B4-84CE-47E8-9CBE-11AF50345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163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731</xdr:row>
      <xdr:rowOff>0</xdr:rowOff>
    </xdr:from>
    <xdr:to>
      <xdr:col>1</xdr:col>
      <xdr:colOff>152400</xdr:colOff>
      <xdr:row>732</xdr:row>
      <xdr:rowOff>0</xdr:rowOff>
    </xdr:to>
    <xdr:pic>
      <xdr:nvPicPr>
        <xdr:cNvPr id="439" name="Picture 43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3CB4E64-F55E-40EB-93CE-B4D3F89E4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2245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735</xdr:row>
      <xdr:rowOff>0</xdr:rowOff>
    </xdr:from>
    <xdr:to>
      <xdr:col>1</xdr:col>
      <xdr:colOff>152400</xdr:colOff>
      <xdr:row>736</xdr:row>
      <xdr:rowOff>0</xdr:rowOff>
    </xdr:to>
    <xdr:pic>
      <xdr:nvPicPr>
        <xdr:cNvPr id="440" name="Picture 43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32DDF5D-C627-437F-A6BB-DED8F979D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285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739</xdr:row>
      <xdr:rowOff>0</xdr:rowOff>
    </xdr:from>
    <xdr:to>
      <xdr:col>1</xdr:col>
      <xdr:colOff>152400</xdr:colOff>
      <xdr:row>740</xdr:row>
      <xdr:rowOff>0</xdr:rowOff>
    </xdr:to>
    <xdr:pic>
      <xdr:nvPicPr>
        <xdr:cNvPr id="441" name="Picture 44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BDE3E2C-F779-411E-8692-C7D481466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3464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743</xdr:row>
      <xdr:rowOff>0</xdr:rowOff>
    </xdr:from>
    <xdr:to>
      <xdr:col>1</xdr:col>
      <xdr:colOff>152400</xdr:colOff>
      <xdr:row>744</xdr:row>
      <xdr:rowOff>0</xdr:rowOff>
    </xdr:to>
    <xdr:pic>
      <xdr:nvPicPr>
        <xdr:cNvPr id="442" name="Picture 44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351077F-198A-4867-81D5-8DE9D4A6C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4073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747</xdr:row>
      <xdr:rowOff>0</xdr:rowOff>
    </xdr:from>
    <xdr:to>
      <xdr:col>1</xdr:col>
      <xdr:colOff>152400</xdr:colOff>
      <xdr:row>748</xdr:row>
      <xdr:rowOff>0</xdr:rowOff>
    </xdr:to>
    <xdr:pic>
      <xdr:nvPicPr>
        <xdr:cNvPr id="443" name="Picture 442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CE307A63-114C-4691-A81C-57EF357402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4683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751</xdr:row>
      <xdr:rowOff>0</xdr:rowOff>
    </xdr:from>
    <xdr:to>
      <xdr:col>1</xdr:col>
      <xdr:colOff>152400</xdr:colOff>
      <xdr:row>752</xdr:row>
      <xdr:rowOff>1492</xdr:rowOff>
    </xdr:to>
    <xdr:pic>
      <xdr:nvPicPr>
        <xdr:cNvPr id="444" name="Picture 44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0D5DEA7-0001-4B07-83B3-3DCFEABB4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5293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754</xdr:row>
      <xdr:rowOff>0</xdr:rowOff>
    </xdr:from>
    <xdr:to>
      <xdr:col>1</xdr:col>
      <xdr:colOff>152400</xdr:colOff>
      <xdr:row>754</xdr:row>
      <xdr:rowOff>152400</xdr:rowOff>
    </xdr:to>
    <xdr:pic>
      <xdr:nvPicPr>
        <xdr:cNvPr id="445" name="Picture 44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EBA1FC3-D074-4FEA-9457-8E37665F7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5757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758</xdr:row>
      <xdr:rowOff>0</xdr:rowOff>
    </xdr:from>
    <xdr:to>
      <xdr:col>1</xdr:col>
      <xdr:colOff>152400</xdr:colOff>
      <xdr:row>759</xdr:row>
      <xdr:rowOff>0</xdr:rowOff>
    </xdr:to>
    <xdr:pic>
      <xdr:nvPicPr>
        <xdr:cNvPr id="446" name="Picture 44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1A551A7-225A-48B8-AD34-61BD16FD4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63675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762</xdr:row>
      <xdr:rowOff>0</xdr:rowOff>
    </xdr:from>
    <xdr:to>
      <xdr:col>1</xdr:col>
      <xdr:colOff>152400</xdr:colOff>
      <xdr:row>763</xdr:row>
      <xdr:rowOff>0</xdr:rowOff>
    </xdr:to>
    <xdr:pic>
      <xdr:nvPicPr>
        <xdr:cNvPr id="447" name="Picture 44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8021124-8818-419B-8047-7D24E0989D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6977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766</xdr:row>
      <xdr:rowOff>0</xdr:rowOff>
    </xdr:from>
    <xdr:to>
      <xdr:col>1</xdr:col>
      <xdr:colOff>152400</xdr:colOff>
      <xdr:row>767</xdr:row>
      <xdr:rowOff>0</xdr:rowOff>
    </xdr:to>
    <xdr:pic>
      <xdr:nvPicPr>
        <xdr:cNvPr id="448" name="Picture 44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89E6B16-9997-499B-B09F-8543198494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7586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770</xdr:row>
      <xdr:rowOff>0</xdr:rowOff>
    </xdr:from>
    <xdr:to>
      <xdr:col>1</xdr:col>
      <xdr:colOff>152400</xdr:colOff>
      <xdr:row>771</xdr:row>
      <xdr:rowOff>0</xdr:rowOff>
    </xdr:to>
    <xdr:pic>
      <xdr:nvPicPr>
        <xdr:cNvPr id="449" name="Picture 44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BCF81C0-CFF7-4280-ADE7-BC9383980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8196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774</xdr:row>
      <xdr:rowOff>0</xdr:rowOff>
    </xdr:from>
    <xdr:to>
      <xdr:col>1</xdr:col>
      <xdr:colOff>152400</xdr:colOff>
      <xdr:row>775</xdr:row>
      <xdr:rowOff>0</xdr:rowOff>
    </xdr:to>
    <xdr:pic>
      <xdr:nvPicPr>
        <xdr:cNvPr id="450" name="Picture 44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B6934E9-E8BE-4EBD-AFB0-C1400D1EC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8805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777</xdr:row>
      <xdr:rowOff>0</xdr:rowOff>
    </xdr:from>
    <xdr:to>
      <xdr:col>1</xdr:col>
      <xdr:colOff>152400</xdr:colOff>
      <xdr:row>777</xdr:row>
      <xdr:rowOff>152400</xdr:rowOff>
    </xdr:to>
    <xdr:pic>
      <xdr:nvPicPr>
        <xdr:cNvPr id="501" name="Picture 50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2E94BE6-3A00-4B28-B496-1F9863CFA2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925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781</xdr:row>
      <xdr:rowOff>0</xdr:rowOff>
    </xdr:from>
    <xdr:to>
      <xdr:col>1</xdr:col>
      <xdr:colOff>152400</xdr:colOff>
      <xdr:row>782</xdr:row>
      <xdr:rowOff>0</xdr:rowOff>
    </xdr:to>
    <xdr:pic>
      <xdr:nvPicPr>
        <xdr:cNvPr id="502" name="Picture 50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B2D08E3-3458-4D30-A934-00A2E2E81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39865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785</xdr:row>
      <xdr:rowOff>0</xdr:rowOff>
    </xdr:from>
    <xdr:to>
      <xdr:col>1</xdr:col>
      <xdr:colOff>152400</xdr:colOff>
      <xdr:row>786</xdr:row>
      <xdr:rowOff>0</xdr:rowOff>
    </xdr:to>
    <xdr:pic>
      <xdr:nvPicPr>
        <xdr:cNvPr id="503" name="Picture 50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E4A647A-501A-4798-8D05-8837E6B9E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4047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789</xdr:row>
      <xdr:rowOff>0</xdr:rowOff>
    </xdr:from>
    <xdr:to>
      <xdr:col>1</xdr:col>
      <xdr:colOff>152400</xdr:colOff>
      <xdr:row>790</xdr:row>
      <xdr:rowOff>0</xdr:rowOff>
    </xdr:to>
    <xdr:pic>
      <xdr:nvPicPr>
        <xdr:cNvPr id="504" name="Picture 50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BC7330C-2F83-4591-ABF1-AC9A7DE9FA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41084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793</xdr:row>
      <xdr:rowOff>0</xdr:rowOff>
    </xdr:from>
    <xdr:to>
      <xdr:col>1</xdr:col>
      <xdr:colOff>152400</xdr:colOff>
      <xdr:row>794</xdr:row>
      <xdr:rowOff>0</xdr:rowOff>
    </xdr:to>
    <xdr:pic>
      <xdr:nvPicPr>
        <xdr:cNvPr id="505" name="Picture 50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EA1EAB1-BA7A-435D-B7E1-7266F03683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240" y="141693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796</xdr:row>
      <xdr:rowOff>0</xdr:rowOff>
    </xdr:from>
    <xdr:to>
      <xdr:col>1</xdr:col>
      <xdr:colOff>152400</xdr:colOff>
      <xdr:row>796</xdr:row>
      <xdr:rowOff>152400</xdr:rowOff>
    </xdr:to>
    <xdr:pic>
      <xdr:nvPicPr>
        <xdr:cNvPr id="343" name="Picture 34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5C394CA-7DE1-4B0A-8908-AF4485D1EE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1884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800</xdr:row>
      <xdr:rowOff>0</xdr:rowOff>
    </xdr:from>
    <xdr:to>
      <xdr:col>1</xdr:col>
      <xdr:colOff>152400</xdr:colOff>
      <xdr:row>801</xdr:row>
      <xdr:rowOff>0</xdr:rowOff>
    </xdr:to>
    <xdr:pic>
      <xdr:nvPicPr>
        <xdr:cNvPr id="344" name="Picture 34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8375E3A-5C06-4C54-93EC-1F5D0C74F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2494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804</xdr:row>
      <xdr:rowOff>0</xdr:rowOff>
    </xdr:from>
    <xdr:to>
      <xdr:col>1</xdr:col>
      <xdr:colOff>152400</xdr:colOff>
      <xdr:row>805</xdr:row>
      <xdr:rowOff>0</xdr:rowOff>
    </xdr:to>
    <xdr:pic>
      <xdr:nvPicPr>
        <xdr:cNvPr id="345" name="Picture 34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ADFAA7B-AA2F-4811-8B9D-0BA7DE8D03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3103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808</xdr:row>
      <xdr:rowOff>0</xdr:rowOff>
    </xdr:from>
    <xdr:to>
      <xdr:col>1</xdr:col>
      <xdr:colOff>152400</xdr:colOff>
      <xdr:row>809</xdr:row>
      <xdr:rowOff>0</xdr:rowOff>
    </xdr:to>
    <xdr:pic>
      <xdr:nvPicPr>
        <xdr:cNvPr id="346" name="Picture 34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EBFE3B2-F99A-410E-B72D-A05AEDDCC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3713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812</xdr:row>
      <xdr:rowOff>0</xdr:rowOff>
    </xdr:from>
    <xdr:to>
      <xdr:col>1</xdr:col>
      <xdr:colOff>152400</xdr:colOff>
      <xdr:row>813</xdr:row>
      <xdr:rowOff>0</xdr:rowOff>
    </xdr:to>
    <xdr:pic>
      <xdr:nvPicPr>
        <xdr:cNvPr id="347" name="Picture 34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7B53854-27A5-473F-896A-FC7CC43E51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4322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816</xdr:row>
      <xdr:rowOff>0</xdr:rowOff>
    </xdr:from>
    <xdr:to>
      <xdr:col>1</xdr:col>
      <xdr:colOff>152400</xdr:colOff>
      <xdr:row>817</xdr:row>
      <xdr:rowOff>0</xdr:rowOff>
    </xdr:to>
    <xdr:pic>
      <xdr:nvPicPr>
        <xdr:cNvPr id="348" name="Picture 34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702702B-88AE-4C14-A328-EA5B7131D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4932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820</xdr:row>
      <xdr:rowOff>0</xdr:rowOff>
    </xdr:from>
    <xdr:to>
      <xdr:col>1</xdr:col>
      <xdr:colOff>152400</xdr:colOff>
      <xdr:row>821</xdr:row>
      <xdr:rowOff>0</xdr:rowOff>
    </xdr:to>
    <xdr:pic>
      <xdr:nvPicPr>
        <xdr:cNvPr id="349" name="Picture 34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EA56BA9-F38B-4430-A6BE-C81D55D916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5542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824</xdr:row>
      <xdr:rowOff>0</xdr:rowOff>
    </xdr:from>
    <xdr:to>
      <xdr:col>1</xdr:col>
      <xdr:colOff>152400</xdr:colOff>
      <xdr:row>825</xdr:row>
      <xdr:rowOff>0</xdr:rowOff>
    </xdr:to>
    <xdr:pic>
      <xdr:nvPicPr>
        <xdr:cNvPr id="350" name="Picture 34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761C9D4-FC73-4E85-8696-6C32F50A5D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6151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828</xdr:row>
      <xdr:rowOff>0</xdr:rowOff>
    </xdr:from>
    <xdr:to>
      <xdr:col>1</xdr:col>
      <xdr:colOff>152400</xdr:colOff>
      <xdr:row>829</xdr:row>
      <xdr:rowOff>0</xdr:rowOff>
    </xdr:to>
    <xdr:pic>
      <xdr:nvPicPr>
        <xdr:cNvPr id="351" name="Picture 350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B5D100DB-92AC-406C-B32D-92F54480D3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6761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832</xdr:row>
      <xdr:rowOff>0</xdr:rowOff>
    </xdr:from>
    <xdr:to>
      <xdr:col>1</xdr:col>
      <xdr:colOff>152400</xdr:colOff>
      <xdr:row>833</xdr:row>
      <xdr:rowOff>1492</xdr:rowOff>
    </xdr:to>
    <xdr:pic>
      <xdr:nvPicPr>
        <xdr:cNvPr id="352" name="Picture 351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23A3EC3B-0EB7-4842-8907-650227960D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7370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836</xdr:row>
      <xdr:rowOff>0</xdr:rowOff>
    </xdr:from>
    <xdr:to>
      <xdr:col>1</xdr:col>
      <xdr:colOff>152400</xdr:colOff>
      <xdr:row>837</xdr:row>
      <xdr:rowOff>0</xdr:rowOff>
    </xdr:to>
    <xdr:pic>
      <xdr:nvPicPr>
        <xdr:cNvPr id="353" name="Picture 35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A5C9589-2E5D-46A6-9917-13919ADAC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7980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839</xdr:row>
      <xdr:rowOff>0</xdr:rowOff>
    </xdr:from>
    <xdr:to>
      <xdr:col>1</xdr:col>
      <xdr:colOff>152400</xdr:colOff>
      <xdr:row>839</xdr:row>
      <xdr:rowOff>152400</xdr:rowOff>
    </xdr:to>
    <xdr:pic>
      <xdr:nvPicPr>
        <xdr:cNvPr id="354" name="Picture 35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207E903-59AD-4AEC-B4FF-BFC3B0223E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8437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843</xdr:row>
      <xdr:rowOff>0</xdr:rowOff>
    </xdr:from>
    <xdr:to>
      <xdr:col>1</xdr:col>
      <xdr:colOff>152400</xdr:colOff>
      <xdr:row>844</xdr:row>
      <xdr:rowOff>0</xdr:rowOff>
    </xdr:to>
    <xdr:pic>
      <xdr:nvPicPr>
        <xdr:cNvPr id="355" name="Picture 35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842D948-8686-4930-A73B-38185A10A8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9047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847</xdr:row>
      <xdr:rowOff>0</xdr:rowOff>
    </xdr:from>
    <xdr:to>
      <xdr:col>1</xdr:col>
      <xdr:colOff>152400</xdr:colOff>
      <xdr:row>848</xdr:row>
      <xdr:rowOff>0</xdr:rowOff>
    </xdr:to>
    <xdr:pic>
      <xdr:nvPicPr>
        <xdr:cNvPr id="356" name="Picture 35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4B3C2CB-4275-48FD-9A05-5CF6BCD9B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9656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851</xdr:row>
      <xdr:rowOff>0</xdr:rowOff>
    </xdr:from>
    <xdr:to>
      <xdr:col>1</xdr:col>
      <xdr:colOff>152400</xdr:colOff>
      <xdr:row>852</xdr:row>
      <xdr:rowOff>0</xdr:rowOff>
    </xdr:to>
    <xdr:pic>
      <xdr:nvPicPr>
        <xdr:cNvPr id="357" name="Picture 35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FB80A7B-BA2C-4183-BCED-8378136C24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0266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855</xdr:row>
      <xdr:rowOff>0</xdr:rowOff>
    </xdr:from>
    <xdr:to>
      <xdr:col>1</xdr:col>
      <xdr:colOff>152400</xdr:colOff>
      <xdr:row>856</xdr:row>
      <xdr:rowOff>0</xdr:rowOff>
    </xdr:to>
    <xdr:pic>
      <xdr:nvPicPr>
        <xdr:cNvPr id="358" name="Picture 35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0D3AE0A-1119-481E-94E6-630146C9A0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0876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152400</xdr:colOff>
      <xdr:row>494</xdr:row>
      <xdr:rowOff>152400</xdr:rowOff>
    </xdr:to>
    <xdr:pic>
      <xdr:nvPicPr>
        <xdr:cNvPr id="359" name="Picture 35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AAE38E1-9003-482E-9F8F-355DCCEE4D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02055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498</xdr:row>
      <xdr:rowOff>0</xdr:rowOff>
    </xdr:from>
    <xdr:to>
      <xdr:col>1</xdr:col>
      <xdr:colOff>152400</xdr:colOff>
      <xdr:row>498</xdr:row>
      <xdr:rowOff>152400</xdr:rowOff>
    </xdr:to>
    <xdr:pic>
      <xdr:nvPicPr>
        <xdr:cNvPr id="360" name="Picture 35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9D9923A-2DDD-438E-8C75-BDAC55E55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09370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502</xdr:row>
      <xdr:rowOff>0</xdr:rowOff>
    </xdr:from>
    <xdr:to>
      <xdr:col>1</xdr:col>
      <xdr:colOff>152400</xdr:colOff>
      <xdr:row>502</xdr:row>
      <xdr:rowOff>152400</xdr:rowOff>
    </xdr:to>
    <xdr:pic>
      <xdr:nvPicPr>
        <xdr:cNvPr id="361" name="Picture 36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BE02F11-2380-45AB-BA5E-35B16C89E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1668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506</xdr:row>
      <xdr:rowOff>0</xdr:rowOff>
    </xdr:from>
    <xdr:to>
      <xdr:col>1</xdr:col>
      <xdr:colOff>152400</xdr:colOff>
      <xdr:row>506</xdr:row>
      <xdr:rowOff>152400</xdr:rowOff>
    </xdr:to>
    <xdr:pic>
      <xdr:nvPicPr>
        <xdr:cNvPr id="362" name="Picture 36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B563A21-82FE-46B0-82D0-DB8D00536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2400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510</xdr:row>
      <xdr:rowOff>0</xdr:rowOff>
    </xdr:from>
    <xdr:to>
      <xdr:col>1</xdr:col>
      <xdr:colOff>152400</xdr:colOff>
      <xdr:row>510</xdr:row>
      <xdr:rowOff>152400</xdr:rowOff>
    </xdr:to>
    <xdr:pic>
      <xdr:nvPicPr>
        <xdr:cNvPr id="363" name="Picture 36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9F6733D-C4CE-40DD-89B2-869363DBFC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3131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514</xdr:row>
      <xdr:rowOff>0</xdr:rowOff>
    </xdr:from>
    <xdr:to>
      <xdr:col>1</xdr:col>
      <xdr:colOff>152400</xdr:colOff>
      <xdr:row>514</xdr:row>
      <xdr:rowOff>152400</xdr:rowOff>
    </xdr:to>
    <xdr:pic>
      <xdr:nvPicPr>
        <xdr:cNvPr id="364" name="Picture 36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2D121CD-8DB3-421C-AC01-D1D419242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3863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518</xdr:row>
      <xdr:rowOff>0</xdr:rowOff>
    </xdr:from>
    <xdr:to>
      <xdr:col>1</xdr:col>
      <xdr:colOff>152400</xdr:colOff>
      <xdr:row>518</xdr:row>
      <xdr:rowOff>152400</xdr:rowOff>
    </xdr:to>
    <xdr:pic>
      <xdr:nvPicPr>
        <xdr:cNvPr id="365" name="Picture 36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3E9E896-E8C5-4C20-9DDB-8E4112D15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45946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522</xdr:row>
      <xdr:rowOff>0</xdr:rowOff>
    </xdr:from>
    <xdr:to>
      <xdr:col>1</xdr:col>
      <xdr:colOff>152400</xdr:colOff>
      <xdr:row>522</xdr:row>
      <xdr:rowOff>152400</xdr:rowOff>
    </xdr:to>
    <xdr:pic>
      <xdr:nvPicPr>
        <xdr:cNvPr id="366" name="Picture 36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B9D44AE-181F-4538-8FCF-4B79C5D74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5326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526</xdr:row>
      <xdr:rowOff>0</xdr:rowOff>
    </xdr:from>
    <xdr:to>
      <xdr:col>1</xdr:col>
      <xdr:colOff>152400</xdr:colOff>
      <xdr:row>526</xdr:row>
      <xdr:rowOff>152400</xdr:rowOff>
    </xdr:to>
    <xdr:pic>
      <xdr:nvPicPr>
        <xdr:cNvPr id="367" name="Picture 366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47065A42-0F99-4813-8BFE-91935718B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6057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529</xdr:row>
      <xdr:rowOff>0</xdr:rowOff>
    </xdr:from>
    <xdr:to>
      <xdr:col>1</xdr:col>
      <xdr:colOff>152400</xdr:colOff>
      <xdr:row>529</xdr:row>
      <xdr:rowOff>152400</xdr:rowOff>
    </xdr:to>
    <xdr:pic>
      <xdr:nvPicPr>
        <xdr:cNvPr id="368" name="Picture 36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D031883-3D9B-4087-9A9E-39B80C50F5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6613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533</xdr:row>
      <xdr:rowOff>0</xdr:rowOff>
    </xdr:from>
    <xdr:to>
      <xdr:col>1</xdr:col>
      <xdr:colOff>152400</xdr:colOff>
      <xdr:row>533</xdr:row>
      <xdr:rowOff>152400</xdr:rowOff>
    </xdr:to>
    <xdr:pic>
      <xdr:nvPicPr>
        <xdr:cNvPr id="369" name="Picture 36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2003A9B-0FFB-40F5-9AD7-4482529530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734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537</xdr:row>
      <xdr:rowOff>0</xdr:rowOff>
    </xdr:from>
    <xdr:to>
      <xdr:col>1</xdr:col>
      <xdr:colOff>152400</xdr:colOff>
      <xdr:row>537</xdr:row>
      <xdr:rowOff>152400</xdr:rowOff>
    </xdr:to>
    <xdr:pic>
      <xdr:nvPicPr>
        <xdr:cNvPr id="370" name="Picture 36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7077F59-D409-44DE-8CD0-3AC95C28B4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8077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541</xdr:row>
      <xdr:rowOff>0</xdr:rowOff>
    </xdr:from>
    <xdr:to>
      <xdr:col>1</xdr:col>
      <xdr:colOff>152400</xdr:colOff>
      <xdr:row>541</xdr:row>
      <xdr:rowOff>152400</xdr:rowOff>
    </xdr:to>
    <xdr:pic>
      <xdr:nvPicPr>
        <xdr:cNvPr id="371" name="Picture 37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242AD30-2B0D-49D6-A2DF-478A6CCA8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88085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545</xdr:row>
      <xdr:rowOff>0</xdr:rowOff>
    </xdr:from>
    <xdr:to>
      <xdr:col>1</xdr:col>
      <xdr:colOff>152400</xdr:colOff>
      <xdr:row>545</xdr:row>
      <xdr:rowOff>152400</xdr:rowOff>
    </xdr:to>
    <xdr:pic>
      <xdr:nvPicPr>
        <xdr:cNvPr id="372" name="Picture 37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3D54E1F-4C56-4525-AE7C-5761BC837A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995400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549</xdr:row>
      <xdr:rowOff>0</xdr:rowOff>
    </xdr:from>
    <xdr:to>
      <xdr:col>1</xdr:col>
      <xdr:colOff>152400</xdr:colOff>
      <xdr:row>549</xdr:row>
      <xdr:rowOff>152400</xdr:rowOff>
    </xdr:to>
    <xdr:pic>
      <xdr:nvPicPr>
        <xdr:cNvPr id="373" name="Picture 372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FFC0BB27-BF6F-4850-AC16-9498CA159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0271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552</xdr:row>
      <xdr:rowOff>0</xdr:rowOff>
    </xdr:from>
    <xdr:to>
      <xdr:col>1</xdr:col>
      <xdr:colOff>152400</xdr:colOff>
      <xdr:row>552</xdr:row>
      <xdr:rowOff>152400</xdr:rowOff>
    </xdr:to>
    <xdr:pic>
      <xdr:nvPicPr>
        <xdr:cNvPr id="374" name="Picture 37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50FEE5A-F613-4920-95B5-443468C96B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0827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556</xdr:row>
      <xdr:rowOff>0</xdr:rowOff>
    </xdr:from>
    <xdr:to>
      <xdr:col>1</xdr:col>
      <xdr:colOff>152400</xdr:colOff>
      <xdr:row>556</xdr:row>
      <xdr:rowOff>152400</xdr:rowOff>
    </xdr:to>
    <xdr:pic>
      <xdr:nvPicPr>
        <xdr:cNvPr id="375" name="Picture 37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DAD798B-19BF-42EE-AFA2-A9A36512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15593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560</xdr:row>
      <xdr:rowOff>0</xdr:rowOff>
    </xdr:from>
    <xdr:to>
      <xdr:col>1</xdr:col>
      <xdr:colOff>152400</xdr:colOff>
      <xdr:row>560</xdr:row>
      <xdr:rowOff>152400</xdr:rowOff>
    </xdr:to>
    <xdr:pic>
      <xdr:nvPicPr>
        <xdr:cNvPr id="376" name="Picture 37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D0DDFFA-0CC8-4D0B-802E-AD7BC82C2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2290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564</xdr:row>
      <xdr:rowOff>0</xdr:rowOff>
    </xdr:from>
    <xdr:to>
      <xdr:col>1</xdr:col>
      <xdr:colOff>152400</xdr:colOff>
      <xdr:row>564</xdr:row>
      <xdr:rowOff>152400</xdr:rowOff>
    </xdr:to>
    <xdr:pic>
      <xdr:nvPicPr>
        <xdr:cNvPr id="377" name="Picture 37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42830FB-DAB5-4AD7-8690-2019CCC681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3022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568</xdr:row>
      <xdr:rowOff>0</xdr:rowOff>
    </xdr:from>
    <xdr:to>
      <xdr:col>1</xdr:col>
      <xdr:colOff>152400</xdr:colOff>
      <xdr:row>568</xdr:row>
      <xdr:rowOff>152400</xdr:rowOff>
    </xdr:to>
    <xdr:pic>
      <xdr:nvPicPr>
        <xdr:cNvPr id="451" name="Picture 45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B5CF3FD-30EE-41FA-82AD-B3BE4DAC5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3753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572</xdr:row>
      <xdr:rowOff>0</xdr:rowOff>
    </xdr:from>
    <xdr:to>
      <xdr:col>1</xdr:col>
      <xdr:colOff>152400</xdr:colOff>
      <xdr:row>572</xdr:row>
      <xdr:rowOff>152400</xdr:rowOff>
    </xdr:to>
    <xdr:pic>
      <xdr:nvPicPr>
        <xdr:cNvPr id="452" name="Picture 45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54511E0-1884-4CC0-A1BF-69BA7A595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4485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576</xdr:row>
      <xdr:rowOff>0</xdr:rowOff>
    </xdr:from>
    <xdr:to>
      <xdr:col>1</xdr:col>
      <xdr:colOff>152400</xdr:colOff>
      <xdr:row>576</xdr:row>
      <xdr:rowOff>152400</xdr:rowOff>
    </xdr:to>
    <xdr:pic>
      <xdr:nvPicPr>
        <xdr:cNvPr id="453" name="Picture 45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046D0A2-2435-45DE-A256-833790EB2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5216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580</xdr:row>
      <xdr:rowOff>0</xdr:rowOff>
    </xdr:from>
    <xdr:to>
      <xdr:col>1</xdr:col>
      <xdr:colOff>152400</xdr:colOff>
      <xdr:row>580</xdr:row>
      <xdr:rowOff>152400</xdr:rowOff>
    </xdr:to>
    <xdr:pic>
      <xdr:nvPicPr>
        <xdr:cNvPr id="454" name="Picture 45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7FAD450-0F52-4E90-8A4B-98F161B2C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59484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584</xdr:row>
      <xdr:rowOff>0</xdr:rowOff>
    </xdr:from>
    <xdr:to>
      <xdr:col>1</xdr:col>
      <xdr:colOff>152400</xdr:colOff>
      <xdr:row>584</xdr:row>
      <xdr:rowOff>152400</xdr:rowOff>
    </xdr:to>
    <xdr:pic>
      <xdr:nvPicPr>
        <xdr:cNvPr id="455" name="Picture 45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6BDB0E9-F95C-4B40-808F-4D6ABBB20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668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588</xdr:row>
      <xdr:rowOff>0</xdr:rowOff>
    </xdr:from>
    <xdr:to>
      <xdr:col>1</xdr:col>
      <xdr:colOff>152400</xdr:colOff>
      <xdr:row>588</xdr:row>
      <xdr:rowOff>152400</xdr:rowOff>
    </xdr:to>
    <xdr:pic>
      <xdr:nvPicPr>
        <xdr:cNvPr id="456" name="Picture 45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8A0064A-547C-440D-81AD-AEC0632A1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74115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592</xdr:row>
      <xdr:rowOff>0</xdr:rowOff>
    </xdr:from>
    <xdr:to>
      <xdr:col>1</xdr:col>
      <xdr:colOff>152400</xdr:colOff>
      <xdr:row>592</xdr:row>
      <xdr:rowOff>152400</xdr:rowOff>
    </xdr:to>
    <xdr:pic>
      <xdr:nvPicPr>
        <xdr:cNvPr id="457" name="Picture 45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BF9B8A1-9359-4130-90FA-C5420C9EE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8143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595</xdr:row>
      <xdr:rowOff>0</xdr:rowOff>
    </xdr:from>
    <xdr:to>
      <xdr:col>1</xdr:col>
      <xdr:colOff>152400</xdr:colOff>
      <xdr:row>595</xdr:row>
      <xdr:rowOff>152400</xdr:rowOff>
    </xdr:to>
    <xdr:pic>
      <xdr:nvPicPr>
        <xdr:cNvPr id="458" name="Picture 45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E5EEFBB-59E5-4454-8BA3-B672E4C94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8699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599</xdr:row>
      <xdr:rowOff>0</xdr:rowOff>
    </xdr:from>
    <xdr:to>
      <xdr:col>1</xdr:col>
      <xdr:colOff>152400</xdr:colOff>
      <xdr:row>599</xdr:row>
      <xdr:rowOff>152400</xdr:rowOff>
    </xdr:to>
    <xdr:pic>
      <xdr:nvPicPr>
        <xdr:cNvPr id="459" name="Picture 458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62147946-87DC-4B91-A4B0-8B9E8A78E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09430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603</xdr:row>
      <xdr:rowOff>0</xdr:rowOff>
    </xdr:from>
    <xdr:to>
      <xdr:col>1</xdr:col>
      <xdr:colOff>152400</xdr:colOff>
      <xdr:row>603</xdr:row>
      <xdr:rowOff>152400</xdr:rowOff>
    </xdr:to>
    <xdr:pic>
      <xdr:nvPicPr>
        <xdr:cNvPr id="460" name="Picture 45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C646A9C-1FD4-4DA8-8B35-56EA75397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0162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607</xdr:row>
      <xdr:rowOff>0</xdr:rowOff>
    </xdr:from>
    <xdr:to>
      <xdr:col>1</xdr:col>
      <xdr:colOff>152400</xdr:colOff>
      <xdr:row>607</xdr:row>
      <xdr:rowOff>152400</xdr:rowOff>
    </xdr:to>
    <xdr:pic>
      <xdr:nvPicPr>
        <xdr:cNvPr id="461" name="Picture 46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0CB8BD8-3ED2-43B9-9ABA-991A41961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08938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611</xdr:row>
      <xdr:rowOff>0</xdr:rowOff>
    </xdr:from>
    <xdr:to>
      <xdr:col>1</xdr:col>
      <xdr:colOff>152400</xdr:colOff>
      <xdr:row>611</xdr:row>
      <xdr:rowOff>152400</xdr:rowOff>
    </xdr:to>
    <xdr:pic>
      <xdr:nvPicPr>
        <xdr:cNvPr id="462" name="Picture 46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1896726-8DD7-4D95-9321-FB7DA50CF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1625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615</xdr:row>
      <xdr:rowOff>0</xdr:rowOff>
    </xdr:from>
    <xdr:to>
      <xdr:col>1</xdr:col>
      <xdr:colOff>152400</xdr:colOff>
      <xdr:row>615</xdr:row>
      <xdr:rowOff>152400</xdr:rowOff>
    </xdr:to>
    <xdr:pic>
      <xdr:nvPicPr>
        <xdr:cNvPr id="463" name="Picture 46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D130E37-F4E1-4079-A053-368E87801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2356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619</xdr:row>
      <xdr:rowOff>0</xdr:rowOff>
    </xdr:from>
    <xdr:to>
      <xdr:col>1</xdr:col>
      <xdr:colOff>152400</xdr:colOff>
      <xdr:row>619</xdr:row>
      <xdr:rowOff>152400</xdr:rowOff>
    </xdr:to>
    <xdr:pic>
      <xdr:nvPicPr>
        <xdr:cNvPr id="464" name="Picture 46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38A2594-C38C-472F-BF3A-8712DBF703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30884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623</xdr:row>
      <xdr:rowOff>0</xdr:rowOff>
    </xdr:from>
    <xdr:to>
      <xdr:col>1</xdr:col>
      <xdr:colOff>152400</xdr:colOff>
      <xdr:row>623</xdr:row>
      <xdr:rowOff>152400</xdr:rowOff>
    </xdr:to>
    <xdr:pic>
      <xdr:nvPicPr>
        <xdr:cNvPr id="465" name="Picture 46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4EE2D0D-9161-4AFF-B89D-0393508920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38199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627</xdr:row>
      <xdr:rowOff>0</xdr:rowOff>
    </xdr:from>
    <xdr:to>
      <xdr:col>1</xdr:col>
      <xdr:colOff>152400</xdr:colOff>
      <xdr:row>627</xdr:row>
      <xdr:rowOff>152400</xdr:rowOff>
    </xdr:to>
    <xdr:pic>
      <xdr:nvPicPr>
        <xdr:cNvPr id="466" name="Picture 46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56E7820-C547-4A2B-80FC-A4FA6BC21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45514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631</xdr:row>
      <xdr:rowOff>0</xdr:rowOff>
    </xdr:from>
    <xdr:to>
      <xdr:col>1</xdr:col>
      <xdr:colOff>152400</xdr:colOff>
      <xdr:row>631</xdr:row>
      <xdr:rowOff>152400</xdr:rowOff>
    </xdr:to>
    <xdr:pic>
      <xdr:nvPicPr>
        <xdr:cNvPr id="467" name="Picture 46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26D867E-96F1-434B-A07D-E6562A317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5282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635</xdr:row>
      <xdr:rowOff>0</xdr:rowOff>
    </xdr:from>
    <xdr:to>
      <xdr:col>1</xdr:col>
      <xdr:colOff>152400</xdr:colOff>
      <xdr:row>635</xdr:row>
      <xdr:rowOff>152400</xdr:rowOff>
    </xdr:to>
    <xdr:pic>
      <xdr:nvPicPr>
        <xdr:cNvPr id="468" name="Picture 46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A31AC41-CB83-4395-9474-A577D291B8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60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639</xdr:row>
      <xdr:rowOff>0</xdr:rowOff>
    </xdr:from>
    <xdr:to>
      <xdr:col>1</xdr:col>
      <xdr:colOff>152400</xdr:colOff>
      <xdr:row>639</xdr:row>
      <xdr:rowOff>152400</xdr:rowOff>
    </xdr:to>
    <xdr:pic>
      <xdr:nvPicPr>
        <xdr:cNvPr id="469" name="Picture 46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92EC236-7417-4BBA-86EA-BFC89033E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6746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642</xdr:row>
      <xdr:rowOff>0</xdr:rowOff>
    </xdr:from>
    <xdr:to>
      <xdr:col>1</xdr:col>
      <xdr:colOff>152400</xdr:colOff>
      <xdr:row>642</xdr:row>
      <xdr:rowOff>152400</xdr:rowOff>
    </xdr:to>
    <xdr:pic>
      <xdr:nvPicPr>
        <xdr:cNvPr id="470" name="Picture 46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8DB9FAE-5EE4-44CF-B16E-219CD1114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73022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646</xdr:row>
      <xdr:rowOff>0</xdr:rowOff>
    </xdr:from>
    <xdr:to>
      <xdr:col>1</xdr:col>
      <xdr:colOff>152400</xdr:colOff>
      <xdr:row>646</xdr:row>
      <xdr:rowOff>152400</xdr:rowOff>
    </xdr:to>
    <xdr:pic>
      <xdr:nvPicPr>
        <xdr:cNvPr id="471" name="Picture 47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553F61A-3D91-455C-9CD2-12483282E0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8033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650</xdr:row>
      <xdr:rowOff>0</xdr:rowOff>
    </xdr:from>
    <xdr:to>
      <xdr:col>1</xdr:col>
      <xdr:colOff>152400</xdr:colOff>
      <xdr:row>650</xdr:row>
      <xdr:rowOff>152400</xdr:rowOff>
    </xdr:to>
    <xdr:pic>
      <xdr:nvPicPr>
        <xdr:cNvPr id="472" name="Picture 47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36EC7DB-8AFD-469A-A7B0-9EA59F390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8765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654</xdr:row>
      <xdr:rowOff>0</xdr:rowOff>
    </xdr:from>
    <xdr:to>
      <xdr:col>1</xdr:col>
      <xdr:colOff>152400</xdr:colOff>
      <xdr:row>654</xdr:row>
      <xdr:rowOff>152400</xdr:rowOff>
    </xdr:to>
    <xdr:pic>
      <xdr:nvPicPr>
        <xdr:cNvPr id="473" name="Picture 47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56DE0EA-B839-40AD-A0D3-0636DDE64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19496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658</xdr:row>
      <xdr:rowOff>0</xdr:rowOff>
    </xdr:from>
    <xdr:to>
      <xdr:col>1</xdr:col>
      <xdr:colOff>152400</xdr:colOff>
      <xdr:row>658</xdr:row>
      <xdr:rowOff>152400</xdr:rowOff>
    </xdr:to>
    <xdr:pic>
      <xdr:nvPicPr>
        <xdr:cNvPr id="474" name="Picture 47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76BB97F-97D1-4E81-B4DD-E43BDE9073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02283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662</xdr:row>
      <xdr:rowOff>0</xdr:rowOff>
    </xdr:from>
    <xdr:to>
      <xdr:col>1</xdr:col>
      <xdr:colOff>152400</xdr:colOff>
      <xdr:row>662</xdr:row>
      <xdr:rowOff>152400</xdr:rowOff>
    </xdr:to>
    <xdr:pic>
      <xdr:nvPicPr>
        <xdr:cNvPr id="475" name="Picture 47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DB81A05-DB67-4637-93A8-F0D81F6B3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09598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666</xdr:row>
      <xdr:rowOff>0</xdr:rowOff>
    </xdr:from>
    <xdr:to>
      <xdr:col>1</xdr:col>
      <xdr:colOff>152400</xdr:colOff>
      <xdr:row>666</xdr:row>
      <xdr:rowOff>152400</xdr:rowOff>
    </xdr:to>
    <xdr:pic>
      <xdr:nvPicPr>
        <xdr:cNvPr id="476" name="Picture 47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99A483F-0028-40EC-B802-77A9651948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1691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670</xdr:row>
      <xdr:rowOff>0</xdr:rowOff>
    </xdr:from>
    <xdr:to>
      <xdr:col>1</xdr:col>
      <xdr:colOff>152400</xdr:colOff>
      <xdr:row>670</xdr:row>
      <xdr:rowOff>152400</xdr:rowOff>
    </xdr:to>
    <xdr:pic>
      <xdr:nvPicPr>
        <xdr:cNvPr id="477" name="Picture 47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84C07C1-0B31-4BF1-89CD-06BDA9414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2422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674</xdr:row>
      <xdr:rowOff>0</xdr:rowOff>
    </xdr:from>
    <xdr:to>
      <xdr:col>1</xdr:col>
      <xdr:colOff>152400</xdr:colOff>
      <xdr:row>674</xdr:row>
      <xdr:rowOff>152400</xdr:rowOff>
    </xdr:to>
    <xdr:pic>
      <xdr:nvPicPr>
        <xdr:cNvPr id="478" name="Picture 47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CB9E404-4FDD-4821-B86B-3E70FC679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3154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677</xdr:row>
      <xdr:rowOff>0</xdr:rowOff>
    </xdr:from>
    <xdr:to>
      <xdr:col>1</xdr:col>
      <xdr:colOff>152400</xdr:colOff>
      <xdr:row>678</xdr:row>
      <xdr:rowOff>0</xdr:rowOff>
    </xdr:to>
    <xdr:pic>
      <xdr:nvPicPr>
        <xdr:cNvPr id="479" name="Picture 47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FB46E0F-3A16-4A04-BA42-BFA8A01E5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3710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681</xdr:row>
      <xdr:rowOff>0</xdr:rowOff>
    </xdr:from>
    <xdr:to>
      <xdr:col>1</xdr:col>
      <xdr:colOff>152400</xdr:colOff>
      <xdr:row>682</xdr:row>
      <xdr:rowOff>0</xdr:rowOff>
    </xdr:to>
    <xdr:pic>
      <xdr:nvPicPr>
        <xdr:cNvPr id="480" name="Picture 47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12BF901-BC97-45DC-915D-1CF21EF53D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4320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685</xdr:row>
      <xdr:rowOff>0</xdr:rowOff>
    </xdr:from>
    <xdr:to>
      <xdr:col>1</xdr:col>
      <xdr:colOff>152400</xdr:colOff>
      <xdr:row>686</xdr:row>
      <xdr:rowOff>0</xdr:rowOff>
    </xdr:to>
    <xdr:pic>
      <xdr:nvPicPr>
        <xdr:cNvPr id="481" name="Picture 48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73EE603-16DC-4AC2-945A-41F9039A77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4929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689</xdr:row>
      <xdr:rowOff>0</xdr:rowOff>
    </xdr:from>
    <xdr:to>
      <xdr:col>1</xdr:col>
      <xdr:colOff>152400</xdr:colOff>
      <xdr:row>690</xdr:row>
      <xdr:rowOff>0</xdr:rowOff>
    </xdr:to>
    <xdr:pic>
      <xdr:nvPicPr>
        <xdr:cNvPr id="482" name="Picture 48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3619DF0-E046-46AB-B815-4B7C48B0E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5539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693</xdr:row>
      <xdr:rowOff>0</xdr:rowOff>
    </xdr:from>
    <xdr:to>
      <xdr:col>1</xdr:col>
      <xdr:colOff>152400</xdr:colOff>
      <xdr:row>694</xdr:row>
      <xdr:rowOff>0</xdr:rowOff>
    </xdr:to>
    <xdr:pic>
      <xdr:nvPicPr>
        <xdr:cNvPr id="483" name="Picture 48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C315749-13CE-45AC-9F4F-59DCC22CB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6149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697</xdr:row>
      <xdr:rowOff>0</xdr:rowOff>
    </xdr:from>
    <xdr:to>
      <xdr:col>1</xdr:col>
      <xdr:colOff>152400</xdr:colOff>
      <xdr:row>698</xdr:row>
      <xdr:rowOff>1492</xdr:rowOff>
    </xdr:to>
    <xdr:pic>
      <xdr:nvPicPr>
        <xdr:cNvPr id="484" name="Picture 48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A847B92-A7E4-4D6D-AF76-6BF7BCDC8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6758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701</xdr:row>
      <xdr:rowOff>0</xdr:rowOff>
    </xdr:from>
    <xdr:to>
      <xdr:col>1</xdr:col>
      <xdr:colOff>152400</xdr:colOff>
      <xdr:row>702</xdr:row>
      <xdr:rowOff>0</xdr:rowOff>
    </xdr:to>
    <xdr:pic>
      <xdr:nvPicPr>
        <xdr:cNvPr id="485" name="Picture 48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287616D-B9BC-45A0-805D-B709B30B4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7368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705</xdr:row>
      <xdr:rowOff>0</xdr:rowOff>
    </xdr:from>
    <xdr:to>
      <xdr:col>1</xdr:col>
      <xdr:colOff>152400</xdr:colOff>
      <xdr:row>706</xdr:row>
      <xdr:rowOff>0</xdr:rowOff>
    </xdr:to>
    <xdr:pic>
      <xdr:nvPicPr>
        <xdr:cNvPr id="486" name="Picture 48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B52E5C0-E709-4CBB-8D3E-2F2EC2F9A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7977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709</xdr:row>
      <xdr:rowOff>0</xdr:rowOff>
    </xdr:from>
    <xdr:to>
      <xdr:col>1</xdr:col>
      <xdr:colOff>152400</xdr:colOff>
      <xdr:row>710</xdr:row>
      <xdr:rowOff>0</xdr:rowOff>
    </xdr:to>
    <xdr:pic>
      <xdr:nvPicPr>
        <xdr:cNvPr id="487" name="Picture 48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872E011-B9E3-44F2-8B0F-0940A7EBBE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858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713</xdr:row>
      <xdr:rowOff>0</xdr:rowOff>
    </xdr:from>
    <xdr:to>
      <xdr:col>1</xdr:col>
      <xdr:colOff>152400</xdr:colOff>
      <xdr:row>714</xdr:row>
      <xdr:rowOff>1492</xdr:rowOff>
    </xdr:to>
    <xdr:pic>
      <xdr:nvPicPr>
        <xdr:cNvPr id="488" name="Picture 48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F614796-5D8B-4DF6-8E55-C864E2035E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9197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717</xdr:row>
      <xdr:rowOff>0</xdr:rowOff>
    </xdr:from>
    <xdr:to>
      <xdr:col>1</xdr:col>
      <xdr:colOff>152400</xdr:colOff>
      <xdr:row>718</xdr:row>
      <xdr:rowOff>0</xdr:rowOff>
    </xdr:to>
    <xdr:pic>
      <xdr:nvPicPr>
        <xdr:cNvPr id="489" name="Picture 48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994A1C7-FA90-40F4-B2F4-52DBB43C8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29806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721</xdr:row>
      <xdr:rowOff>0</xdr:rowOff>
    </xdr:from>
    <xdr:to>
      <xdr:col>1</xdr:col>
      <xdr:colOff>152400</xdr:colOff>
      <xdr:row>722</xdr:row>
      <xdr:rowOff>0</xdr:rowOff>
    </xdr:to>
    <xdr:pic>
      <xdr:nvPicPr>
        <xdr:cNvPr id="490" name="Picture 489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6E56198F-72BA-44A1-AF75-830FB1C37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0416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724</xdr:row>
      <xdr:rowOff>0</xdr:rowOff>
    </xdr:from>
    <xdr:to>
      <xdr:col>1</xdr:col>
      <xdr:colOff>152400</xdr:colOff>
      <xdr:row>725</xdr:row>
      <xdr:rowOff>1492</xdr:rowOff>
    </xdr:to>
    <xdr:pic>
      <xdr:nvPicPr>
        <xdr:cNvPr id="491" name="Picture 49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225C50F-4B7E-4511-A482-5FD444B8B2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0881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728</xdr:row>
      <xdr:rowOff>0</xdr:rowOff>
    </xdr:from>
    <xdr:to>
      <xdr:col>1</xdr:col>
      <xdr:colOff>152400</xdr:colOff>
      <xdr:row>729</xdr:row>
      <xdr:rowOff>0</xdr:rowOff>
    </xdr:to>
    <xdr:pic>
      <xdr:nvPicPr>
        <xdr:cNvPr id="492" name="Picture 49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9974BEB-49B5-4C63-ABC0-4E6C665F4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1490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732</xdr:row>
      <xdr:rowOff>0</xdr:rowOff>
    </xdr:from>
    <xdr:to>
      <xdr:col>1</xdr:col>
      <xdr:colOff>152400</xdr:colOff>
      <xdr:row>733</xdr:row>
      <xdr:rowOff>0</xdr:rowOff>
    </xdr:to>
    <xdr:pic>
      <xdr:nvPicPr>
        <xdr:cNvPr id="493" name="Picture 49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23AAFF9-6263-469C-937E-D994E4242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2100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736</xdr:row>
      <xdr:rowOff>0</xdr:rowOff>
    </xdr:from>
    <xdr:to>
      <xdr:col>1</xdr:col>
      <xdr:colOff>152400</xdr:colOff>
      <xdr:row>737</xdr:row>
      <xdr:rowOff>0</xdr:rowOff>
    </xdr:to>
    <xdr:pic>
      <xdr:nvPicPr>
        <xdr:cNvPr id="494" name="Picture 49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4B142C4-127F-465E-A93A-45A60BF3EA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27099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740</xdr:row>
      <xdr:rowOff>0</xdr:rowOff>
    </xdr:from>
    <xdr:to>
      <xdr:col>1</xdr:col>
      <xdr:colOff>152400</xdr:colOff>
      <xdr:row>741</xdr:row>
      <xdr:rowOff>1492</xdr:rowOff>
    </xdr:to>
    <xdr:pic>
      <xdr:nvPicPr>
        <xdr:cNvPr id="495" name="Picture 49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E027B70-CAC1-415B-BF13-C09B698DA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33195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744</xdr:row>
      <xdr:rowOff>0</xdr:rowOff>
    </xdr:from>
    <xdr:to>
      <xdr:col>1</xdr:col>
      <xdr:colOff>152400</xdr:colOff>
      <xdr:row>745</xdr:row>
      <xdr:rowOff>0</xdr:rowOff>
    </xdr:to>
    <xdr:pic>
      <xdr:nvPicPr>
        <xdr:cNvPr id="496" name="Picture 49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BF0EB66-A05B-4C44-9945-E5DFDDBBF2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39291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748</xdr:row>
      <xdr:rowOff>0</xdr:rowOff>
    </xdr:from>
    <xdr:to>
      <xdr:col>1</xdr:col>
      <xdr:colOff>152400</xdr:colOff>
      <xdr:row>749</xdr:row>
      <xdr:rowOff>0</xdr:rowOff>
    </xdr:to>
    <xdr:pic>
      <xdr:nvPicPr>
        <xdr:cNvPr id="497" name="Picture 496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1F973D22-9DDD-492E-9F95-9AE321C52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45387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752</xdr:row>
      <xdr:rowOff>0</xdr:rowOff>
    </xdr:from>
    <xdr:to>
      <xdr:col>1</xdr:col>
      <xdr:colOff>152400</xdr:colOff>
      <xdr:row>753</xdr:row>
      <xdr:rowOff>0</xdr:rowOff>
    </xdr:to>
    <xdr:pic>
      <xdr:nvPicPr>
        <xdr:cNvPr id="498" name="Picture 49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08A4AF7-C19A-4844-83C6-13187C4FE4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51483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755</xdr:row>
      <xdr:rowOff>0</xdr:rowOff>
    </xdr:from>
    <xdr:to>
      <xdr:col>1</xdr:col>
      <xdr:colOff>152400</xdr:colOff>
      <xdr:row>756</xdr:row>
      <xdr:rowOff>0</xdr:rowOff>
    </xdr:to>
    <xdr:pic>
      <xdr:nvPicPr>
        <xdr:cNvPr id="499" name="Picture 49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4376DC3-7639-4331-BC95-F3525EF0CF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56131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759</xdr:row>
      <xdr:rowOff>0</xdr:rowOff>
    </xdr:from>
    <xdr:to>
      <xdr:col>1</xdr:col>
      <xdr:colOff>152400</xdr:colOff>
      <xdr:row>760</xdr:row>
      <xdr:rowOff>0</xdr:rowOff>
    </xdr:to>
    <xdr:pic>
      <xdr:nvPicPr>
        <xdr:cNvPr id="500" name="Picture 49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F2521F3-57AB-4E2A-B8EF-182265936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62227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763</xdr:row>
      <xdr:rowOff>0</xdr:rowOff>
    </xdr:from>
    <xdr:to>
      <xdr:col>1</xdr:col>
      <xdr:colOff>152400</xdr:colOff>
      <xdr:row>764</xdr:row>
      <xdr:rowOff>0</xdr:rowOff>
    </xdr:to>
    <xdr:pic>
      <xdr:nvPicPr>
        <xdr:cNvPr id="506" name="Picture 50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DEAE3A8-C194-45EF-B9EF-579918E0D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68323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767</xdr:row>
      <xdr:rowOff>0</xdr:rowOff>
    </xdr:from>
    <xdr:to>
      <xdr:col>1</xdr:col>
      <xdr:colOff>152400</xdr:colOff>
      <xdr:row>768</xdr:row>
      <xdr:rowOff>1492</xdr:rowOff>
    </xdr:to>
    <xdr:pic>
      <xdr:nvPicPr>
        <xdr:cNvPr id="507" name="Picture 50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8641132-EEE8-4ADC-A0A5-E228EAF0F6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74419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771</xdr:row>
      <xdr:rowOff>0</xdr:rowOff>
    </xdr:from>
    <xdr:to>
      <xdr:col>1</xdr:col>
      <xdr:colOff>152400</xdr:colOff>
      <xdr:row>772</xdr:row>
      <xdr:rowOff>0</xdr:rowOff>
    </xdr:to>
    <xdr:pic>
      <xdr:nvPicPr>
        <xdr:cNvPr id="508" name="Picture 50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639520D-98B1-4E4C-8D34-04D689ACF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80515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775</xdr:row>
      <xdr:rowOff>0</xdr:rowOff>
    </xdr:from>
    <xdr:to>
      <xdr:col>1</xdr:col>
      <xdr:colOff>152400</xdr:colOff>
      <xdr:row>776</xdr:row>
      <xdr:rowOff>0</xdr:rowOff>
    </xdr:to>
    <xdr:pic>
      <xdr:nvPicPr>
        <xdr:cNvPr id="509" name="Picture 50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5C88DD0-6B9E-4EF9-9D68-79330C0767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86611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778</xdr:row>
      <xdr:rowOff>0</xdr:rowOff>
    </xdr:from>
    <xdr:to>
      <xdr:col>1</xdr:col>
      <xdr:colOff>152400</xdr:colOff>
      <xdr:row>779</xdr:row>
      <xdr:rowOff>0</xdr:rowOff>
    </xdr:to>
    <xdr:pic>
      <xdr:nvPicPr>
        <xdr:cNvPr id="510" name="Picture 50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F371FFF-FFF9-49FA-8E54-09F124384C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91259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782</xdr:row>
      <xdr:rowOff>0</xdr:rowOff>
    </xdr:from>
    <xdr:to>
      <xdr:col>1</xdr:col>
      <xdr:colOff>152400</xdr:colOff>
      <xdr:row>783</xdr:row>
      <xdr:rowOff>0</xdr:rowOff>
    </xdr:to>
    <xdr:pic>
      <xdr:nvPicPr>
        <xdr:cNvPr id="511" name="Picture 51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F68D8E0-DB24-48DF-90DE-BA51FD5B66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397355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786</xdr:row>
      <xdr:rowOff>0</xdr:rowOff>
    </xdr:from>
    <xdr:to>
      <xdr:col>1</xdr:col>
      <xdr:colOff>152400</xdr:colOff>
      <xdr:row>787</xdr:row>
      <xdr:rowOff>0</xdr:rowOff>
    </xdr:to>
    <xdr:pic>
      <xdr:nvPicPr>
        <xdr:cNvPr id="512" name="Picture 51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89473D4-9E2C-47DE-A932-881B55ED2E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03451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790</xdr:row>
      <xdr:rowOff>0</xdr:rowOff>
    </xdr:from>
    <xdr:to>
      <xdr:col>1</xdr:col>
      <xdr:colOff>152400</xdr:colOff>
      <xdr:row>791</xdr:row>
      <xdr:rowOff>0</xdr:rowOff>
    </xdr:to>
    <xdr:pic>
      <xdr:nvPicPr>
        <xdr:cNvPr id="513" name="Picture 51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B418023-9487-40F9-9513-255FFB452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09547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794</xdr:row>
      <xdr:rowOff>0</xdr:rowOff>
    </xdr:from>
    <xdr:to>
      <xdr:col>1</xdr:col>
      <xdr:colOff>152400</xdr:colOff>
      <xdr:row>795</xdr:row>
      <xdr:rowOff>1492</xdr:rowOff>
    </xdr:to>
    <xdr:pic>
      <xdr:nvPicPr>
        <xdr:cNvPr id="514" name="Picture 51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37A4A8C-36CC-4A67-9A2E-F1E1F4C4C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156436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797</xdr:row>
      <xdr:rowOff>0</xdr:rowOff>
    </xdr:from>
    <xdr:to>
      <xdr:col>1</xdr:col>
      <xdr:colOff>152400</xdr:colOff>
      <xdr:row>798</xdr:row>
      <xdr:rowOff>0</xdr:rowOff>
    </xdr:to>
    <xdr:pic>
      <xdr:nvPicPr>
        <xdr:cNvPr id="515" name="Picture 51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6294518-690E-4E82-B779-E20597781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2029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801</xdr:row>
      <xdr:rowOff>0</xdr:rowOff>
    </xdr:from>
    <xdr:to>
      <xdr:col>1</xdr:col>
      <xdr:colOff>152400</xdr:colOff>
      <xdr:row>802</xdr:row>
      <xdr:rowOff>0</xdr:rowOff>
    </xdr:to>
    <xdr:pic>
      <xdr:nvPicPr>
        <xdr:cNvPr id="516" name="Picture 51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A306C641-62C6-4B19-A4BF-83FD55A4FA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2638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805</xdr:row>
      <xdr:rowOff>0</xdr:rowOff>
    </xdr:from>
    <xdr:to>
      <xdr:col>1</xdr:col>
      <xdr:colOff>152400</xdr:colOff>
      <xdr:row>806</xdr:row>
      <xdr:rowOff>0</xdr:rowOff>
    </xdr:to>
    <xdr:pic>
      <xdr:nvPicPr>
        <xdr:cNvPr id="517" name="Picture 51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D4FE6532-70A4-45BE-8E10-390426E24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3248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809</xdr:row>
      <xdr:rowOff>0</xdr:rowOff>
    </xdr:from>
    <xdr:to>
      <xdr:col>1</xdr:col>
      <xdr:colOff>152400</xdr:colOff>
      <xdr:row>810</xdr:row>
      <xdr:rowOff>0</xdr:rowOff>
    </xdr:to>
    <xdr:pic>
      <xdr:nvPicPr>
        <xdr:cNvPr id="518" name="Picture 51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47DC606-6176-4AC1-8D62-0A2B6270A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3857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813</xdr:row>
      <xdr:rowOff>0</xdr:rowOff>
    </xdr:from>
    <xdr:to>
      <xdr:col>1</xdr:col>
      <xdr:colOff>152400</xdr:colOff>
      <xdr:row>814</xdr:row>
      <xdr:rowOff>0</xdr:rowOff>
    </xdr:to>
    <xdr:pic>
      <xdr:nvPicPr>
        <xdr:cNvPr id="519" name="Picture 51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392FC3A4-814E-4C64-845F-3CA5A9F28E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4467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817</xdr:row>
      <xdr:rowOff>0</xdr:rowOff>
    </xdr:from>
    <xdr:to>
      <xdr:col>1</xdr:col>
      <xdr:colOff>152400</xdr:colOff>
      <xdr:row>818</xdr:row>
      <xdr:rowOff>0</xdr:rowOff>
    </xdr:to>
    <xdr:pic>
      <xdr:nvPicPr>
        <xdr:cNvPr id="520" name="Picture 51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D604024-40A9-4D24-9A37-172CB5ED0B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5077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821</xdr:row>
      <xdr:rowOff>0</xdr:rowOff>
    </xdr:from>
    <xdr:to>
      <xdr:col>1</xdr:col>
      <xdr:colOff>152400</xdr:colOff>
      <xdr:row>822</xdr:row>
      <xdr:rowOff>1492</xdr:rowOff>
    </xdr:to>
    <xdr:pic>
      <xdr:nvPicPr>
        <xdr:cNvPr id="521" name="Picture 52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745C268-8B0C-40E1-9641-B778CCE61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56867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825</xdr:row>
      <xdr:rowOff>0</xdr:rowOff>
    </xdr:from>
    <xdr:to>
      <xdr:col>1</xdr:col>
      <xdr:colOff>152400</xdr:colOff>
      <xdr:row>826</xdr:row>
      <xdr:rowOff>0</xdr:rowOff>
    </xdr:to>
    <xdr:pic>
      <xdr:nvPicPr>
        <xdr:cNvPr id="522" name="Picture 52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DE33D17-E6A5-46FF-A198-D1431B383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62963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829</xdr:row>
      <xdr:rowOff>0</xdr:rowOff>
    </xdr:from>
    <xdr:to>
      <xdr:col>1</xdr:col>
      <xdr:colOff>152400</xdr:colOff>
      <xdr:row>830</xdr:row>
      <xdr:rowOff>0</xdr:rowOff>
    </xdr:to>
    <xdr:pic>
      <xdr:nvPicPr>
        <xdr:cNvPr id="523" name="Picture 522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29AF3498-9338-48C9-B639-6DFFA8E13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69059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833</xdr:row>
      <xdr:rowOff>0</xdr:rowOff>
    </xdr:from>
    <xdr:to>
      <xdr:col>1</xdr:col>
      <xdr:colOff>152400</xdr:colOff>
      <xdr:row>834</xdr:row>
      <xdr:rowOff>0</xdr:rowOff>
    </xdr:to>
    <xdr:pic>
      <xdr:nvPicPr>
        <xdr:cNvPr id="524" name="Picture 523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D19B0341-B205-43A3-A16F-BA0528CAC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75155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837</xdr:row>
      <xdr:rowOff>0</xdr:rowOff>
    </xdr:from>
    <xdr:to>
      <xdr:col>1</xdr:col>
      <xdr:colOff>152400</xdr:colOff>
      <xdr:row>838</xdr:row>
      <xdr:rowOff>1492</xdr:rowOff>
    </xdr:to>
    <xdr:pic>
      <xdr:nvPicPr>
        <xdr:cNvPr id="525" name="Picture 52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C3862D5C-706B-4FEA-BD2A-B8E5F72950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812518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840</xdr:row>
      <xdr:rowOff>0</xdr:rowOff>
    </xdr:from>
    <xdr:to>
      <xdr:col>1</xdr:col>
      <xdr:colOff>152400</xdr:colOff>
      <xdr:row>841</xdr:row>
      <xdr:rowOff>0</xdr:rowOff>
    </xdr:to>
    <xdr:pic>
      <xdr:nvPicPr>
        <xdr:cNvPr id="526" name="Picture 52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5748D98-0A31-4BC5-8A07-572355516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859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844</xdr:row>
      <xdr:rowOff>0</xdr:rowOff>
    </xdr:from>
    <xdr:to>
      <xdr:col>1</xdr:col>
      <xdr:colOff>152400</xdr:colOff>
      <xdr:row>845</xdr:row>
      <xdr:rowOff>0</xdr:rowOff>
    </xdr:to>
    <xdr:pic>
      <xdr:nvPicPr>
        <xdr:cNvPr id="527" name="Picture 52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4A8EB37-8208-47B2-A185-458C920BE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9199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848</xdr:row>
      <xdr:rowOff>0</xdr:rowOff>
    </xdr:from>
    <xdr:to>
      <xdr:col>1</xdr:col>
      <xdr:colOff>152400</xdr:colOff>
      <xdr:row>849</xdr:row>
      <xdr:rowOff>1492</xdr:rowOff>
    </xdr:to>
    <xdr:pic>
      <xdr:nvPicPr>
        <xdr:cNvPr id="528" name="Picture 52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DC911C5-6547-4901-AF78-FD1BFD4C66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49809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852</xdr:row>
      <xdr:rowOff>0</xdr:rowOff>
    </xdr:from>
    <xdr:to>
      <xdr:col>1</xdr:col>
      <xdr:colOff>152400</xdr:colOff>
      <xdr:row>853</xdr:row>
      <xdr:rowOff>0</xdr:rowOff>
    </xdr:to>
    <xdr:pic>
      <xdr:nvPicPr>
        <xdr:cNvPr id="529" name="Picture 52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D7CCEFE-79E5-41BB-9C9E-B4C23C2128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0418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856</xdr:row>
      <xdr:rowOff>0</xdr:rowOff>
    </xdr:from>
    <xdr:to>
      <xdr:col>1</xdr:col>
      <xdr:colOff>152400</xdr:colOff>
      <xdr:row>857</xdr:row>
      <xdr:rowOff>0</xdr:rowOff>
    </xdr:to>
    <xdr:pic>
      <xdr:nvPicPr>
        <xdr:cNvPr id="530" name="Picture 52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B5D8F2B-EFBD-4FB3-A049-87303C1C8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1028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859</xdr:row>
      <xdr:rowOff>0</xdr:rowOff>
    </xdr:from>
    <xdr:to>
      <xdr:col>1</xdr:col>
      <xdr:colOff>152400</xdr:colOff>
      <xdr:row>860</xdr:row>
      <xdr:rowOff>0</xdr:rowOff>
    </xdr:to>
    <xdr:pic>
      <xdr:nvPicPr>
        <xdr:cNvPr id="531" name="Picture 530" descr="https://ci5.googleusercontent.com/proxy/uJ3sgSTxuDoOy7ntXWcaCYRsx5dIvcFiiSBEZ3J0QNvehimMlVEGW-XwIapjquxyBO_6_dkjAi01zvJSgnv45fo6v1RZUXjyCY-EpfLvaHmY0_NCIZAaDwRl1WjZMd7F3diL7x33=s0-d-e1-ft#http://res.cloudinary.com/glovoapp/image/upload/v1517420495/cancelled_rincy7.png">
          <a:extLst>
            <a:ext uri="{FF2B5EF4-FFF2-40B4-BE49-F238E27FC236}">
              <a16:creationId xmlns:a16="http://schemas.microsoft.com/office/drawing/2014/main" id="{5843DDE4-BE70-449D-A707-FDCE4096E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1493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863</xdr:row>
      <xdr:rowOff>0</xdr:rowOff>
    </xdr:from>
    <xdr:to>
      <xdr:col>1</xdr:col>
      <xdr:colOff>152400</xdr:colOff>
      <xdr:row>864</xdr:row>
      <xdr:rowOff>0</xdr:rowOff>
    </xdr:to>
    <xdr:pic>
      <xdr:nvPicPr>
        <xdr:cNvPr id="532" name="Picture 53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43487190-FAD7-45B6-84DF-418D62E2E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21028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867</xdr:row>
      <xdr:rowOff>0</xdr:rowOff>
    </xdr:from>
    <xdr:to>
      <xdr:col>1</xdr:col>
      <xdr:colOff>152400</xdr:colOff>
      <xdr:row>868</xdr:row>
      <xdr:rowOff>0</xdr:rowOff>
    </xdr:to>
    <xdr:pic>
      <xdr:nvPicPr>
        <xdr:cNvPr id="533" name="Picture 53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0C50087-67B8-4DBD-8CF2-895CC5A9E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27124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871</xdr:row>
      <xdr:rowOff>0</xdr:rowOff>
    </xdr:from>
    <xdr:to>
      <xdr:col>1</xdr:col>
      <xdr:colOff>152400</xdr:colOff>
      <xdr:row>872</xdr:row>
      <xdr:rowOff>0</xdr:rowOff>
    </xdr:to>
    <xdr:pic>
      <xdr:nvPicPr>
        <xdr:cNvPr id="534" name="Picture 53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5690669-CB37-4987-954B-C4C22419ED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33220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875</xdr:row>
      <xdr:rowOff>0</xdr:rowOff>
    </xdr:from>
    <xdr:to>
      <xdr:col>1</xdr:col>
      <xdr:colOff>152400</xdr:colOff>
      <xdr:row>876</xdr:row>
      <xdr:rowOff>1492</xdr:rowOff>
    </xdr:to>
    <xdr:pic>
      <xdr:nvPicPr>
        <xdr:cNvPr id="535" name="Picture 53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580BDB4-360B-4AFC-890F-A8A6ED2EB6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39316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879</xdr:row>
      <xdr:rowOff>0</xdr:rowOff>
    </xdr:from>
    <xdr:to>
      <xdr:col>1</xdr:col>
      <xdr:colOff>152400</xdr:colOff>
      <xdr:row>880</xdr:row>
      <xdr:rowOff>0</xdr:rowOff>
    </xdr:to>
    <xdr:pic>
      <xdr:nvPicPr>
        <xdr:cNvPr id="536" name="Picture 53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1F99D9A-F51E-4391-913F-E2E2FA5702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454122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882</xdr:row>
      <xdr:rowOff>0</xdr:rowOff>
    </xdr:from>
    <xdr:to>
      <xdr:col>1</xdr:col>
      <xdr:colOff>152400</xdr:colOff>
      <xdr:row>883</xdr:row>
      <xdr:rowOff>0</xdr:rowOff>
    </xdr:to>
    <xdr:pic>
      <xdr:nvPicPr>
        <xdr:cNvPr id="537" name="Picture 53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69F612C-07B9-4557-89DF-420DCFE04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5006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886</xdr:row>
      <xdr:rowOff>0</xdr:rowOff>
    </xdr:from>
    <xdr:to>
      <xdr:col>1</xdr:col>
      <xdr:colOff>152400</xdr:colOff>
      <xdr:row>887</xdr:row>
      <xdr:rowOff>0</xdr:rowOff>
    </xdr:to>
    <xdr:pic>
      <xdr:nvPicPr>
        <xdr:cNvPr id="538" name="Picture 53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45FF974-E3CB-4A92-A526-8FA0AF0A4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5615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890</xdr:row>
      <xdr:rowOff>0</xdr:rowOff>
    </xdr:from>
    <xdr:to>
      <xdr:col>1</xdr:col>
      <xdr:colOff>152400</xdr:colOff>
      <xdr:row>891</xdr:row>
      <xdr:rowOff>0</xdr:rowOff>
    </xdr:to>
    <xdr:pic>
      <xdr:nvPicPr>
        <xdr:cNvPr id="539" name="Picture 53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08097FF-B2E3-4012-A583-BEC7D7BE6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6225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895</xdr:row>
      <xdr:rowOff>0</xdr:rowOff>
    </xdr:from>
    <xdr:to>
      <xdr:col>1</xdr:col>
      <xdr:colOff>152400</xdr:colOff>
      <xdr:row>896</xdr:row>
      <xdr:rowOff>0</xdr:rowOff>
    </xdr:to>
    <xdr:pic>
      <xdr:nvPicPr>
        <xdr:cNvPr id="540" name="Picture 53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31F6FD2-3A9A-487D-A15B-88DE271102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6987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899</xdr:row>
      <xdr:rowOff>0</xdr:rowOff>
    </xdr:from>
    <xdr:to>
      <xdr:col>1</xdr:col>
      <xdr:colOff>152400</xdr:colOff>
      <xdr:row>900</xdr:row>
      <xdr:rowOff>0</xdr:rowOff>
    </xdr:to>
    <xdr:pic>
      <xdr:nvPicPr>
        <xdr:cNvPr id="541" name="Picture 54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8C51CF1F-A2EF-4654-9426-8198EBC95D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7596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903</xdr:row>
      <xdr:rowOff>0</xdr:rowOff>
    </xdr:from>
    <xdr:to>
      <xdr:col>1</xdr:col>
      <xdr:colOff>152400</xdr:colOff>
      <xdr:row>904</xdr:row>
      <xdr:rowOff>0</xdr:rowOff>
    </xdr:to>
    <xdr:pic>
      <xdr:nvPicPr>
        <xdr:cNvPr id="542" name="Picture 541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0AE51B5F-1165-46DB-8BCE-08CBB7F27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8206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907</xdr:row>
      <xdr:rowOff>0</xdr:rowOff>
    </xdr:from>
    <xdr:to>
      <xdr:col>1</xdr:col>
      <xdr:colOff>152400</xdr:colOff>
      <xdr:row>908</xdr:row>
      <xdr:rowOff>1492</xdr:rowOff>
    </xdr:to>
    <xdr:pic>
      <xdr:nvPicPr>
        <xdr:cNvPr id="543" name="Picture 542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6DCA7951-B611-4427-B2EE-11708CC745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8816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911</xdr:row>
      <xdr:rowOff>0</xdr:rowOff>
    </xdr:from>
    <xdr:to>
      <xdr:col>1</xdr:col>
      <xdr:colOff>152400</xdr:colOff>
      <xdr:row>912</xdr:row>
      <xdr:rowOff>0</xdr:rowOff>
    </xdr:to>
    <xdr:pic>
      <xdr:nvPicPr>
        <xdr:cNvPr id="544" name="Picture 543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FE6D2A2A-DB8D-4056-91C9-90473795BA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59425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915</xdr:row>
      <xdr:rowOff>0</xdr:rowOff>
    </xdr:from>
    <xdr:to>
      <xdr:col>1</xdr:col>
      <xdr:colOff>152400</xdr:colOff>
      <xdr:row>916</xdr:row>
      <xdr:rowOff>0</xdr:rowOff>
    </xdr:to>
    <xdr:pic>
      <xdr:nvPicPr>
        <xdr:cNvPr id="545" name="Picture 544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5A531335-FC97-4AAB-8A4E-E3631FD57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0035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919</xdr:row>
      <xdr:rowOff>0</xdr:rowOff>
    </xdr:from>
    <xdr:to>
      <xdr:col>1</xdr:col>
      <xdr:colOff>152400</xdr:colOff>
      <xdr:row>920</xdr:row>
      <xdr:rowOff>0</xdr:rowOff>
    </xdr:to>
    <xdr:pic>
      <xdr:nvPicPr>
        <xdr:cNvPr id="546" name="Picture 545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98EC09D4-C748-413B-93D1-2FC373184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0644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923</xdr:row>
      <xdr:rowOff>0</xdr:rowOff>
    </xdr:from>
    <xdr:to>
      <xdr:col>1</xdr:col>
      <xdr:colOff>152400</xdr:colOff>
      <xdr:row>924</xdr:row>
      <xdr:rowOff>0</xdr:rowOff>
    </xdr:to>
    <xdr:pic>
      <xdr:nvPicPr>
        <xdr:cNvPr id="547" name="Picture 546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7326CCCB-60F5-4628-AAE0-1BE4F49CB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12544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927</xdr:row>
      <xdr:rowOff>0</xdr:rowOff>
    </xdr:from>
    <xdr:to>
      <xdr:col>1</xdr:col>
      <xdr:colOff>152400</xdr:colOff>
      <xdr:row>928</xdr:row>
      <xdr:rowOff>0</xdr:rowOff>
    </xdr:to>
    <xdr:pic>
      <xdr:nvPicPr>
        <xdr:cNvPr id="548" name="Picture 547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2828FF93-4C17-4DBC-8E30-A1D2D71C8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18640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931</xdr:row>
      <xdr:rowOff>0</xdr:rowOff>
    </xdr:from>
    <xdr:to>
      <xdr:col>1</xdr:col>
      <xdr:colOff>152400</xdr:colOff>
      <xdr:row>932</xdr:row>
      <xdr:rowOff>0</xdr:rowOff>
    </xdr:to>
    <xdr:pic>
      <xdr:nvPicPr>
        <xdr:cNvPr id="549" name="Picture 548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1F009B08-EC4A-47D4-95B3-B25B7BB54C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24736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935</xdr:row>
      <xdr:rowOff>0</xdr:rowOff>
    </xdr:from>
    <xdr:to>
      <xdr:col>1</xdr:col>
      <xdr:colOff>152400</xdr:colOff>
      <xdr:row>936</xdr:row>
      <xdr:rowOff>0</xdr:rowOff>
    </xdr:to>
    <xdr:pic>
      <xdr:nvPicPr>
        <xdr:cNvPr id="550" name="Picture 549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BCA154CA-6DE2-4DD7-8716-7272DAC57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30832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939</xdr:row>
      <xdr:rowOff>0</xdr:rowOff>
    </xdr:from>
    <xdr:to>
      <xdr:col>1</xdr:col>
      <xdr:colOff>152400</xdr:colOff>
      <xdr:row>939</xdr:row>
      <xdr:rowOff>152400</xdr:rowOff>
    </xdr:to>
    <xdr:pic>
      <xdr:nvPicPr>
        <xdr:cNvPr id="551" name="Picture 550" descr="https://ci4.googleusercontent.com/proxy/pblQ9Upd5979MrhoZTNALGrzhPwdl9kAsgrx9oP4z5mghDDm2tJGducjPsO7ocg3hhTPVE1EZCgPgXYt4_xdUhKklRj-T2lTgEdXDS43RlRBx4WXkQX1GQqpZD0u4IKklDajkq8=s0-d-e1-ft#http://res.cloudinary.com/glovoapp/image/upload/v1517420495/accepted_imbsua.png">
          <a:extLst>
            <a:ext uri="{FF2B5EF4-FFF2-40B4-BE49-F238E27FC236}">
              <a16:creationId xmlns:a16="http://schemas.microsoft.com/office/drawing/2014/main" id="{E0DAE254-3188-4A69-95D7-D00F67B949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040" y="16369284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ldo C. Azeredo Silva" refreshedDate="43262.449307870367" createdVersion="6" refreshedVersion="6" minRefreshableVersion="3" recordCount="941" xr:uid="{00000000-000A-0000-FFFF-FFFF43000000}">
  <cacheSource type="worksheet">
    <worksheetSource ref="N1:AB1048576" sheet="Core"/>
  </cacheSource>
  <cacheFields count="15">
    <cacheField name="Identificador" numFmtId="0">
      <sharedItems containsBlank="1" count="260">
        <s v="#LIVEFZCFA"/>
        <s v="#LIVB495VL"/>
        <s v="#LIZXTQ1UU"/>
        <s v="#LIRP7TY1K"/>
        <s v="#LIL4LBFYX"/>
        <s v="#LIYNQ1UUZ"/>
        <s v="#LI9MLCHF8"/>
        <s v="#LIRVJFLLW"/>
        <s v="#LILGPHUM5"/>
        <s v="#LIHYJKK5P"/>
        <s v="#LIFWMQBHA"/>
        <s v="#LIL6LXRH8"/>
        <s v="#LIDXWRDWZ"/>
        <s v="#LITKZZ6CP"/>
        <s v="#LIBE1R3U1"/>
        <s v="#LI4JL72LL"/>
        <s v="#LIFU82JHE"/>
        <s v="#LIP8HH7LC"/>
        <s v="#LI8JFZ1EN"/>
        <s v="#LID1HKHW3"/>
        <s v="#LIEA9YL21"/>
        <s v="#LICNWV74N"/>
        <s v="#LITWQUWG4"/>
        <s v="#LIMYWQ1QY"/>
        <s v="#LI74KQMXA"/>
        <s v="#LIQCAFTWH"/>
        <s v="#LI971J1L9"/>
        <s v="#LIUGCCXME"/>
        <s v="#LI2UGV5NU"/>
        <s v="#LIZ3ZBXNV"/>
        <s v="#LIBBXGST6"/>
        <s v="#LIVE1JD1M"/>
        <s v="#LIUNDNRUW"/>
        <s v="#LIQ8VKCTD"/>
        <s v="#LIA7YUQBB"/>
        <s v="#LIKYHVR1B"/>
        <s v="#LIM2NN152"/>
        <s v="#LI7KVVHWC"/>
        <s v="#LIAJLGHXD"/>
        <s v="#LINCCQPES "/>
        <s v="#LISZLGZZK "/>
        <s v="#LIL1MGJLH "/>
        <s v="#LIKCFWWSF "/>
        <s v="#LIUBFZCQM "/>
        <s v="#LIYHWGVTL "/>
        <s v="#LI2NDJZEM "/>
        <s v="#LIARLUMGL "/>
        <s v="#LIAPAL5MF "/>
        <s v="#LI3PCTLNS "/>
        <s v="#LIEZHTTS9 "/>
        <s v="#LIDZDGXWL "/>
        <s v="#LILT19PEG "/>
        <s v="#LIQBHNFBF "/>
        <s v="#LIX8HXYZG "/>
        <s v="#LI9P1MVFX "/>
        <s v="#LISATHAMN "/>
        <s v="#LI1G8EZTK "/>
        <s v="#LIPRCKKJ9 "/>
        <s v="#LIAPG16DB "/>
        <s v="#LIGRWNLZS "/>
        <s v="#LI119141D "/>
        <s v="#LI2Z7ZAQ1 "/>
        <s v="#LIAKK1XN1 "/>
        <s v="#LIVQRUHEQ "/>
        <s v="#LIMJMXRBP "/>
        <s v="#LI14LCRJ6 "/>
        <s v="#LIU1H1NWU "/>
        <s v="#LIHBWSEH1 "/>
        <s v="#LINL6ZBF9 "/>
        <s v="#LILV1DC1T "/>
        <s v="#LIFUKKG8B "/>
        <s v="#LICEZULYB "/>
        <s v="#LI125JF9K "/>
        <s v="#LILKLNU8K "/>
        <s v="#LIU1XFQ7R "/>
        <s v="#LIYRWTXDB "/>
        <s v="#LIQH17AMF "/>
        <s v="#LIUFSZFDF "/>
        <s v="#LIABQ9ABZ "/>
        <s v="#LIYXKY5MZ "/>
        <s v="#LI153UEVM "/>
        <s v="#LI81RZUM1 "/>
        <s v="#LILFGDLUK "/>
        <s v="#LIHZLBKWM "/>
        <s v="#LI2CZSYA1 "/>
        <s v="#LIF4LYCEE "/>
        <s v="#LIUSYWLD9 "/>
        <s v="#LITCE4LVL "/>
        <s v="#LIQAD9SRP "/>
        <s v="#LIJUC1KL1 "/>
        <s v="#LIGA968JP "/>
        <s v="#LIQLAPGPW "/>
        <s v="#LI9AMCSU3 "/>
        <s v="#LI47TLEXX "/>
        <s v="#LIBSJLHYF "/>
        <s v="#LIYX9EGLJ "/>
        <s v="#LI1JMJBSS "/>
        <s v="#LIAKLDKEH "/>
        <s v="#LIQJGPLQ5 "/>
        <s v="#LIS1S1424 "/>
        <s v="#LICZMSEF1 "/>
        <s v="#LIL3UTNX6 "/>
        <s v="#LILCAQXGQ "/>
        <s v="#LIH8XYY1M "/>
        <s v="#LI4FE12HW "/>
        <s v="#LIWYECNVF "/>
        <s v="#LIAMY9A3G "/>
        <s v="#LIKV7EF39 "/>
        <s v="#LIRWEWA6P "/>
        <s v="#LILAV3WQT "/>
        <s v="#LINSSATP1 "/>
        <s v="#LIU12Y8G1 "/>
        <s v="#LIKY1C3AE "/>
        <s v="#LIPRSPYB9 "/>
        <s v="#LI19ULHEH "/>
        <s v="#LIX4SVWE1 "/>
        <s v="#LIEEVPFYE "/>
        <s v="#LIKFG45X3 "/>
        <s v="#LIS8RLC5K "/>
        <s v="#LIDP1NDVP "/>
        <s v="#LIC11AH8K "/>
        <s v="#LI7AGUGFM "/>
        <s v="#LI2Q16V4R "/>
        <s v="#LI9N5S32J "/>
        <s v="#LIUY1TULF "/>
        <s v="#LILHZJWWL "/>
        <s v="#LIVR9ATZE "/>
        <s v="#LIJSK1NN9 "/>
        <s v="#LI9GMG76S "/>
        <s v="#LIGEJ1L3M "/>
        <s v="#LIPSQD9SM "/>
        <s v="#LIFT7UKD1 "/>
        <s v="#LISLRCUME "/>
        <s v="#LIV3WP5TL "/>
        <s v="#LIDNZ19JN "/>
        <s v="#LICWH2RHW "/>
        <s v="#LI1LFUAUJ "/>
        <s v="#LI28XH6J1 "/>
        <s v="#LIHJWWDRK "/>
        <s v="#LILYXFPXW "/>
        <s v="#LIGGEUDV3 "/>
        <s v="#LI5NCRWZT "/>
        <s v="#LIL2LC8WQ "/>
        <s v="#LIEV1PAUV "/>
        <s v="#LIA4FV9AQ "/>
        <s v="#LIUDVJDU4 "/>
        <s v="#LIBNSL1MN "/>
        <s v="#LIVTHPDHY "/>
        <s v="#LIW8MG1AF "/>
        <s v="#LIJJ4HGLV "/>
        <s v="#LIUAHR5F1 "/>
        <s v="#LIVFTHRQT "/>
        <s v="#LILK1C1J4 "/>
        <s v="#LIL47E3ZX "/>
        <s v="#LIEL7LQAZ "/>
        <s v="#LIB3MBFVS "/>
        <s v="#LIFR26H9Y "/>
        <s v="#LISVLV2VP "/>
        <s v="#LINVPVKD1 "/>
        <s v="#LIQHJFXR6 "/>
        <s v="#LIQG28ALL "/>
        <s v="#LIAAWA9K2 "/>
        <s v="#LIB4EE11L "/>
        <s v="#LICCMWWWZ "/>
        <s v="#LIRTBPKJK "/>
        <s v="#LISJHTJKW "/>
        <s v="#LIT81SXWM "/>
        <s v="#LIART713T "/>
        <s v="#LIJ5DHYF4 "/>
        <s v="#LIACWA1ZL "/>
        <s v="#LI2XL9EGD "/>
        <s v="#LI2VF1TTS "/>
        <s v="#LI5DDAW9J "/>
        <s v="#LIAGR4DUE "/>
        <s v="#LIGAE7B2R "/>
        <s v="#LIAFFLYLA "/>
        <s v="#LIPVZX9VQ "/>
        <s v="#LIP4LJKF6 "/>
        <s v="#LI2LKLXBA "/>
        <s v="#LIRVHA7W1 "/>
        <s v="#LIZSURSAP "/>
        <s v="#LIW6MJNPB "/>
        <s v="#LIEWNZE5L "/>
        <s v="#LI11LRZL3 "/>
        <s v="#LIFXU96EG "/>
        <s v="#LIQL1JYJZ "/>
        <s v="#LIWGSXK3N "/>
        <s v="#LIVVV6G5V "/>
        <s v="#LIMHRMT2Y "/>
        <s v="#LILTKETTX "/>
        <s v="#LISTUETWJ "/>
        <s v="#LILDLMHSL "/>
        <s v="#LIDJ2ATFF "/>
        <s v="#LI6UWWQAP "/>
        <s v="#LIR6CCDCZ "/>
        <s v="#LI9TBUANM "/>
        <s v="#LI1ZBXKSU "/>
        <s v="#LIVKKH2GC "/>
        <s v="#LISBD2LS1 "/>
        <s v="#LICH6JS1G "/>
        <s v="#LIJP3CKZP "/>
        <s v="#LIUYCYB3Y "/>
        <s v="#LIWVBTKSQ "/>
        <s v="#LIRZ1U33E "/>
        <s v="#LITKYA1WA "/>
        <s v="#LIVFRMREH "/>
        <s v="#LI1EE6BDY "/>
        <s v="#LIFSJE8JA "/>
        <s v="#LIGA7C6AH "/>
        <s v="#LIWLMBDMZ "/>
        <s v="#LI2NSU1XL "/>
        <s v="#LILL3CYAX "/>
        <s v="#LIPRQ97NR "/>
        <s v="#LIKJBFDY1 "/>
        <s v="#LILQYWHPP "/>
        <s v="#LIBU2YDEF "/>
        <s v="#LI1LDFBRE "/>
        <s v="#LIYRVLZUF "/>
        <s v="#LIXHTWQVZ "/>
        <s v="#LISJZXNNK "/>
        <s v="#LIA1Z7Q2L "/>
        <s v="#LIT9YFULG "/>
        <s v="#LIM1M171B "/>
        <s v="#LIRLMPAFB "/>
        <s v="#LIQZXV4DU "/>
        <s v="#LI1369WZW "/>
        <s v="#LIDVTT61Y "/>
        <s v="#LISZ1PJGS "/>
        <s v="#LIJX1LUBX "/>
        <s v="#LIJ1RSW4X "/>
        <s v="#LINFHGRHR "/>
        <s v="#LI1TRCDNR "/>
        <s v="#LIVBUHBTE "/>
        <s v="#LI1WTMGAE "/>
        <s v="#LIBCCVURP "/>
        <s v="#LIRLNLFEC "/>
        <s v="#LIYEMWUGX "/>
        <s v="#LIGPNJ2LK "/>
        <s v="#LIE1PML1X "/>
        <s v="#LIR8GYC3F "/>
        <s v="#LI4DPSDXD "/>
        <s v="#LIJHKCDZC "/>
        <m/>
        <s v="#LIHJWWDRK" u="1"/>
        <s v="#LILK1C1J4" u="1"/>
        <s v="#LIUDVJDU4" u="1"/>
        <s v="#LIEV1PAUV" u="1"/>
        <s v="#LIL2LC8WQ" u="1"/>
        <s v="#LILYXFPXW" u="1"/>
        <s v="#LI28XH6J1" u="1"/>
        <s v="#LIA4FV9AQ" u="1"/>
        <s v="#LIVTHPDHY" u="1"/>
        <s v="#LIGGEUDV3" u="1"/>
        <s v="#LIVFTHRQT" u="1"/>
        <s v="#LIW8MG1AF" u="1"/>
        <s v="#LI5NCRWZT" u="1"/>
        <s v="#LIJJ4HGLV" u="1"/>
        <s v="#LIUAHR5F1" u="1"/>
        <s v="#LI1LFUAUJ" u="1"/>
        <s v="#LIBNSL1MN" u="1"/>
      </sharedItems>
    </cacheField>
    <cacheField name="Busca_Ident." numFmtId="0">
      <sharedItems containsBlank="1" containsMixedTypes="1" containsNumber="1" containsInteger="1" minValue="0" maxValue="0"/>
    </cacheField>
    <cacheField name="dia/mes" numFmtId="173">
      <sharedItems containsNonDate="0" containsDate="1" containsString="0" containsBlank="1" minDate="2018-05-07T00:00:00" maxDate="2018-06-11T00:00:00" count="34"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m/>
      </sharedItems>
    </cacheField>
    <cacheField name="N_MES" numFmtId="2">
      <sharedItems containsString="0" containsBlank="1" containsNumber="1" containsInteger="1" minValue="5" maxValue="6"/>
    </cacheField>
    <cacheField name="mes" numFmtId="0">
      <sharedItems containsBlank="1"/>
    </cacheField>
    <cacheField name="Dmes" numFmtId="0">
      <sharedItems containsBlank="1" containsMixedTypes="1" containsNumber="1" containsInteger="1" minValue="0" maxValue="0"/>
    </cacheField>
    <cacheField name="data" numFmtId="0">
      <sharedItems containsString="0" containsBlank="1" containsNumber="1" containsInteger="1" minValue="1" maxValue="30" count="30"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2"/>
        <n v="23"/>
        <n v="24"/>
        <n v="25"/>
        <n v="26"/>
        <n v="27"/>
        <n v="28"/>
        <n v="29"/>
        <n v="30"/>
        <n v="1"/>
        <n v="2"/>
        <n v="3"/>
        <n v="4"/>
        <n v="5"/>
        <n v="6"/>
        <m/>
      </sharedItems>
    </cacheField>
    <cacheField name="Dias" numFmtId="0">
      <sharedItems containsString="0" containsBlank="1" containsNumber="1" containsInteger="1" minValue="0" maxValue="30"/>
    </cacheField>
    <cacheField name="Bloco de Horas" numFmtId="0">
      <sharedItems containsBlank="1"/>
    </cacheField>
    <cacheField name="Hora" numFmtId="0">
      <sharedItems containsDate="1" containsBlank="1" containsMixedTypes="1" minDate="1899-12-30T00:00:00" maxDate="1899-12-30T02:32:00"/>
    </cacheField>
    <cacheField name="km Paga" numFmtId="0">
      <sharedItems containsString="0" containsBlank="1" containsNumber="1" minValue="0" maxValue="17.600000000000001"/>
    </cacheField>
    <cacheField name="Km Real" numFmtId="0">
      <sharedItems containsString="0" containsBlank="1" containsNumber="1" minValue="0" maxValue="31.080426108284218"/>
    </cacheField>
    <cacheField name="Ganhos" numFmtId="0">
      <sharedItems containsString="0" containsBlank="1" containsNumber="1" minValue="0" maxValue="14.21"/>
    </cacheField>
    <cacheField name="Ganhos Por Hora" numFmtId="0">
      <sharedItems containsString="0" containsBlank="1" containsNumber="1" minValue="0" maxValue="30.000000000000103"/>
    </cacheField>
    <cacheField name="Entregas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ldo C. Azeredo Silva" refreshedDate="43262.449319675929" createdVersion="6" refreshedVersion="6" minRefreshableVersion="3" recordCount="941" xr:uid="{00000000-000A-0000-FFFF-FFFF50000000}">
  <cacheSource type="worksheet">
    <worksheetSource ref="N1:AF1048576" sheet="Core"/>
  </cacheSource>
  <cacheFields count="20">
    <cacheField name="Identificador" numFmtId="0">
      <sharedItems containsBlank="1" count="260">
        <s v="#LIVEFZCFA"/>
        <s v="#LIVB495VL"/>
        <s v="#LIZXTQ1UU"/>
        <s v="#LIRP7TY1K"/>
        <s v="#LIL4LBFYX"/>
        <s v="#LIYNQ1UUZ"/>
        <s v="#LI9MLCHF8"/>
        <s v="#LIRVJFLLW"/>
        <s v="#LILGPHUM5"/>
        <s v="#LIHYJKK5P"/>
        <s v="#LIFWMQBHA"/>
        <s v="#LIL6LXRH8"/>
        <s v="#LIDXWRDWZ"/>
        <s v="#LITKZZ6CP"/>
        <s v="#LIBE1R3U1"/>
        <s v="#LI4JL72LL"/>
        <s v="#LIFU82JHE"/>
        <s v="#LIP8HH7LC"/>
        <s v="#LI8JFZ1EN"/>
        <s v="#LID1HKHW3"/>
        <s v="#LIEA9YL21"/>
        <s v="#LICNWV74N"/>
        <s v="#LITWQUWG4"/>
        <s v="#LIMYWQ1QY"/>
        <s v="#LI74KQMXA"/>
        <s v="#LIQCAFTWH"/>
        <s v="#LI971J1L9"/>
        <s v="#LIUGCCXME"/>
        <s v="#LI2UGV5NU"/>
        <s v="#LIZ3ZBXNV"/>
        <s v="#LIBBXGST6"/>
        <s v="#LIVE1JD1M"/>
        <s v="#LIUNDNRUW"/>
        <s v="#LIQ8VKCTD"/>
        <s v="#LIA7YUQBB"/>
        <s v="#LIKYHVR1B"/>
        <s v="#LIM2NN152"/>
        <s v="#LI7KVVHWC"/>
        <s v="#LIAJLGHXD"/>
        <s v="#LINCCQPES "/>
        <s v="#LISZLGZZK "/>
        <s v="#LIL1MGJLH "/>
        <s v="#LIKCFWWSF "/>
        <s v="#LIUBFZCQM "/>
        <s v="#LIYHWGVTL "/>
        <s v="#LI2NDJZEM "/>
        <s v="#LIARLUMGL "/>
        <s v="#LIAPAL5MF "/>
        <s v="#LI3PCTLNS "/>
        <s v="#LIEZHTTS9 "/>
        <s v="#LIDZDGXWL "/>
        <s v="#LILT19PEG "/>
        <s v="#LIQBHNFBF "/>
        <s v="#LIX8HXYZG "/>
        <s v="#LI9P1MVFX "/>
        <s v="#LISATHAMN "/>
        <s v="#LI1G8EZTK "/>
        <s v="#LIPRCKKJ9 "/>
        <s v="#LIAPG16DB "/>
        <s v="#LIGRWNLZS "/>
        <s v="#LI119141D "/>
        <s v="#LI2Z7ZAQ1 "/>
        <s v="#LIAKK1XN1 "/>
        <s v="#LIVQRUHEQ "/>
        <s v="#LIMJMXRBP "/>
        <s v="#LI14LCRJ6 "/>
        <s v="#LIU1H1NWU "/>
        <s v="#LIHBWSEH1 "/>
        <s v="#LINL6ZBF9 "/>
        <s v="#LILV1DC1T "/>
        <s v="#LIFUKKG8B "/>
        <s v="#LICEZULYB "/>
        <s v="#LI125JF9K "/>
        <s v="#LILKLNU8K "/>
        <s v="#LIU1XFQ7R "/>
        <s v="#LIYRWTXDB "/>
        <s v="#LIQH17AMF "/>
        <s v="#LIUFSZFDF "/>
        <s v="#LIABQ9ABZ "/>
        <s v="#LIYXKY5MZ "/>
        <s v="#LI153UEVM "/>
        <s v="#LI81RZUM1 "/>
        <s v="#LILFGDLUK "/>
        <s v="#LIHZLBKWM "/>
        <s v="#LI2CZSYA1 "/>
        <s v="#LIF4LYCEE "/>
        <s v="#LIUSYWLD9 "/>
        <s v="#LITCE4LVL "/>
        <s v="#LIQAD9SRP "/>
        <s v="#LIJUC1KL1 "/>
        <s v="#LIGA968JP "/>
        <s v="#LIQLAPGPW "/>
        <s v="#LI9AMCSU3 "/>
        <s v="#LI47TLEXX "/>
        <s v="#LIBSJLHYF "/>
        <s v="#LIYX9EGLJ "/>
        <s v="#LI1JMJBSS "/>
        <s v="#LIAKLDKEH "/>
        <s v="#LIQJGPLQ5 "/>
        <s v="#LIS1S1424 "/>
        <s v="#LICZMSEF1 "/>
        <s v="#LIL3UTNX6 "/>
        <s v="#LILCAQXGQ "/>
        <s v="#LIH8XYY1M "/>
        <s v="#LI4FE12HW "/>
        <s v="#LIWYECNVF "/>
        <s v="#LIAMY9A3G "/>
        <s v="#LIKV7EF39 "/>
        <s v="#LIRWEWA6P "/>
        <s v="#LILAV3WQT "/>
        <s v="#LINSSATP1 "/>
        <s v="#LIU12Y8G1 "/>
        <s v="#LIKY1C3AE "/>
        <s v="#LIPRSPYB9 "/>
        <s v="#LI19ULHEH "/>
        <s v="#LIX4SVWE1 "/>
        <s v="#LIEEVPFYE "/>
        <s v="#LIKFG45X3 "/>
        <s v="#LIS8RLC5K "/>
        <s v="#LIDP1NDVP "/>
        <s v="#LIC11AH8K "/>
        <s v="#LI7AGUGFM "/>
        <s v="#LI2Q16V4R "/>
        <s v="#LI9N5S32J "/>
        <s v="#LIUY1TULF "/>
        <s v="#LILHZJWWL "/>
        <s v="#LIVR9ATZE "/>
        <s v="#LIJSK1NN9 "/>
        <s v="#LI9GMG76S "/>
        <s v="#LIGEJ1L3M "/>
        <s v="#LIPSQD9SM "/>
        <s v="#LIFT7UKD1 "/>
        <s v="#LISLRCUME "/>
        <s v="#LIV3WP5TL "/>
        <s v="#LIDNZ19JN "/>
        <s v="#LICWH2RHW "/>
        <s v="#LI1LFUAUJ "/>
        <s v="#LI28XH6J1 "/>
        <s v="#LIHJWWDRK "/>
        <s v="#LILYXFPXW "/>
        <s v="#LIGGEUDV3 "/>
        <s v="#LI5NCRWZT "/>
        <s v="#LIL2LC8WQ "/>
        <s v="#LIEV1PAUV "/>
        <s v="#LIA4FV9AQ "/>
        <s v="#LIUDVJDU4 "/>
        <s v="#LIBNSL1MN "/>
        <s v="#LIVTHPDHY "/>
        <s v="#LIW8MG1AF "/>
        <s v="#LIJJ4HGLV "/>
        <s v="#LIUAHR5F1 "/>
        <s v="#LIVFTHRQT "/>
        <s v="#LILK1C1J4 "/>
        <s v="#LIL47E3ZX "/>
        <s v="#LIEL7LQAZ "/>
        <s v="#LIB3MBFVS "/>
        <s v="#LIFR26H9Y "/>
        <s v="#LISVLV2VP "/>
        <s v="#LINVPVKD1 "/>
        <s v="#LIQHJFXR6 "/>
        <s v="#LIQG28ALL "/>
        <s v="#LIAAWA9K2 "/>
        <s v="#LIB4EE11L "/>
        <s v="#LICCMWWWZ "/>
        <s v="#LIRTBPKJK "/>
        <s v="#LISJHTJKW "/>
        <s v="#LIT81SXWM "/>
        <s v="#LIART713T "/>
        <s v="#LIJ5DHYF4 "/>
        <s v="#LIACWA1ZL "/>
        <s v="#LI2XL9EGD "/>
        <s v="#LI2VF1TTS "/>
        <s v="#LI5DDAW9J "/>
        <s v="#LIAGR4DUE "/>
        <s v="#LIGAE7B2R "/>
        <s v="#LIAFFLYLA "/>
        <s v="#LIPVZX9VQ "/>
        <s v="#LIP4LJKF6 "/>
        <s v="#LI2LKLXBA "/>
        <s v="#LIRVHA7W1 "/>
        <s v="#LIZSURSAP "/>
        <s v="#LIW6MJNPB "/>
        <s v="#LIEWNZE5L "/>
        <s v="#LI11LRZL3 "/>
        <s v="#LIFXU96EG "/>
        <s v="#LIQL1JYJZ "/>
        <s v="#LIWGSXK3N "/>
        <s v="#LIVVV6G5V "/>
        <s v="#LIMHRMT2Y "/>
        <s v="#LILTKETTX "/>
        <s v="#LISTUETWJ "/>
        <s v="#LILDLMHSL "/>
        <s v="#LIDJ2ATFF "/>
        <s v="#LI6UWWQAP "/>
        <s v="#LIR6CCDCZ "/>
        <s v="#LI9TBUANM "/>
        <s v="#LI1ZBXKSU "/>
        <s v="#LIVKKH2GC "/>
        <s v="#LISBD2LS1 "/>
        <s v="#LICH6JS1G "/>
        <s v="#LIJP3CKZP "/>
        <s v="#LIUYCYB3Y "/>
        <s v="#LIWVBTKSQ "/>
        <s v="#LIRZ1U33E "/>
        <s v="#LITKYA1WA "/>
        <s v="#LIVFRMREH "/>
        <s v="#LI1EE6BDY "/>
        <s v="#LIFSJE8JA "/>
        <s v="#LIGA7C6AH "/>
        <s v="#LIWLMBDMZ "/>
        <s v="#LI2NSU1XL "/>
        <s v="#LILL3CYAX "/>
        <s v="#LIPRQ97NR "/>
        <s v="#LIKJBFDY1 "/>
        <s v="#LILQYWHPP "/>
        <s v="#LIBU2YDEF "/>
        <s v="#LI1LDFBRE "/>
        <s v="#LIYRVLZUF "/>
        <s v="#LIXHTWQVZ "/>
        <s v="#LISJZXNNK "/>
        <s v="#LIA1Z7Q2L "/>
        <s v="#LIT9YFULG "/>
        <s v="#LIM1M171B "/>
        <s v="#LIRLMPAFB "/>
        <s v="#LIQZXV4DU "/>
        <s v="#LI1369WZW "/>
        <s v="#LIDVTT61Y "/>
        <s v="#LISZ1PJGS "/>
        <s v="#LIJX1LUBX "/>
        <s v="#LIJ1RSW4X "/>
        <s v="#LINFHGRHR "/>
        <s v="#LI1TRCDNR "/>
        <s v="#LIVBUHBTE "/>
        <s v="#LI1WTMGAE "/>
        <s v="#LIBCCVURP "/>
        <s v="#LIRLNLFEC "/>
        <s v="#LIYEMWUGX "/>
        <s v="#LIGPNJ2LK "/>
        <s v="#LIE1PML1X "/>
        <s v="#LIR8GYC3F "/>
        <s v="#LI4DPSDXD "/>
        <s v="#LIJHKCDZC "/>
        <m/>
        <s v="#LIHJWWDRK" u="1"/>
        <s v="#LILK1C1J4" u="1"/>
        <s v="#LIUDVJDU4" u="1"/>
        <s v="#LIEV1PAUV" u="1"/>
        <s v="#LIL2LC8WQ" u="1"/>
        <s v="#LILYXFPXW" u="1"/>
        <s v="#LI28XH6J1" u="1"/>
        <s v="#LIA4FV9AQ" u="1"/>
        <s v="#LIVTHPDHY" u="1"/>
        <s v="#LIGGEUDV3" u="1"/>
        <s v="#LIVFTHRQT" u="1"/>
        <s v="#LIW8MG1AF" u="1"/>
        <s v="#LI5NCRWZT" u="1"/>
        <s v="#LIJJ4HGLV" u="1"/>
        <s v="#LIUAHR5F1" u="1"/>
        <s v="#LI1LFUAUJ" u="1"/>
        <s v="#LIBNSL1MN" u="1"/>
      </sharedItems>
    </cacheField>
    <cacheField name="Busca_Ident." numFmtId="0">
      <sharedItems containsBlank="1" containsMixedTypes="1" containsNumber="1" containsInteger="1" minValue="0" maxValue="0"/>
    </cacheField>
    <cacheField name="dia/mes" numFmtId="173">
      <sharedItems containsNonDate="0" containsDate="1" containsString="0" containsBlank="1" minDate="2018-05-07T00:00:00" maxDate="2018-06-11T00:00:00" count="34"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m/>
      </sharedItems>
    </cacheField>
    <cacheField name="N_MES" numFmtId="2">
      <sharedItems containsString="0" containsBlank="1" containsNumber="1" containsInteger="1" minValue="5" maxValue="6"/>
    </cacheField>
    <cacheField name="mes" numFmtId="0">
      <sharedItems containsBlank="1"/>
    </cacheField>
    <cacheField name="Dmes" numFmtId="0">
      <sharedItems containsBlank="1" containsMixedTypes="1" containsNumber="1" containsInteger="1" minValue="0" maxValue="0"/>
    </cacheField>
    <cacheField name="data" numFmtId="0">
      <sharedItems containsString="0" containsBlank="1" containsNumber="1" containsInteger="1" minValue="1" maxValue="30" count="30"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2"/>
        <n v="23"/>
        <n v="24"/>
        <n v="25"/>
        <n v="26"/>
        <n v="27"/>
        <n v="28"/>
        <n v="29"/>
        <n v="30"/>
        <n v="1"/>
        <n v="2"/>
        <n v="3"/>
        <n v="4"/>
        <n v="5"/>
        <n v="6"/>
        <m/>
      </sharedItems>
    </cacheField>
    <cacheField name="Dias" numFmtId="0">
      <sharedItems containsString="0" containsBlank="1" containsNumber="1" containsInteger="1" minValue="0" maxValue="30"/>
    </cacheField>
    <cacheField name="Bloco de Horas" numFmtId="0">
      <sharedItems containsBlank="1" count="17">
        <s v="19 - 20"/>
        <s v="20 - 21"/>
        <e v="#N/A"/>
        <s v="21 - 22"/>
        <s v="23 - 24"/>
        <s v="22 - 23"/>
        <s v="11 - 12"/>
        <s v="12 - 13"/>
        <s v="13 - 14"/>
        <s v="14 - 15"/>
        <s v="15 - 16"/>
        <s v="10 - 11"/>
        <s v="16 - 17"/>
        <s v="17 - 18"/>
        <s v="18 - 19"/>
        <m/>
        <s v="12 - 01" u="1"/>
      </sharedItems>
    </cacheField>
    <cacheField name="Hora" numFmtId="0">
      <sharedItems containsDate="1" containsBlank="1" containsMixedTypes="1" minDate="1899-12-30T00:00:00" maxDate="1899-12-30T02:32:00"/>
    </cacheField>
    <cacheField name="km Paga" numFmtId="0">
      <sharedItems containsString="0" containsBlank="1" containsNumber="1" minValue="0" maxValue="17.600000000000001"/>
    </cacheField>
    <cacheField name="Km Real" numFmtId="0">
      <sharedItems containsString="0" containsBlank="1" containsNumber="1" minValue="0" maxValue="31.080426108284218"/>
    </cacheField>
    <cacheField name="Ganhos" numFmtId="0">
      <sharedItems containsString="0" containsBlank="1" containsNumber="1" minValue="0" maxValue="14.21"/>
    </cacheField>
    <cacheField name="Ganhos Por Hora" numFmtId="0">
      <sharedItems containsString="0" containsBlank="1" containsNumber="1" minValue="0" maxValue="30.000000000000103"/>
    </cacheField>
    <cacheField name="Entregas" numFmtId="0">
      <sharedItems containsString="0" containsBlank="1" containsNumber="1" containsInteger="1" minValue="0" maxValue="1"/>
    </cacheField>
    <cacheField name="Lucro SoHo" numFmtId="0">
      <sharedItems containsString="0" containsBlank="1" containsNumber="1" minValue="0" maxValue="9.3096561641571309"/>
    </cacheField>
    <cacheField name="Lucro PCX" numFmtId="0">
      <sharedItems containsString="0" containsBlank="1" containsNumber="1" minValue="0" maxValue="11.279352984492242"/>
    </cacheField>
    <cacheField name="Lucro BikeEletrica" numFmtId="0">
      <sharedItems containsString="0" containsBlank="1" containsNumber="1" minValue="0" maxValue="13.373407990620674"/>
    </cacheField>
    <cacheField name="dia da semana" numFmtId="0">
      <sharedItems containsBlank="1" count="8">
        <s v="seg"/>
        <s v="ter"/>
        <s v="qua"/>
        <s v="qui"/>
        <s v="sex"/>
        <s v="sáb"/>
        <s v="dom"/>
        <m/>
      </sharedItems>
    </cacheField>
    <cacheField name="teste" numFmtId="0" formula="Ganhos/Entrega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ldo C. Azeredo Silva" refreshedDate="43262.449713310183" createdVersion="6" refreshedVersion="6" minRefreshableVersion="3" recordCount="941" xr:uid="{00000000-000A-0000-FFFF-FFFF56000000}">
  <cacheSource type="worksheet">
    <worksheetSource ref="N1:AC1048576" sheet="Core"/>
  </cacheSource>
  <cacheFields count="17">
    <cacheField name="Identificador" numFmtId="0">
      <sharedItems containsBlank="1" count="260">
        <s v="#LIVEFZCFA"/>
        <s v="#LIVB495VL"/>
        <s v="#LIZXTQ1UU"/>
        <s v="#LIRP7TY1K"/>
        <s v="#LIL4LBFYX"/>
        <s v="#LIYNQ1UUZ"/>
        <s v="#LI9MLCHF8"/>
        <s v="#LIRVJFLLW"/>
        <s v="#LILGPHUM5"/>
        <s v="#LIHYJKK5P"/>
        <s v="#LIFWMQBHA"/>
        <s v="#LIL6LXRH8"/>
        <s v="#LIDXWRDWZ"/>
        <s v="#LITKZZ6CP"/>
        <s v="#LIBE1R3U1"/>
        <s v="#LI4JL72LL"/>
        <s v="#LIFU82JHE"/>
        <s v="#LIP8HH7LC"/>
        <s v="#LI8JFZ1EN"/>
        <s v="#LID1HKHW3"/>
        <s v="#LIEA9YL21"/>
        <s v="#LICNWV74N"/>
        <s v="#LITWQUWG4"/>
        <s v="#LIMYWQ1QY"/>
        <s v="#LI74KQMXA"/>
        <s v="#LIQCAFTWH"/>
        <s v="#LI971J1L9"/>
        <s v="#LIUGCCXME"/>
        <s v="#LI2UGV5NU"/>
        <s v="#LIZ3ZBXNV"/>
        <s v="#LIBBXGST6"/>
        <s v="#LIVE1JD1M"/>
        <s v="#LIUNDNRUW"/>
        <s v="#LIQ8VKCTD"/>
        <s v="#LIA7YUQBB"/>
        <s v="#LIKYHVR1B"/>
        <s v="#LIM2NN152"/>
        <s v="#LI7KVVHWC"/>
        <s v="#LIAJLGHXD"/>
        <s v="#LINCCQPES "/>
        <s v="#LISZLGZZK "/>
        <s v="#LIL1MGJLH "/>
        <s v="#LIKCFWWSF "/>
        <s v="#LIUBFZCQM "/>
        <s v="#LIYHWGVTL "/>
        <s v="#LI2NDJZEM "/>
        <s v="#LIARLUMGL "/>
        <s v="#LIAPAL5MF "/>
        <s v="#LI3PCTLNS "/>
        <s v="#LIEZHTTS9 "/>
        <s v="#LIDZDGXWL "/>
        <s v="#LILT19PEG "/>
        <s v="#LIQBHNFBF "/>
        <s v="#LIX8HXYZG "/>
        <s v="#LI9P1MVFX "/>
        <s v="#LISATHAMN "/>
        <s v="#LI1G8EZTK "/>
        <s v="#LIPRCKKJ9 "/>
        <s v="#LIAPG16DB "/>
        <s v="#LIGRWNLZS "/>
        <s v="#LI119141D "/>
        <s v="#LI2Z7ZAQ1 "/>
        <s v="#LIAKK1XN1 "/>
        <s v="#LIVQRUHEQ "/>
        <s v="#LIMJMXRBP "/>
        <s v="#LI14LCRJ6 "/>
        <s v="#LIU1H1NWU "/>
        <s v="#LIHBWSEH1 "/>
        <s v="#LINL6ZBF9 "/>
        <s v="#LILV1DC1T "/>
        <s v="#LIFUKKG8B "/>
        <s v="#LICEZULYB "/>
        <s v="#LI125JF9K "/>
        <s v="#LILKLNU8K "/>
        <s v="#LIU1XFQ7R "/>
        <s v="#LIYRWTXDB "/>
        <s v="#LIQH17AMF "/>
        <s v="#LIUFSZFDF "/>
        <s v="#LIABQ9ABZ "/>
        <s v="#LIYXKY5MZ "/>
        <s v="#LI153UEVM "/>
        <s v="#LI81RZUM1 "/>
        <s v="#LILFGDLUK "/>
        <s v="#LIHZLBKWM "/>
        <s v="#LI2CZSYA1 "/>
        <s v="#LIF4LYCEE "/>
        <s v="#LIUSYWLD9 "/>
        <s v="#LITCE4LVL "/>
        <s v="#LIQAD9SRP "/>
        <s v="#LIJUC1KL1 "/>
        <s v="#LIGA968JP "/>
        <s v="#LIQLAPGPW "/>
        <s v="#LI9AMCSU3 "/>
        <s v="#LI47TLEXX "/>
        <s v="#LIBSJLHYF "/>
        <s v="#LIYX9EGLJ "/>
        <s v="#LI1JMJBSS "/>
        <s v="#LIAKLDKEH "/>
        <s v="#LIQJGPLQ5 "/>
        <s v="#LIS1S1424 "/>
        <s v="#LICZMSEF1 "/>
        <s v="#LIL3UTNX6 "/>
        <s v="#LILCAQXGQ "/>
        <s v="#LIH8XYY1M "/>
        <s v="#LI4FE12HW "/>
        <s v="#LIWYECNVF "/>
        <s v="#LIAMY9A3G "/>
        <s v="#LIKV7EF39 "/>
        <s v="#LIRWEWA6P "/>
        <s v="#LILAV3WQT "/>
        <s v="#LINSSATP1 "/>
        <s v="#LIU12Y8G1 "/>
        <s v="#LIKY1C3AE "/>
        <s v="#LIPRSPYB9 "/>
        <s v="#LI19ULHEH "/>
        <s v="#LIX4SVWE1 "/>
        <s v="#LIEEVPFYE "/>
        <s v="#LIKFG45X3 "/>
        <s v="#LIS8RLC5K "/>
        <s v="#LIDP1NDVP "/>
        <s v="#LIC11AH8K "/>
        <s v="#LI7AGUGFM "/>
        <s v="#LI2Q16V4R "/>
        <s v="#LI9N5S32J "/>
        <s v="#LIUY1TULF "/>
        <s v="#LILHZJWWL "/>
        <s v="#LIVR9ATZE "/>
        <s v="#LIJSK1NN9 "/>
        <s v="#LI9GMG76S "/>
        <s v="#LIGEJ1L3M "/>
        <s v="#LIPSQD9SM "/>
        <s v="#LIFT7UKD1 "/>
        <s v="#LISLRCUME "/>
        <s v="#LIV3WP5TL "/>
        <s v="#LIDNZ19JN "/>
        <s v="#LICWH2RHW "/>
        <s v="#LI1LFUAUJ "/>
        <s v="#LI28XH6J1 "/>
        <s v="#LIHJWWDRK "/>
        <s v="#LILYXFPXW "/>
        <s v="#LIGGEUDV3 "/>
        <s v="#LI5NCRWZT "/>
        <s v="#LIL2LC8WQ "/>
        <s v="#LIEV1PAUV "/>
        <s v="#LIA4FV9AQ "/>
        <s v="#LIUDVJDU4 "/>
        <s v="#LIBNSL1MN "/>
        <s v="#LIVTHPDHY "/>
        <s v="#LIW8MG1AF "/>
        <s v="#LIJJ4HGLV "/>
        <s v="#LIUAHR5F1 "/>
        <s v="#LIVFTHRQT "/>
        <s v="#LILK1C1J4 "/>
        <s v="#LIL47E3ZX "/>
        <s v="#LIEL7LQAZ "/>
        <s v="#LIB3MBFVS "/>
        <s v="#LIFR26H9Y "/>
        <s v="#LISVLV2VP "/>
        <s v="#LINVPVKD1 "/>
        <s v="#LIQHJFXR6 "/>
        <s v="#LIQG28ALL "/>
        <s v="#LIAAWA9K2 "/>
        <s v="#LIB4EE11L "/>
        <s v="#LICCMWWWZ "/>
        <s v="#LIRTBPKJK "/>
        <s v="#LISJHTJKW "/>
        <s v="#LIT81SXWM "/>
        <s v="#LIART713T "/>
        <s v="#LIJ5DHYF4 "/>
        <s v="#LIACWA1ZL "/>
        <s v="#LI2XL9EGD "/>
        <s v="#LI2VF1TTS "/>
        <s v="#LI5DDAW9J "/>
        <s v="#LIAGR4DUE "/>
        <s v="#LIGAE7B2R "/>
        <s v="#LIAFFLYLA "/>
        <s v="#LIPVZX9VQ "/>
        <s v="#LIP4LJKF6 "/>
        <s v="#LI2LKLXBA "/>
        <s v="#LIRVHA7W1 "/>
        <s v="#LIZSURSAP "/>
        <s v="#LIW6MJNPB "/>
        <s v="#LIEWNZE5L "/>
        <s v="#LI11LRZL3 "/>
        <s v="#LIFXU96EG "/>
        <s v="#LIQL1JYJZ "/>
        <s v="#LIWGSXK3N "/>
        <s v="#LIVVV6G5V "/>
        <s v="#LIMHRMT2Y "/>
        <s v="#LILTKETTX "/>
        <s v="#LISTUETWJ "/>
        <s v="#LILDLMHSL "/>
        <s v="#LIDJ2ATFF "/>
        <s v="#LI6UWWQAP "/>
        <s v="#LIR6CCDCZ "/>
        <s v="#LI9TBUANM "/>
        <s v="#LI1ZBXKSU "/>
        <s v="#LIVKKH2GC "/>
        <s v="#LISBD2LS1 "/>
        <s v="#LICH6JS1G "/>
        <s v="#LIJP3CKZP "/>
        <s v="#LIUYCYB3Y "/>
        <s v="#LIWVBTKSQ "/>
        <s v="#LIRZ1U33E "/>
        <s v="#LITKYA1WA "/>
        <s v="#LIVFRMREH "/>
        <s v="#LI1EE6BDY "/>
        <s v="#LIFSJE8JA "/>
        <s v="#LIGA7C6AH "/>
        <s v="#LIWLMBDMZ "/>
        <s v="#LI2NSU1XL "/>
        <s v="#LILL3CYAX "/>
        <s v="#LIPRQ97NR "/>
        <s v="#LIKJBFDY1 "/>
        <s v="#LILQYWHPP "/>
        <s v="#LIBU2YDEF "/>
        <s v="#LI1LDFBRE "/>
        <s v="#LIYRVLZUF "/>
        <s v="#LIXHTWQVZ "/>
        <s v="#LISJZXNNK "/>
        <s v="#LIA1Z7Q2L "/>
        <s v="#LIT9YFULG "/>
        <s v="#LIM1M171B "/>
        <s v="#LIRLMPAFB "/>
        <s v="#LIQZXV4DU "/>
        <s v="#LI1369WZW "/>
        <s v="#LIDVTT61Y "/>
        <s v="#LISZ1PJGS "/>
        <s v="#LIJX1LUBX "/>
        <s v="#LIJ1RSW4X "/>
        <s v="#LINFHGRHR "/>
        <s v="#LI1TRCDNR "/>
        <s v="#LIVBUHBTE "/>
        <s v="#LI1WTMGAE "/>
        <s v="#LIBCCVURP "/>
        <s v="#LIRLNLFEC "/>
        <s v="#LIYEMWUGX "/>
        <s v="#LIGPNJ2LK "/>
        <s v="#LIE1PML1X "/>
        <s v="#LIR8GYC3F "/>
        <s v="#LI4DPSDXD "/>
        <s v="#LIJHKCDZC "/>
        <m/>
        <s v="#LIHJWWDRK" u="1"/>
        <s v="#LILK1C1J4" u="1"/>
        <s v="#LIUDVJDU4" u="1"/>
        <s v="#LIEV1PAUV" u="1"/>
        <s v="#LIL2LC8WQ" u="1"/>
        <s v="#LILYXFPXW" u="1"/>
        <s v="#LI28XH6J1" u="1"/>
        <s v="#LIA4FV9AQ" u="1"/>
        <s v="#LIVTHPDHY" u="1"/>
        <s v="#LIGGEUDV3" u="1"/>
        <s v="#LIVFTHRQT" u="1"/>
        <s v="#LIW8MG1AF" u="1"/>
        <s v="#LI5NCRWZT" u="1"/>
        <s v="#LIJJ4HGLV" u="1"/>
        <s v="#LIUAHR5F1" u="1"/>
        <s v="#LI1LFUAUJ" u="1"/>
        <s v="#LIBNSL1MN" u="1"/>
      </sharedItems>
    </cacheField>
    <cacheField name="Busca_Ident." numFmtId="0">
      <sharedItems containsBlank="1" containsMixedTypes="1" containsNumber="1" containsInteger="1" minValue="0" maxValue="0"/>
    </cacheField>
    <cacheField name="dia/mes" numFmtId="173">
      <sharedItems containsNonDate="0" containsDate="1" containsString="0" containsBlank="1" minDate="2018-05-07T00:00:00" maxDate="2018-06-11T00:00:00" count="34"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m/>
      </sharedItems>
    </cacheField>
    <cacheField name="N_MES" numFmtId="2">
      <sharedItems containsString="0" containsBlank="1" containsNumber="1" containsInteger="1" minValue="5" maxValue="6"/>
    </cacheField>
    <cacheField name="mes" numFmtId="0">
      <sharedItems containsBlank="1"/>
    </cacheField>
    <cacheField name="Dmes" numFmtId="0">
      <sharedItems containsBlank="1" containsMixedTypes="1" containsNumber="1" containsInteger="1" minValue="0" maxValue="0"/>
    </cacheField>
    <cacheField name="data" numFmtId="0">
      <sharedItems containsString="0" containsBlank="1" containsNumber="1" containsInteger="1" minValue="1" maxValue="30" count="30"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2"/>
        <n v="23"/>
        <n v="24"/>
        <n v="25"/>
        <n v="26"/>
        <n v="27"/>
        <n v="28"/>
        <n v="29"/>
        <n v="30"/>
        <n v="1"/>
        <n v="2"/>
        <n v="3"/>
        <n v="4"/>
        <n v="5"/>
        <n v="6"/>
        <m/>
      </sharedItems>
    </cacheField>
    <cacheField name="Dias" numFmtId="0">
      <sharedItems containsString="0" containsBlank="1" containsNumber="1" containsInteger="1" minValue="0" maxValue="30"/>
    </cacheField>
    <cacheField name="Bloco de Horas" numFmtId="0">
      <sharedItems containsBlank="1" count="34">
        <s v="19 - 20"/>
        <s v="20 - 21"/>
        <e v="#N/A"/>
        <s v="21 - 22"/>
        <s v="23 - 24"/>
        <s v="22 - 23"/>
        <s v="11 - 12"/>
        <s v="12 - 13"/>
        <s v="13 - 14"/>
        <s v="14 - 15"/>
        <s v="15 - 16"/>
        <s v="10 - 11"/>
        <s v="16 - 17"/>
        <s v="17 - 18"/>
        <s v="18 - 19"/>
        <m/>
        <s v="02pm - 03pm" u="1"/>
        <s v="12pm - 01pm" u="1"/>
        <s v="07pm - 08pm" u="1"/>
        <s v="12 - 01" u="1"/>
        <s v="23 -  24" u="1"/>
        <s v="03pm - 04pm" u="1"/>
        <s v="08pm - 09pm" u="1"/>
        <s v="12am - 01am" u="1"/>
        <s v="09pm - 10pm" u="1"/>
        <s v="04pm - 05pm" u="1"/>
        <s v="24 - 01" u="1"/>
        <s v="11am - 12pm" u="1"/>
        <s v="10am - 11 am" u="1"/>
        <s v="05pm - 06pm" u="1"/>
        <s v="11pm - 12am" u="1"/>
        <s v="01pm - 02pm" u="1"/>
        <s v="10pm - 11pm" u="1"/>
        <s v="06pm - 07pm" u="1"/>
      </sharedItems>
    </cacheField>
    <cacheField name="Hora" numFmtId="0">
      <sharedItems containsDate="1" containsBlank="1" containsMixedTypes="1" minDate="1899-12-30T00:00:00" maxDate="1899-12-30T02:32:00"/>
    </cacheField>
    <cacheField name="km Paga" numFmtId="0">
      <sharedItems containsString="0" containsBlank="1" containsNumber="1" minValue="0" maxValue="17.600000000000001"/>
    </cacheField>
    <cacheField name="Km Real" numFmtId="0">
      <sharedItems containsString="0" containsBlank="1" containsNumber="1" minValue="0" maxValue="31.080426108284218"/>
    </cacheField>
    <cacheField name="Ganhos" numFmtId="0">
      <sharedItems containsString="0" containsBlank="1" containsNumber="1" minValue="0" maxValue="14.21"/>
    </cacheField>
    <cacheField name="Ganhos Por Hora" numFmtId="0">
      <sharedItems containsString="0" containsBlank="1" containsNumber="1" minValue="0" maxValue="30.000000000000103"/>
    </cacheField>
    <cacheField name="Entregas" numFmtId="0">
      <sharedItems containsString="0" containsBlank="1" containsNumber="1" containsInteger="1" minValue="0" maxValue="1"/>
    </cacheField>
    <cacheField name="Lucro SoHo" numFmtId="0">
      <sharedItems containsString="0" containsBlank="1" containsNumber="1" minValue="0" maxValue="9.3096561641571309"/>
    </cacheField>
    <cacheField name="teste" numFmtId="0" formula="Ganhos/Entrega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1">
  <r>
    <x v="0"/>
    <s v="#LIVEFZCFA"/>
    <x v="0"/>
    <n v="5"/>
    <s v="MAI"/>
    <s v="MAI"/>
    <x v="0"/>
    <n v="7"/>
    <s v="19 - 20"/>
    <d v="1899-12-30T00:42:00"/>
    <n v="5.73"/>
    <n v="10.118797818208442"/>
    <n v="4.55"/>
    <n v="6.4999999999999742"/>
    <n v="1"/>
  </r>
  <r>
    <x v="0"/>
    <n v="0"/>
    <x v="0"/>
    <n v="5"/>
    <s v="MAI"/>
    <n v="0"/>
    <x v="0"/>
    <n v="0"/>
    <s v="20 - 21"/>
    <m/>
    <n v="0"/>
    <n v="0"/>
    <n v="0"/>
    <n v="0"/>
    <n v="0"/>
  </r>
  <r>
    <x v="0"/>
    <n v="0"/>
    <x v="0"/>
    <n v="5"/>
    <s v="MAI"/>
    <n v="0"/>
    <x v="0"/>
    <n v="0"/>
    <e v="#N/A"/>
    <s v=""/>
    <n v="0"/>
    <n v="0"/>
    <n v="0"/>
    <n v="0"/>
    <n v="0"/>
  </r>
  <r>
    <x v="0"/>
    <n v="0"/>
    <x v="0"/>
    <n v="5"/>
    <s v="MAI"/>
    <n v="0"/>
    <x v="0"/>
    <n v="0"/>
    <e v="#N/A"/>
    <s v=""/>
    <n v="0"/>
    <n v="0"/>
    <n v="0"/>
    <n v="0"/>
    <n v="0"/>
  </r>
  <r>
    <x v="1"/>
    <s v="#LIVB495VL"/>
    <x v="0"/>
    <n v="5"/>
    <s v="MAI"/>
    <n v="0"/>
    <x v="0"/>
    <n v="0"/>
    <s v="20 - 21"/>
    <d v="1899-12-30T01:09:00"/>
    <n v="5.61"/>
    <n v="9.9068858220155942"/>
    <n v="4.6900000000000004"/>
    <n v="4.0782608695652236"/>
    <n v="1"/>
  </r>
  <r>
    <x v="1"/>
    <n v="0"/>
    <x v="0"/>
    <n v="5"/>
    <s v="MAI"/>
    <n v="0"/>
    <x v="0"/>
    <n v="0"/>
    <s v="21 - 22"/>
    <s v=""/>
    <n v="0"/>
    <n v="0"/>
    <n v="0"/>
    <n v="0"/>
    <n v="0"/>
  </r>
  <r>
    <x v="1"/>
    <n v="0"/>
    <x v="0"/>
    <n v="5"/>
    <s v="MAI"/>
    <n v="0"/>
    <x v="0"/>
    <n v="0"/>
    <e v="#N/A"/>
    <s v=""/>
    <n v="0"/>
    <n v="0"/>
    <n v="0"/>
    <n v="0"/>
    <n v="0"/>
  </r>
  <r>
    <x v="2"/>
    <s v="#LIZXTQ1UU"/>
    <x v="1"/>
    <n v="5"/>
    <s v="MAI"/>
    <s v="MAI"/>
    <x v="1"/>
    <n v="8"/>
    <s v="19 - 20"/>
    <d v="1899-12-30T00:12:00"/>
    <n v="10.65"/>
    <n v="18.807189662115167"/>
    <n v="5.22"/>
    <n v="26.099999999999742"/>
    <n v="1"/>
  </r>
  <r>
    <x v="2"/>
    <n v="0"/>
    <x v="1"/>
    <n v="5"/>
    <s v="MAI"/>
    <n v="0"/>
    <x v="1"/>
    <n v="0"/>
    <s v="19 - 20"/>
    <s v=""/>
    <n v="0"/>
    <n v="0"/>
    <n v="0"/>
    <n v="0"/>
    <n v="0"/>
  </r>
  <r>
    <x v="2"/>
    <n v="0"/>
    <x v="1"/>
    <n v="5"/>
    <s v="MAI"/>
    <n v="0"/>
    <x v="1"/>
    <n v="0"/>
    <e v="#N/A"/>
    <s v=""/>
    <n v="0"/>
    <n v="0"/>
    <n v="0"/>
    <n v="0"/>
    <n v="0"/>
  </r>
  <r>
    <x v="2"/>
    <n v="0"/>
    <x v="1"/>
    <n v="5"/>
    <s v="MAI"/>
    <n v="0"/>
    <x v="1"/>
    <n v="0"/>
    <e v="#N/A"/>
    <s v=""/>
    <n v="0"/>
    <n v="0"/>
    <n v="0"/>
    <n v="0"/>
    <n v="0"/>
  </r>
  <r>
    <x v="3"/>
    <s v="#LIRP7TY1K"/>
    <x v="1"/>
    <n v="5"/>
    <s v="MAI"/>
    <n v="0"/>
    <x v="1"/>
    <n v="0"/>
    <s v="19 - 20"/>
    <d v="1899-12-30T00:49:00"/>
    <n v="10.029999999999999"/>
    <n v="17.712311015118789"/>
    <n v="5.01"/>
    <n v="6.134693877551002"/>
    <n v="1"/>
  </r>
  <r>
    <x v="3"/>
    <n v="0"/>
    <x v="1"/>
    <n v="5"/>
    <s v="MAI"/>
    <n v="0"/>
    <x v="1"/>
    <n v="0"/>
    <s v="20 - 21"/>
    <s v=""/>
    <n v="0"/>
    <n v="0"/>
    <n v="0"/>
    <n v="0"/>
    <n v="0"/>
  </r>
  <r>
    <x v="3"/>
    <n v="0"/>
    <x v="1"/>
    <n v="5"/>
    <s v="MAI"/>
    <n v="0"/>
    <x v="1"/>
    <n v="0"/>
    <e v="#N/A"/>
    <s v=""/>
    <n v="0"/>
    <n v="0"/>
    <n v="0"/>
    <n v="0"/>
    <n v="0"/>
  </r>
  <r>
    <x v="3"/>
    <n v="0"/>
    <x v="1"/>
    <n v="5"/>
    <s v="MAI"/>
    <n v="0"/>
    <x v="1"/>
    <n v="0"/>
    <e v="#N/A"/>
    <s v=""/>
    <n v="0"/>
    <n v="0"/>
    <n v="0"/>
    <n v="0"/>
    <n v="0"/>
  </r>
  <r>
    <x v="4"/>
    <s v="#LIL4LBFYX"/>
    <x v="1"/>
    <n v="5"/>
    <s v="MAI"/>
    <n v="0"/>
    <x v="1"/>
    <n v="0"/>
    <s v="20 - 21"/>
    <d v="1899-12-30T00:32:00"/>
    <n v="7.11"/>
    <n v="12.55578577442618"/>
    <n v="3.98"/>
    <n v="7.4625000000000261"/>
    <n v="1"/>
  </r>
  <r>
    <x v="4"/>
    <n v="0"/>
    <x v="1"/>
    <n v="5"/>
    <s v="MAI"/>
    <n v="0"/>
    <x v="1"/>
    <n v="0"/>
    <s v="20 - 21"/>
    <s v=""/>
    <n v="0"/>
    <n v="0"/>
    <n v="0"/>
    <n v="0"/>
    <n v="0"/>
  </r>
  <r>
    <x v="4"/>
    <n v="0"/>
    <x v="1"/>
    <n v="5"/>
    <s v="MAI"/>
    <n v="0"/>
    <x v="1"/>
    <n v="0"/>
    <e v="#N/A"/>
    <s v=""/>
    <n v="0"/>
    <n v="0"/>
    <n v="0"/>
    <n v="0"/>
    <n v="0"/>
  </r>
  <r>
    <x v="4"/>
    <n v="0"/>
    <x v="1"/>
    <n v="5"/>
    <s v="MAI"/>
    <n v="0"/>
    <x v="1"/>
    <n v="0"/>
    <e v="#N/A"/>
    <s v=""/>
    <n v="0"/>
    <n v="0"/>
    <n v="0"/>
    <n v="0"/>
    <n v="0"/>
  </r>
  <r>
    <x v="5"/>
    <s v="#LIYNQ1UUZ"/>
    <x v="1"/>
    <n v="5"/>
    <s v="MAI"/>
    <n v="0"/>
    <x v="1"/>
    <n v="0"/>
    <s v="20 - 21"/>
    <d v="1899-12-30T00:21:00"/>
    <n v="3.81"/>
    <n v="6.72820587912289"/>
    <n v="2.83"/>
    <n v="8.0857142857143138"/>
    <n v="1"/>
  </r>
  <r>
    <x v="5"/>
    <n v="0"/>
    <x v="1"/>
    <n v="5"/>
    <s v="MAI"/>
    <n v="0"/>
    <x v="1"/>
    <n v="0"/>
    <s v="21 - 22"/>
    <s v=""/>
    <n v="0"/>
    <n v="0"/>
    <n v="0"/>
    <n v="0"/>
    <n v="0"/>
  </r>
  <r>
    <x v="5"/>
    <n v="0"/>
    <x v="1"/>
    <n v="5"/>
    <s v="MAI"/>
    <n v="0"/>
    <x v="1"/>
    <n v="0"/>
    <e v="#N/A"/>
    <s v=""/>
    <n v="0"/>
    <n v="0"/>
    <n v="0"/>
    <n v="0"/>
    <n v="0"/>
  </r>
  <r>
    <x v="5"/>
    <n v="0"/>
    <x v="1"/>
    <n v="5"/>
    <s v="MAI"/>
    <n v="0"/>
    <x v="1"/>
    <n v="0"/>
    <e v="#N/A"/>
    <s v=""/>
    <n v="0"/>
    <n v="0"/>
    <n v="0"/>
    <n v="0"/>
    <n v="0"/>
  </r>
  <r>
    <x v="6"/>
    <s v="#LI9MLCHF8"/>
    <x v="1"/>
    <n v="5"/>
    <s v="MAI"/>
    <n v="0"/>
    <x v="1"/>
    <n v="0"/>
    <s v="23 - 24"/>
    <d v="1899-12-30T00:28:00"/>
    <n v="2.73"/>
    <n v="4.8209979133872674"/>
    <n v="2.4500000000000002"/>
    <n v="5.2499999999999893"/>
    <n v="1"/>
  </r>
  <r>
    <x v="6"/>
    <n v="0"/>
    <x v="1"/>
    <n v="5"/>
    <s v="MAI"/>
    <n v="0"/>
    <x v="1"/>
    <n v="0"/>
    <s v="23 - 24"/>
    <s v=""/>
    <n v="0"/>
    <n v="0"/>
    <n v="0"/>
    <n v="0"/>
    <n v="0"/>
  </r>
  <r>
    <x v="6"/>
    <n v="0"/>
    <x v="1"/>
    <n v="5"/>
    <s v="MAI"/>
    <n v="0"/>
    <x v="1"/>
    <n v="0"/>
    <e v="#N/A"/>
    <s v=""/>
    <n v="0"/>
    <n v="0"/>
    <n v="0"/>
    <n v="0"/>
    <n v="0"/>
  </r>
  <r>
    <x v="6"/>
    <n v="0"/>
    <x v="1"/>
    <n v="5"/>
    <s v="MAI"/>
    <n v="0"/>
    <x v="1"/>
    <n v="0"/>
    <e v="#N/A"/>
    <s v=""/>
    <n v="0"/>
    <n v="0"/>
    <n v="0"/>
    <n v="0"/>
    <n v="0"/>
  </r>
  <r>
    <x v="7"/>
    <s v="#LIRVJFLLW"/>
    <x v="1"/>
    <n v="5"/>
    <s v="MAI"/>
    <n v="0"/>
    <x v="1"/>
    <n v="0"/>
    <s v="22 - 23"/>
    <d v="1899-12-30T00:47:00"/>
    <n v="11.78"/>
    <n v="20.80269429293114"/>
    <n v="5.93"/>
    <n v="7.5702127659574217"/>
    <n v="1"/>
  </r>
  <r>
    <x v="7"/>
    <n v="0"/>
    <x v="1"/>
    <n v="5"/>
    <s v="MAI"/>
    <n v="0"/>
    <x v="1"/>
    <n v="0"/>
    <s v="23 - 24"/>
    <s v=""/>
    <n v="0"/>
    <n v="0"/>
    <n v="0"/>
    <n v="0"/>
    <n v="0"/>
  </r>
  <r>
    <x v="7"/>
    <n v="0"/>
    <x v="1"/>
    <n v="5"/>
    <s v="MAI"/>
    <n v="0"/>
    <x v="1"/>
    <n v="0"/>
    <s v="22 - 23"/>
    <s v=""/>
    <n v="0"/>
    <n v="0"/>
    <n v="0.31"/>
    <n v="0"/>
    <n v="0"/>
  </r>
  <r>
    <x v="7"/>
    <n v="0"/>
    <x v="1"/>
    <n v="5"/>
    <s v="MAI"/>
    <n v="0"/>
    <x v="1"/>
    <n v="0"/>
    <e v="#N/A"/>
    <s v=""/>
    <n v="0"/>
    <n v="0"/>
    <n v="0"/>
    <n v="0"/>
    <n v="0"/>
  </r>
  <r>
    <x v="8"/>
    <s v="#LILGPHUM5"/>
    <x v="2"/>
    <n v="5"/>
    <s v="MAI"/>
    <s v="MAI"/>
    <x v="2"/>
    <n v="9"/>
    <s v="11 - 12"/>
    <d v="1899-12-30T00:39:00"/>
    <n v="12.46"/>
    <n v="22.00352893802394"/>
    <n v="5.86"/>
    <n v="9.015384615384594"/>
    <n v="1"/>
  </r>
  <r>
    <x v="8"/>
    <n v="0"/>
    <x v="2"/>
    <n v="5"/>
    <s v="MAI"/>
    <n v="0"/>
    <x v="2"/>
    <n v="0"/>
    <s v="12 - 13"/>
    <s v=""/>
    <n v="0"/>
    <n v="0"/>
    <n v="0"/>
    <n v="0"/>
    <n v="0"/>
  </r>
  <r>
    <x v="8"/>
    <n v="0"/>
    <x v="2"/>
    <n v="5"/>
    <s v="MAI"/>
    <n v="0"/>
    <x v="2"/>
    <n v="0"/>
    <e v="#N/A"/>
    <s v=""/>
    <n v="0"/>
    <n v="0"/>
    <n v="0"/>
    <n v="0"/>
    <n v="0"/>
  </r>
  <r>
    <x v="8"/>
    <n v="0"/>
    <x v="2"/>
    <n v="5"/>
    <s v="MAI"/>
    <n v="0"/>
    <x v="2"/>
    <n v="0"/>
    <e v="#N/A"/>
    <s v=""/>
    <n v="0"/>
    <n v="0"/>
    <n v="0"/>
    <n v="0"/>
    <n v="0"/>
  </r>
  <r>
    <x v="9"/>
    <s v="#LIHYJKK5P"/>
    <x v="2"/>
    <n v="5"/>
    <s v="MAI"/>
    <n v="0"/>
    <x v="2"/>
    <n v="0"/>
    <s v="19 - 20"/>
    <d v="1899-12-30T00:35:00"/>
    <n v="1.94"/>
    <n v="3.425910605117692"/>
    <n v="2.17"/>
    <n v="3.7199999999999962"/>
    <n v="1"/>
  </r>
  <r>
    <x v="9"/>
    <n v="0"/>
    <x v="2"/>
    <n v="5"/>
    <s v="MAI"/>
    <n v="0"/>
    <x v="2"/>
    <n v="0"/>
    <s v="20 - 21"/>
    <s v=""/>
    <n v="0"/>
    <n v="0"/>
    <n v="0"/>
    <n v="0"/>
    <n v="0"/>
  </r>
  <r>
    <x v="9"/>
    <n v="0"/>
    <x v="2"/>
    <n v="5"/>
    <s v="MAI"/>
    <n v="0"/>
    <x v="2"/>
    <n v="0"/>
    <e v="#N/A"/>
    <s v=""/>
    <n v="0"/>
    <n v="0"/>
    <n v="0"/>
    <n v="0"/>
    <n v="0"/>
  </r>
  <r>
    <x v="9"/>
    <n v="0"/>
    <x v="2"/>
    <n v="5"/>
    <s v="MAI"/>
    <n v="0"/>
    <x v="2"/>
    <n v="0"/>
    <e v="#N/A"/>
    <s v=""/>
    <n v="0"/>
    <n v="0"/>
    <n v="0"/>
    <n v="0"/>
    <n v="0"/>
  </r>
  <r>
    <x v="10"/>
    <s v="#LIFWMQBHA"/>
    <x v="2"/>
    <n v="5"/>
    <s v="MAI"/>
    <n v="0"/>
    <x v="2"/>
    <n v="0"/>
    <s v="20 - 21"/>
    <d v="1899-12-30T00:29:00"/>
    <n v="4.68"/>
    <n v="8.2645678515210292"/>
    <n v="3.13"/>
    <n v="6.4758620689655046"/>
    <n v="1"/>
  </r>
  <r>
    <x v="10"/>
    <n v="0"/>
    <x v="2"/>
    <n v="5"/>
    <s v="MAI"/>
    <n v="0"/>
    <x v="2"/>
    <n v="0"/>
    <s v="20 - 21"/>
    <s v=""/>
    <n v="0"/>
    <n v="0"/>
    <n v="0"/>
    <n v="0"/>
    <n v="0"/>
  </r>
  <r>
    <x v="10"/>
    <n v="0"/>
    <x v="2"/>
    <n v="5"/>
    <s v="MAI"/>
    <n v="0"/>
    <x v="2"/>
    <n v="0"/>
    <e v="#N/A"/>
    <s v=""/>
    <n v="0"/>
    <n v="0"/>
    <n v="0"/>
    <n v="0"/>
    <n v="0"/>
  </r>
  <r>
    <x v="10"/>
    <n v="0"/>
    <x v="2"/>
    <n v="5"/>
    <s v="MAI"/>
    <n v="0"/>
    <x v="2"/>
    <n v="0"/>
    <e v="#N/A"/>
    <s v=""/>
    <n v="0"/>
    <n v="0"/>
    <n v="0"/>
    <n v="0"/>
    <n v="0"/>
  </r>
  <r>
    <x v="11"/>
    <s v="#LIL6LXRH8"/>
    <x v="2"/>
    <n v="5"/>
    <s v="MAI"/>
    <n v="0"/>
    <x v="2"/>
    <n v="0"/>
    <s v="21 - 22"/>
    <d v="1899-12-30T00:24:00"/>
    <n v="5.76"/>
    <n v="10.171775817256652"/>
    <n v="3.51"/>
    <n v="8.7749999999999719"/>
    <n v="1"/>
  </r>
  <r>
    <x v="11"/>
    <n v="0"/>
    <x v="2"/>
    <n v="5"/>
    <s v="MAI"/>
    <n v="0"/>
    <x v="2"/>
    <n v="0"/>
    <s v="21 - 22"/>
    <s v=""/>
    <n v="0"/>
    <n v="0"/>
    <n v="0"/>
    <n v="0"/>
    <n v="0"/>
  </r>
  <r>
    <x v="11"/>
    <n v="0"/>
    <x v="2"/>
    <n v="5"/>
    <s v="MAI"/>
    <n v="0"/>
    <x v="2"/>
    <n v="0"/>
    <s v="21 - 22"/>
    <s v=""/>
    <n v="0"/>
    <n v="0"/>
    <n v="1.72"/>
    <n v="0"/>
    <n v="0"/>
  </r>
  <r>
    <x v="11"/>
    <n v="0"/>
    <x v="2"/>
    <n v="5"/>
    <s v="MAI"/>
    <n v="0"/>
    <x v="2"/>
    <n v="0"/>
    <e v="#N/A"/>
    <s v=""/>
    <n v="0"/>
    <n v="0"/>
    <n v="0"/>
    <n v="0"/>
    <n v="0"/>
  </r>
  <r>
    <x v="12"/>
    <s v="#LIDXWRDWZ"/>
    <x v="3"/>
    <n v="5"/>
    <s v="MAI"/>
    <s v="MAI"/>
    <x v="3"/>
    <n v="10"/>
    <s v="12 - 13"/>
    <d v="1899-12-30T00:38:00"/>
    <n v="3.99"/>
    <n v="7.0460738734121611"/>
    <n v="2.96"/>
    <n v="4.6736842105263321"/>
    <n v="1"/>
  </r>
  <r>
    <x v="12"/>
    <n v="0"/>
    <x v="3"/>
    <n v="5"/>
    <s v="MAI"/>
    <n v="0"/>
    <x v="3"/>
    <n v="0"/>
    <s v="13 - 14"/>
    <s v=""/>
    <n v="0"/>
    <n v="0"/>
    <n v="0"/>
    <n v="0"/>
    <n v="0"/>
  </r>
  <r>
    <x v="12"/>
    <n v="0"/>
    <x v="3"/>
    <n v="5"/>
    <s v="MAI"/>
    <n v="0"/>
    <x v="3"/>
    <n v="0"/>
    <e v="#N/A"/>
    <s v=""/>
    <n v="0"/>
    <n v="0"/>
    <n v="0"/>
    <n v="0"/>
    <n v="0"/>
  </r>
  <r>
    <x v="12"/>
    <n v="0"/>
    <x v="3"/>
    <n v="5"/>
    <s v="MAI"/>
    <n v="0"/>
    <x v="3"/>
    <n v="0"/>
    <e v="#N/A"/>
    <s v=""/>
    <n v="0"/>
    <n v="0"/>
    <n v="0"/>
    <n v="0"/>
    <n v="0"/>
  </r>
  <r>
    <x v="13"/>
    <s v="#LITKZZ6CP"/>
    <x v="3"/>
    <n v="5"/>
    <s v="MAI"/>
    <n v="0"/>
    <x v="3"/>
    <n v="0"/>
    <s v="20 - 21"/>
    <d v="1899-12-30T00:46:00"/>
    <n v="4.66"/>
    <n v="8.2292491854888894"/>
    <n v="4.07"/>
    <n v="5.3086956521739133"/>
    <n v="1"/>
  </r>
  <r>
    <x v="13"/>
    <n v="0"/>
    <x v="3"/>
    <n v="5"/>
    <s v="MAI"/>
    <n v="0"/>
    <x v="3"/>
    <n v="0"/>
    <s v="21 - 22"/>
    <s v=""/>
    <n v="0"/>
    <n v="0"/>
    <n v="0"/>
    <n v="0"/>
    <n v="0"/>
  </r>
  <r>
    <x v="13"/>
    <n v="0"/>
    <x v="3"/>
    <n v="5"/>
    <s v="MAI"/>
    <n v="0"/>
    <x v="3"/>
    <n v="0"/>
    <e v="#N/A"/>
    <s v=""/>
    <n v="0"/>
    <n v="0"/>
    <n v="0"/>
    <n v="0"/>
    <n v="0"/>
  </r>
  <r>
    <x v="13"/>
    <n v="0"/>
    <x v="3"/>
    <n v="5"/>
    <s v="MAI"/>
    <n v="0"/>
    <x v="3"/>
    <n v="0"/>
    <e v="#N/A"/>
    <s v=""/>
    <n v="0"/>
    <n v="0"/>
    <n v="0"/>
    <n v="0"/>
    <n v="0"/>
  </r>
  <r>
    <x v="14"/>
    <s v="#LIBE1R3U1"/>
    <x v="3"/>
    <n v="5"/>
    <s v="MAI"/>
    <n v="0"/>
    <x v="3"/>
    <n v="0"/>
    <s v="21 - 22"/>
    <d v="1899-12-30T00:55:00"/>
    <n v="4.4000000000000004"/>
    <n v="7.7701065270710545"/>
    <n v="3.04"/>
    <n v="3.3163636363636386"/>
    <n v="1"/>
  </r>
  <r>
    <x v="14"/>
    <n v="0"/>
    <x v="3"/>
    <n v="5"/>
    <s v="MAI"/>
    <n v="0"/>
    <x v="3"/>
    <n v="0"/>
    <s v="22 - 23"/>
    <s v=""/>
    <n v="0"/>
    <n v="0"/>
    <n v="0"/>
    <n v="0"/>
    <n v="0"/>
  </r>
  <r>
    <x v="14"/>
    <n v="0"/>
    <x v="3"/>
    <n v="5"/>
    <s v="MAI"/>
    <n v="0"/>
    <x v="3"/>
    <n v="0"/>
    <e v="#N/A"/>
    <s v=""/>
    <n v="0"/>
    <n v="0"/>
    <n v="0"/>
    <n v="0"/>
    <n v="0"/>
  </r>
  <r>
    <x v="14"/>
    <n v="0"/>
    <x v="3"/>
    <n v="5"/>
    <s v="MAI"/>
    <n v="0"/>
    <x v="3"/>
    <n v="0"/>
    <e v="#N/A"/>
    <s v=""/>
    <n v="0"/>
    <n v="0"/>
    <n v="0"/>
    <n v="0"/>
    <n v="0"/>
  </r>
  <r>
    <x v="15"/>
    <s v="#LI4JL72LL"/>
    <x v="3"/>
    <n v="5"/>
    <s v="MAI"/>
    <n v="0"/>
    <x v="3"/>
    <n v="0"/>
    <s v="22 - 23"/>
    <d v="1899-12-30T00:33:00"/>
    <n v="5.32"/>
    <n v="9.3947651645495469"/>
    <n v="3.36"/>
    <n v="6.1090909090909014"/>
    <n v="1"/>
  </r>
  <r>
    <x v="15"/>
    <n v="0"/>
    <x v="3"/>
    <n v="5"/>
    <s v="MAI"/>
    <n v="0"/>
    <x v="3"/>
    <n v="0"/>
    <s v="22 - 23"/>
    <s v=""/>
    <n v="0"/>
    <n v="0"/>
    <n v="0"/>
    <n v="0"/>
    <n v="0"/>
  </r>
  <r>
    <x v="15"/>
    <n v="0"/>
    <x v="3"/>
    <n v="5"/>
    <s v="MAI"/>
    <n v="0"/>
    <x v="3"/>
    <n v="0"/>
    <e v="#N/A"/>
    <s v=""/>
    <n v="0"/>
    <n v="0"/>
    <n v="0"/>
    <n v="0"/>
    <n v="0"/>
  </r>
  <r>
    <x v="16"/>
    <s v="#LIFU82JHE"/>
    <x v="4"/>
    <n v="5"/>
    <s v="MAI"/>
    <s v="MAI"/>
    <x v="4"/>
    <n v="11"/>
    <s v="12 - 13"/>
    <d v="1899-12-30T00:29:00"/>
    <n v="4.17"/>
    <n v="7.3639418677014303"/>
    <n v="2.95"/>
    <n v="6.1034482758620907"/>
    <n v="1"/>
  </r>
  <r>
    <x v="16"/>
    <n v="0"/>
    <x v="4"/>
    <n v="5"/>
    <s v="MAI"/>
    <n v="0"/>
    <x v="4"/>
    <n v="0"/>
    <s v="13 - 14"/>
    <s v=""/>
    <n v="0"/>
    <n v="0"/>
    <n v="0"/>
    <n v="0"/>
    <n v="0"/>
  </r>
  <r>
    <x v="16"/>
    <n v="0"/>
    <x v="4"/>
    <n v="5"/>
    <s v="MAI"/>
    <n v="0"/>
    <x v="4"/>
    <n v="0"/>
    <e v="#N/A"/>
    <s v=""/>
    <n v="0"/>
    <n v="0"/>
    <n v="0"/>
    <n v="0"/>
    <n v="0"/>
  </r>
  <r>
    <x v="16"/>
    <n v="0"/>
    <x v="4"/>
    <n v="5"/>
    <s v="MAI"/>
    <n v="0"/>
    <x v="4"/>
    <n v="0"/>
    <e v="#N/A"/>
    <s v=""/>
    <n v="0"/>
    <n v="0"/>
    <n v="0"/>
    <n v="0"/>
    <n v="0"/>
  </r>
  <r>
    <x v="17"/>
    <s v="#LIP8HH7LC"/>
    <x v="4"/>
    <n v="5"/>
    <s v="MAI"/>
    <n v="0"/>
    <x v="4"/>
    <n v="0"/>
    <s v="20 - 21"/>
    <d v="1899-12-30T00:44:00"/>
    <n v="7.89"/>
    <n v="13.933213749679686"/>
    <n v="4.37"/>
    <n v="5.9590909090909099"/>
    <n v="1"/>
  </r>
  <r>
    <x v="17"/>
    <n v="0"/>
    <x v="4"/>
    <n v="5"/>
    <s v="MAI"/>
    <n v="0"/>
    <x v="4"/>
    <n v="0"/>
    <s v="20 - 21"/>
    <s v=""/>
    <n v="0"/>
    <n v="0"/>
    <n v="0"/>
    <n v="0"/>
    <n v="0"/>
  </r>
  <r>
    <x v="17"/>
    <n v="0"/>
    <x v="4"/>
    <n v="5"/>
    <s v="MAI"/>
    <n v="0"/>
    <x v="4"/>
    <n v="0"/>
    <e v="#N/A"/>
    <s v=""/>
    <n v="0"/>
    <n v="0"/>
    <n v="0"/>
    <n v="0"/>
    <n v="0"/>
  </r>
  <r>
    <x v="17"/>
    <n v="0"/>
    <x v="4"/>
    <n v="5"/>
    <s v="MAI"/>
    <n v="0"/>
    <x v="4"/>
    <n v="0"/>
    <e v="#N/A"/>
    <s v=""/>
    <n v="0"/>
    <n v="0"/>
    <n v="0"/>
    <n v="0"/>
    <n v="0"/>
  </r>
  <r>
    <x v="18"/>
    <s v="#LI8JFZ1EN"/>
    <x v="4"/>
    <n v="5"/>
    <s v="MAI"/>
    <n v="0"/>
    <x v="4"/>
    <n v="0"/>
    <s v="20 - 21"/>
    <d v="1899-12-30T00:27:00"/>
    <n v="4.78"/>
    <n v="8.4411611816817373"/>
    <n v="3.17"/>
    <n v="7.0444444444444692"/>
    <n v="1"/>
  </r>
  <r>
    <x v="18"/>
    <n v="0"/>
    <x v="4"/>
    <n v="5"/>
    <s v="MAI"/>
    <n v="0"/>
    <x v="4"/>
    <n v="0"/>
    <s v="21 - 22"/>
    <s v=""/>
    <n v="0"/>
    <n v="0"/>
    <n v="0"/>
    <n v="0"/>
    <n v="0"/>
  </r>
  <r>
    <x v="18"/>
    <n v="0"/>
    <x v="4"/>
    <n v="5"/>
    <s v="MAI"/>
    <n v="0"/>
    <x v="4"/>
    <n v="0"/>
    <e v="#N/A"/>
    <s v=""/>
    <n v="0"/>
    <n v="0"/>
    <n v="0"/>
    <n v="0"/>
    <n v="0"/>
  </r>
  <r>
    <x v="18"/>
    <n v="0"/>
    <x v="4"/>
    <n v="5"/>
    <s v="MAI"/>
    <n v="0"/>
    <x v="4"/>
    <n v="0"/>
    <e v="#N/A"/>
    <s v=""/>
    <n v="0"/>
    <n v="0"/>
    <n v="0"/>
    <n v="0"/>
    <n v="0"/>
  </r>
  <r>
    <x v="19"/>
    <s v="#LID1HKHW3"/>
    <x v="4"/>
    <n v="5"/>
    <s v="MAI"/>
    <n v="0"/>
    <x v="4"/>
    <n v="0"/>
    <s v="21 - 22"/>
    <d v="1899-12-30T00:26:00"/>
    <n v="1.22"/>
    <n v="2.1544386279606105"/>
    <n v="2.29"/>
    <n v="5.2846153846153712"/>
    <n v="1"/>
  </r>
  <r>
    <x v="19"/>
    <n v="0"/>
    <x v="4"/>
    <n v="5"/>
    <s v="MAI"/>
    <n v="0"/>
    <x v="4"/>
    <n v="0"/>
    <s v="21 - 22"/>
    <s v=""/>
    <n v="0"/>
    <n v="0"/>
    <n v="0"/>
    <n v="0"/>
    <n v="0"/>
  </r>
  <r>
    <x v="19"/>
    <n v="0"/>
    <x v="4"/>
    <n v="5"/>
    <s v="MAI"/>
    <n v="0"/>
    <x v="4"/>
    <n v="0"/>
    <e v="#N/A"/>
    <s v=""/>
    <n v="0"/>
    <n v="0"/>
    <n v="0"/>
    <n v="0"/>
    <n v="0"/>
  </r>
  <r>
    <x v="19"/>
    <n v="0"/>
    <x v="4"/>
    <n v="5"/>
    <s v="MAI"/>
    <n v="0"/>
    <x v="4"/>
    <n v="0"/>
    <e v="#N/A"/>
    <s v=""/>
    <n v="0"/>
    <n v="0"/>
    <n v="0"/>
    <n v="0"/>
    <n v="0"/>
  </r>
  <r>
    <x v="20"/>
    <s v="#LIEA9YL21"/>
    <x v="4"/>
    <n v="5"/>
    <s v="MAI"/>
    <n v="0"/>
    <x v="4"/>
    <n v="0"/>
    <s v="21 - 22"/>
    <d v="1899-12-30T00:44:00"/>
    <n v="5.72"/>
    <n v="10.10113848519237"/>
    <n v="4.45"/>
    <n v="6.0681818181818192"/>
    <n v="1"/>
  </r>
  <r>
    <x v="20"/>
    <n v="0"/>
    <x v="4"/>
    <n v="5"/>
    <s v="MAI"/>
    <n v="0"/>
    <x v="4"/>
    <n v="0"/>
    <s v="22 - 23"/>
    <s v=""/>
    <n v="0"/>
    <n v="0"/>
    <n v="0"/>
    <n v="0"/>
    <n v="0"/>
  </r>
  <r>
    <x v="20"/>
    <n v="0"/>
    <x v="4"/>
    <n v="5"/>
    <s v="MAI"/>
    <n v="0"/>
    <x v="4"/>
    <n v="0"/>
    <e v="#N/A"/>
    <s v=""/>
    <n v="0"/>
    <n v="0"/>
    <n v="0"/>
    <n v="0"/>
    <n v="0"/>
  </r>
  <r>
    <x v="20"/>
    <n v="0"/>
    <x v="4"/>
    <n v="5"/>
    <s v="MAI"/>
    <n v="0"/>
    <x v="4"/>
    <n v="0"/>
    <e v="#N/A"/>
    <s v=""/>
    <n v="0"/>
    <n v="0"/>
    <n v="0"/>
    <n v="0"/>
    <n v="0"/>
  </r>
  <r>
    <x v="21"/>
    <s v="#LICNWV74N"/>
    <x v="4"/>
    <n v="5"/>
    <s v="MAI"/>
    <n v="0"/>
    <x v="4"/>
    <n v="0"/>
    <s v="22 - 23"/>
    <d v="1899-12-30T00:34:00"/>
    <n v="7.67"/>
    <n v="13.544708423326133"/>
    <n v="4.2300000000000004"/>
    <n v="7.4647058823529333"/>
    <n v="1"/>
  </r>
  <r>
    <x v="21"/>
    <n v="0"/>
    <x v="4"/>
    <n v="5"/>
    <s v="MAI"/>
    <n v="0"/>
    <x v="4"/>
    <n v="0"/>
    <s v="23 - 24"/>
    <s v=""/>
    <n v="0"/>
    <n v="0"/>
    <n v="0"/>
    <n v="0"/>
    <n v="0"/>
  </r>
  <r>
    <x v="21"/>
    <n v="0"/>
    <x v="4"/>
    <n v="5"/>
    <s v="MAI"/>
    <n v="0"/>
    <x v="4"/>
    <n v="0"/>
    <e v="#N/A"/>
    <s v=""/>
    <n v="0"/>
    <n v="0"/>
    <n v="0"/>
    <n v="0"/>
    <n v="0"/>
  </r>
  <r>
    <x v="22"/>
    <s v="#LITWQUWG4"/>
    <x v="5"/>
    <n v="5"/>
    <s v="MAI"/>
    <s v="MAI"/>
    <x v="5"/>
    <n v="12"/>
    <s v="12 - 13"/>
    <d v="1899-12-30T01:01:00"/>
    <n v="14.35"/>
    <n v="25.341142878061277"/>
    <n v="6.52"/>
    <n v="6.4131147540983662"/>
    <n v="1"/>
  </r>
  <r>
    <x v="22"/>
    <n v="0"/>
    <x v="5"/>
    <n v="5"/>
    <s v="MAI"/>
    <n v="0"/>
    <x v="5"/>
    <n v="0"/>
    <s v="13 - 14"/>
    <s v=""/>
    <n v="0"/>
    <n v="0"/>
    <n v="0"/>
    <n v="0"/>
    <n v="0"/>
  </r>
  <r>
    <x v="22"/>
    <n v="0"/>
    <x v="5"/>
    <n v="5"/>
    <s v="MAI"/>
    <n v="0"/>
    <x v="5"/>
    <n v="0"/>
    <e v="#N/A"/>
    <s v=""/>
    <n v="0"/>
    <n v="0"/>
    <n v="0"/>
    <n v="0"/>
    <n v="0"/>
  </r>
  <r>
    <x v="22"/>
    <n v="0"/>
    <x v="5"/>
    <n v="5"/>
    <s v="MAI"/>
    <n v="0"/>
    <x v="5"/>
    <n v="0"/>
    <e v="#N/A"/>
    <s v=""/>
    <n v="0"/>
    <n v="0"/>
    <n v="0"/>
    <n v="0"/>
    <n v="0"/>
  </r>
  <r>
    <x v="23"/>
    <s v="#LIMYWQ1QY"/>
    <x v="5"/>
    <n v="5"/>
    <s v="MAI"/>
    <n v="0"/>
    <x v="5"/>
    <n v="0"/>
    <s v="13 - 14"/>
    <d v="1899-12-30T00:36:00"/>
    <n v="8.67"/>
    <n v="15.310641724933191"/>
    <n v="4.53"/>
    <n v="7.5499999999999936"/>
    <n v="1"/>
  </r>
  <r>
    <x v="23"/>
    <n v="0"/>
    <x v="5"/>
    <n v="5"/>
    <s v="MAI"/>
    <n v="0"/>
    <x v="5"/>
    <n v="0"/>
    <s v="13 - 14"/>
    <s v=""/>
    <n v="0"/>
    <n v="0"/>
    <n v="0"/>
    <n v="0"/>
    <n v="0"/>
  </r>
  <r>
    <x v="23"/>
    <n v="0"/>
    <x v="5"/>
    <n v="5"/>
    <s v="MAI"/>
    <n v="0"/>
    <x v="5"/>
    <n v="0"/>
    <e v="#N/A"/>
    <s v=""/>
    <n v="0"/>
    <n v="0"/>
    <n v="0"/>
    <n v="0"/>
    <n v="0"/>
  </r>
  <r>
    <x v="23"/>
    <n v="0"/>
    <x v="5"/>
    <n v="5"/>
    <s v="MAI"/>
    <n v="0"/>
    <x v="5"/>
    <n v="0"/>
    <e v="#N/A"/>
    <s v=""/>
    <n v="0"/>
    <n v="0"/>
    <n v="0"/>
    <n v="0"/>
    <n v="0"/>
  </r>
  <r>
    <x v="24"/>
    <s v="#LI74KQMXA"/>
    <x v="5"/>
    <n v="5"/>
    <s v="MAI"/>
    <n v="0"/>
    <x v="5"/>
    <n v="0"/>
    <s v="13 - 14"/>
    <d v="1899-12-30T00:42:00"/>
    <n v="5.84"/>
    <n v="10.313050481385217"/>
    <n v="4.4000000000000004"/>
    <n v="6.2857142857142616"/>
    <n v="1"/>
  </r>
  <r>
    <x v="24"/>
    <n v="0"/>
    <x v="5"/>
    <n v="5"/>
    <s v="MAI"/>
    <n v="0"/>
    <x v="5"/>
    <n v="0"/>
    <s v="14 - 15"/>
    <s v=""/>
    <n v="0"/>
    <n v="0"/>
    <n v="0"/>
    <n v="0"/>
    <n v="0"/>
  </r>
  <r>
    <x v="24"/>
    <n v="0"/>
    <x v="5"/>
    <n v="5"/>
    <s v="MAI"/>
    <n v="0"/>
    <x v="5"/>
    <n v="0"/>
    <e v="#N/A"/>
    <s v=""/>
    <n v="0"/>
    <n v="0"/>
    <n v="0"/>
    <n v="0"/>
    <n v="0"/>
  </r>
  <r>
    <x v="24"/>
    <n v="0"/>
    <x v="5"/>
    <n v="5"/>
    <s v="MAI"/>
    <n v="0"/>
    <x v="5"/>
    <n v="0"/>
    <e v="#N/A"/>
    <s v=""/>
    <n v="0"/>
    <n v="0"/>
    <n v="0"/>
    <n v="0"/>
    <n v="0"/>
  </r>
  <r>
    <x v="25"/>
    <s v="#LIQCAFTWH"/>
    <x v="5"/>
    <n v="5"/>
    <s v="MAI"/>
    <n v="0"/>
    <x v="5"/>
    <n v="0"/>
    <s v="14 - 15"/>
    <d v="1899-12-30T00:50:00"/>
    <n v="9.58"/>
    <n v="16.917641029395615"/>
    <n v="4.8499999999999996"/>
    <n v="5.8200000000000021"/>
    <n v="1"/>
  </r>
  <r>
    <x v="25"/>
    <n v="0"/>
    <x v="5"/>
    <n v="5"/>
    <s v="MAI"/>
    <n v="0"/>
    <x v="5"/>
    <n v="0"/>
    <s v="15 - 16"/>
    <s v=""/>
    <n v="0"/>
    <n v="0"/>
    <n v="0"/>
    <n v="0"/>
    <n v="0"/>
  </r>
  <r>
    <x v="25"/>
    <n v="0"/>
    <x v="5"/>
    <n v="5"/>
    <s v="MAI"/>
    <n v="0"/>
    <x v="5"/>
    <n v="0"/>
    <e v="#N/A"/>
    <s v=""/>
    <n v="0"/>
    <n v="0"/>
    <n v="0"/>
    <n v="0"/>
    <n v="0"/>
  </r>
  <r>
    <x v="25"/>
    <n v="0"/>
    <x v="5"/>
    <n v="5"/>
    <s v="MAI"/>
    <n v="0"/>
    <x v="5"/>
    <n v="0"/>
    <e v="#N/A"/>
    <s v=""/>
    <n v="0"/>
    <n v="0"/>
    <n v="0"/>
    <n v="0"/>
    <n v="0"/>
  </r>
  <r>
    <x v="26"/>
    <s v="#LI971J1L9"/>
    <x v="5"/>
    <n v="5"/>
    <s v="MAI"/>
    <n v="0"/>
    <x v="5"/>
    <n v="0"/>
    <s v="19 - 20"/>
    <d v="1899-12-30T00:30:00"/>
    <n v="2.7"/>
    <n v="4.7680199143390558"/>
    <n v="2.44"/>
    <n v="4.879999999999991"/>
    <n v="1"/>
  </r>
  <r>
    <x v="26"/>
    <n v="0"/>
    <x v="5"/>
    <n v="5"/>
    <s v="MAI"/>
    <n v="0"/>
    <x v="5"/>
    <n v="0"/>
    <s v="20 - 21"/>
    <s v=""/>
    <n v="0"/>
    <n v="0"/>
    <n v="0"/>
    <n v="0"/>
    <n v="0"/>
  </r>
  <r>
    <x v="26"/>
    <n v="0"/>
    <x v="5"/>
    <n v="5"/>
    <s v="MAI"/>
    <n v="0"/>
    <x v="5"/>
    <n v="0"/>
    <e v="#N/A"/>
    <s v=""/>
    <n v="0"/>
    <n v="0"/>
    <n v="0"/>
    <n v="0"/>
    <n v="0"/>
  </r>
  <r>
    <x v="26"/>
    <n v="0"/>
    <x v="5"/>
    <n v="5"/>
    <s v="MAI"/>
    <n v="0"/>
    <x v="5"/>
    <n v="0"/>
    <e v="#N/A"/>
    <s v=""/>
    <n v="0"/>
    <n v="0"/>
    <n v="0"/>
    <n v="0"/>
    <n v="0"/>
  </r>
  <r>
    <x v="27"/>
    <s v="#LIUGCCXME"/>
    <x v="5"/>
    <n v="5"/>
    <s v="MAI"/>
    <n v="0"/>
    <x v="5"/>
    <n v="0"/>
    <s v="20 - 21"/>
    <d v="1899-12-30T00:39:00"/>
    <n v="6.17"/>
    <n v="10.895808470915545"/>
    <n v="4.3899999999999997"/>
    <n v="6.7538461538461494"/>
    <n v="1"/>
  </r>
  <r>
    <x v="27"/>
    <n v="0"/>
    <x v="5"/>
    <n v="5"/>
    <s v="MAI"/>
    <n v="0"/>
    <x v="5"/>
    <n v="0"/>
    <s v="20 - 21"/>
    <s v=""/>
    <n v="0"/>
    <n v="0"/>
    <n v="0"/>
    <n v="0"/>
    <n v="0"/>
  </r>
  <r>
    <x v="27"/>
    <n v="0"/>
    <x v="5"/>
    <n v="5"/>
    <s v="MAI"/>
    <n v="0"/>
    <x v="5"/>
    <n v="0"/>
    <e v="#N/A"/>
    <s v=""/>
    <n v="0"/>
    <n v="0"/>
    <n v="0"/>
    <n v="0"/>
    <n v="0"/>
  </r>
  <r>
    <x v="27"/>
    <n v="0"/>
    <x v="5"/>
    <n v="5"/>
    <s v="MAI"/>
    <n v="0"/>
    <x v="5"/>
    <n v="0"/>
    <e v="#N/A"/>
    <s v=""/>
    <n v="0"/>
    <n v="0"/>
    <n v="0"/>
    <n v="0"/>
    <n v="0"/>
  </r>
  <r>
    <x v="28"/>
    <s v="#LI2UGV5NU"/>
    <x v="5"/>
    <n v="5"/>
    <s v="MAI"/>
    <n v="0"/>
    <x v="5"/>
    <n v="0"/>
    <s v="20 - 21"/>
    <d v="1899-12-30T00:30:00"/>
    <n v="5.65"/>
    <n v="9.9775231540798774"/>
    <n v="4.47"/>
    <n v="8.9399999999999835"/>
    <n v="1"/>
  </r>
  <r>
    <x v="28"/>
    <n v="0"/>
    <x v="5"/>
    <n v="5"/>
    <s v="MAI"/>
    <n v="0"/>
    <x v="5"/>
    <n v="0"/>
    <s v="21 - 22"/>
    <s v=""/>
    <n v="0"/>
    <n v="0"/>
    <n v="0"/>
    <n v="0"/>
    <n v="0"/>
  </r>
  <r>
    <x v="28"/>
    <n v="0"/>
    <x v="5"/>
    <n v="5"/>
    <s v="MAI"/>
    <n v="0"/>
    <x v="5"/>
    <n v="0"/>
    <e v="#N/A"/>
    <s v=""/>
    <n v="0"/>
    <n v="0"/>
    <n v="0"/>
    <n v="0"/>
    <n v="0"/>
  </r>
  <r>
    <x v="28"/>
    <n v="0"/>
    <x v="5"/>
    <n v="5"/>
    <s v="MAI"/>
    <n v="0"/>
    <x v="5"/>
    <n v="0"/>
    <e v="#N/A"/>
    <s v=""/>
    <n v="0"/>
    <n v="0"/>
    <n v="0"/>
    <n v="0"/>
    <n v="0"/>
  </r>
  <r>
    <x v="29"/>
    <s v="#LIZ3ZBXNV"/>
    <x v="5"/>
    <n v="5"/>
    <s v="MAI"/>
    <n v="0"/>
    <x v="5"/>
    <n v="0"/>
    <s v="21 - 22"/>
    <d v="1899-12-30T00:44:00"/>
    <n v="7.2"/>
    <n v="12.714719771570817"/>
    <n v="4.47"/>
    <n v="6.0954545454545679"/>
    <n v="1"/>
  </r>
  <r>
    <x v="29"/>
    <n v="0"/>
    <x v="5"/>
    <n v="5"/>
    <s v="MAI"/>
    <n v="0"/>
    <x v="5"/>
    <n v="0"/>
    <s v="22 - 23"/>
    <s v=""/>
    <n v="0"/>
    <n v="0"/>
    <n v="0"/>
    <n v="0"/>
    <n v="0"/>
  </r>
  <r>
    <x v="29"/>
    <n v="0"/>
    <x v="5"/>
    <n v="5"/>
    <s v="MAI"/>
    <n v="0"/>
    <x v="5"/>
    <n v="0"/>
    <e v="#N/A"/>
    <s v=""/>
    <n v="0"/>
    <n v="0"/>
    <n v="0"/>
    <n v="0"/>
    <n v="0"/>
  </r>
  <r>
    <x v="29"/>
    <n v="0"/>
    <x v="5"/>
    <n v="5"/>
    <s v="MAI"/>
    <n v="0"/>
    <x v="5"/>
    <n v="0"/>
    <e v="#N/A"/>
    <s v=""/>
    <n v="0"/>
    <n v="0"/>
    <n v="0"/>
    <n v="0"/>
    <n v="0"/>
  </r>
  <r>
    <x v="30"/>
    <s v="#LIBBXGST6"/>
    <x v="5"/>
    <n v="5"/>
    <s v="MAI"/>
    <n v="0"/>
    <x v="5"/>
    <n v="0"/>
    <s v="22 - 23"/>
    <d v="1899-12-30T00:24:00"/>
    <n v="4.49"/>
    <n v="7.9290405242156901"/>
    <n v="3.1"/>
    <n v="7.749999999999976"/>
    <n v="1"/>
  </r>
  <r>
    <x v="30"/>
    <n v="0"/>
    <x v="5"/>
    <n v="5"/>
    <s v="MAI"/>
    <n v="0"/>
    <x v="5"/>
    <n v="0"/>
    <s v="22 - 23"/>
    <s v=""/>
    <n v="0"/>
    <n v="0"/>
    <n v="0"/>
    <n v="0"/>
    <n v="0"/>
  </r>
  <r>
    <x v="30"/>
    <n v="0"/>
    <x v="5"/>
    <n v="5"/>
    <s v="MAI"/>
    <n v="0"/>
    <x v="5"/>
    <n v="0"/>
    <s v="22 - 23"/>
    <s v=""/>
    <n v="0"/>
    <n v="0"/>
    <n v="1.29"/>
    <n v="0"/>
    <n v="0"/>
  </r>
  <r>
    <x v="30"/>
    <n v="0"/>
    <x v="5"/>
    <n v="5"/>
    <s v="MAI"/>
    <n v="0"/>
    <x v="5"/>
    <n v="0"/>
    <e v="#N/A"/>
    <s v=""/>
    <n v="0"/>
    <n v="0"/>
    <n v="0"/>
    <n v="0"/>
    <n v="0"/>
  </r>
  <r>
    <x v="31"/>
    <s v="#LIVE1JD1M"/>
    <x v="6"/>
    <n v="5"/>
    <s v="MAI"/>
    <s v="MAI"/>
    <x v="6"/>
    <n v="13"/>
    <s v="12 - 13"/>
    <d v="1899-12-30T00:58:00"/>
    <n v="6.33"/>
    <n v="11.178357799172675"/>
    <n v="4.3600000000000003"/>
    <n v="4.510344827586211"/>
    <n v="1"/>
  </r>
  <r>
    <x v="31"/>
    <n v="0"/>
    <x v="6"/>
    <n v="5"/>
    <s v="MAI"/>
    <n v="0"/>
    <x v="6"/>
    <n v="0"/>
    <s v="13 - 14"/>
    <s v=""/>
    <n v="0"/>
    <n v="0"/>
    <n v="0"/>
    <n v="0"/>
    <n v="0"/>
  </r>
  <r>
    <x v="31"/>
    <n v="0"/>
    <x v="6"/>
    <n v="5"/>
    <s v="MAI"/>
    <n v="0"/>
    <x v="6"/>
    <n v="0"/>
    <e v="#N/A"/>
    <s v=""/>
    <n v="0"/>
    <n v="0"/>
    <n v="0"/>
    <n v="0"/>
    <n v="0"/>
  </r>
  <r>
    <x v="31"/>
    <n v="0"/>
    <x v="6"/>
    <n v="5"/>
    <s v="MAI"/>
    <n v="0"/>
    <x v="6"/>
    <n v="0"/>
    <e v="#N/A"/>
    <s v=""/>
    <n v="0"/>
    <n v="0"/>
    <n v="0"/>
    <n v="0"/>
    <n v="0"/>
  </r>
  <r>
    <x v="32"/>
    <s v="#LIUNDNRUW"/>
    <x v="6"/>
    <n v="5"/>
    <s v="MAI"/>
    <n v="0"/>
    <x v="6"/>
    <n v="0"/>
    <s v="13 - 14"/>
    <d v="1899-12-30T00:15:00"/>
    <n v="4.34"/>
    <n v="7.6641505289746306"/>
    <n v="3.01"/>
    <n v="12.040000000000042"/>
    <n v="1"/>
  </r>
  <r>
    <x v="32"/>
    <n v="0"/>
    <x v="6"/>
    <n v="5"/>
    <s v="MAI"/>
    <n v="0"/>
    <x v="6"/>
    <n v="0"/>
    <s v="13 - 14"/>
    <s v=""/>
    <n v="0"/>
    <n v="0"/>
    <n v="0"/>
    <n v="0"/>
    <n v="0"/>
  </r>
  <r>
    <x v="32"/>
    <n v="0"/>
    <x v="6"/>
    <n v="5"/>
    <s v="MAI"/>
    <n v="0"/>
    <x v="6"/>
    <n v="0"/>
    <e v="#N/A"/>
    <s v=""/>
    <n v="0"/>
    <n v="0"/>
    <n v="0"/>
    <n v="0"/>
    <n v="0"/>
  </r>
  <r>
    <x v="32"/>
    <n v="0"/>
    <x v="6"/>
    <n v="5"/>
    <s v="MAI"/>
    <n v="0"/>
    <x v="6"/>
    <n v="0"/>
    <e v="#N/A"/>
    <s v=""/>
    <n v="0"/>
    <n v="0"/>
    <n v="0"/>
    <n v="0"/>
    <n v="0"/>
  </r>
  <r>
    <x v="33"/>
    <s v="#LIQ8VKCTD"/>
    <x v="6"/>
    <n v="5"/>
    <s v="MAI"/>
    <n v="0"/>
    <x v="6"/>
    <n v="0"/>
    <s v="13 - 14"/>
    <d v="1899-12-30T00:43:00"/>
    <n v="8.85"/>
    <n v="15.62850971922246"/>
    <n v="4.6100000000000003"/>
    <n v="6.4325581395348834"/>
    <n v="1"/>
  </r>
  <r>
    <x v="33"/>
    <n v="0"/>
    <x v="6"/>
    <n v="5"/>
    <s v="MAI"/>
    <n v="0"/>
    <x v="6"/>
    <n v="0"/>
    <s v="14 - 15"/>
    <s v=""/>
    <n v="0"/>
    <n v="0"/>
    <n v="0"/>
    <n v="0"/>
    <n v="0"/>
  </r>
  <r>
    <x v="33"/>
    <n v="0"/>
    <x v="6"/>
    <n v="5"/>
    <s v="MAI"/>
    <n v="0"/>
    <x v="6"/>
    <n v="0"/>
    <e v="#N/A"/>
    <s v=""/>
    <n v="0"/>
    <n v="0"/>
    <n v="0"/>
    <n v="0"/>
    <n v="0"/>
  </r>
  <r>
    <x v="33"/>
    <n v="0"/>
    <x v="6"/>
    <n v="5"/>
    <s v="MAI"/>
    <n v="0"/>
    <x v="6"/>
    <n v="0"/>
    <e v="#N/A"/>
    <s v=""/>
    <n v="0"/>
    <n v="0"/>
    <n v="0"/>
    <n v="0"/>
    <n v="0"/>
  </r>
  <r>
    <x v="34"/>
    <s v="#LIA7YUQBB"/>
    <x v="6"/>
    <n v="5"/>
    <s v="MAI"/>
    <n v="0"/>
    <x v="6"/>
    <n v="0"/>
    <s v="19 - 20"/>
    <d v="1899-12-30T00:23:00"/>
    <n v="3.17"/>
    <n v="5.5980085660943733"/>
    <n v="2.6"/>
    <n v="6.7826086956521996"/>
    <n v="1"/>
  </r>
  <r>
    <x v="34"/>
    <n v="0"/>
    <x v="6"/>
    <n v="5"/>
    <s v="MAI"/>
    <n v="0"/>
    <x v="6"/>
    <n v="0"/>
    <s v="19 - 20"/>
    <s v=""/>
    <n v="0"/>
    <n v="0"/>
    <n v="0"/>
    <n v="0"/>
    <n v="0"/>
  </r>
  <r>
    <x v="34"/>
    <n v="0"/>
    <x v="6"/>
    <n v="5"/>
    <s v="MAI"/>
    <n v="0"/>
    <x v="6"/>
    <n v="0"/>
    <e v="#N/A"/>
    <s v=""/>
    <n v="0"/>
    <n v="0"/>
    <n v="0"/>
    <n v="0"/>
    <n v="0"/>
  </r>
  <r>
    <x v="34"/>
    <n v="0"/>
    <x v="6"/>
    <n v="5"/>
    <s v="MAI"/>
    <n v="0"/>
    <x v="6"/>
    <n v="0"/>
    <e v="#N/A"/>
    <s v=""/>
    <n v="0"/>
    <n v="0"/>
    <n v="0"/>
    <n v="0"/>
    <n v="0"/>
  </r>
  <r>
    <x v="35"/>
    <s v="#LIKYHVR1B"/>
    <x v="6"/>
    <n v="5"/>
    <s v="MAI"/>
    <n v="0"/>
    <x v="6"/>
    <n v="0"/>
    <s v="19 - 20"/>
    <d v="1899-12-30T00:42:00"/>
    <n v="10.6"/>
    <n v="18.718892997034811"/>
    <n v="5.21"/>
    <n v="7.4428571428571138"/>
    <n v="1"/>
  </r>
  <r>
    <x v="35"/>
    <n v="0"/>
    <x v="6"/>
    <n v="5"/>
    <s v="MAI"/>
    <n v="0"/>
    <x v="6"/>
    <n v="0"/>
    <s v="20 - 21"/>
    <s v=""/>
    <n v="0"/>
    <n v="0"/>
    <n v="0"/>
    <n v="0"/>
    <n v="0"/>
  </r>
  <r>
    <x v="35"/>
    <n v="0"/>
    <x v="6"/>
    <n v="5"/>
    <s v="MAI"/>
    <n v="0"/>
    <x v="6"/>
    <n v="0"/>
    <e v="#N/A"/>
    <s v=""/>
    <n v="0"/>
    <n v="0"/>
    <n v="0"/>
    <n v="0"/>
    <n v="0"/>
  </r>
  <r>
    <x v="35"/>
    <n v="0"/>
    <x v="6"/>
    <n v="5"/>
    <s v="MAI"/>
    <n v="0"/>
    <x v="6"/>
    <n v="0"/>
    <e v="#N/A"/>
    <s v=""/>
    <n v="0"/>
    <n v="0"/>
    <n v="0"/>
    <n v="0"/>
    <n v="0"/>
  </r>
  <r>
    <x v="36"/>
    <s v="#LIM2NN152"/>
    <x v="6"/>
    <n v="5"/>
    <s v="MAI"/>
    <n v="0"/>
    <x v="6"/>
    <n v="0"/>
    <s v="20 - 21"/>
    <d v="1899-12-30T00:27:00"/>
    <n v="5.18"/>
    <n v="9.1475345023245591"/>
    <n v="4.03"/>
    <n v="8.9555555555555877"/>
    <n v="1"/>
  </r>
  <r>
    <x v="36"/>
    <n v="0"/>
    <x v="6"/>
    <n v="5"/>
    <s v="MAI"/>
    <n v="0"/>
    <x v="6"/>
    <n v="0"/>
    <s v="21 - 22"/>
    <s v=""/>
    <n v="0"/>
    <n v="0"/>
    <n v="0"/>
    <n v="0"/>
    <n v="0"/>
  </r>
  <r>
    <x v="36"/>
    <n v="0"/>
    <x v="6"/>
    <n v="5"/>
    <s v="MAI"/>
    <n v="0"/>
    <x v="6"/>
    <n v="0"/>
    <e v="#N/A"/>
    <s v=""/>
    <n v="0"/>
    <n v="0"/>
    <n v="0"/>
    <n v="0"/>
    <n v="0"/>
  </r>
  <r>
    <x v="36"/>
    <n v="0"/>
    <x v="6"/>
    <n v="5"/>
    <s v="MAI"/>
    <n v="0"/>
    <x v="6"/>
    <n v="0"/>
    <e v="#N/A"/>
    <s v=""/>
    <n v="0"/>
    <n v="0"/>
    <n v="0"/>
    <n v="0"/>
    <n v="0"/>
  </r>
  <r>
    <x v="37"/>
    <s v="#LI7KVVHWC"/>
    <x v="6"/>
    <n v="5"/>
    <s v="MAI"/>
    <n v="0"/>
    <x v="6"/>
    <n v="0"/>
    <s v="21 - 22"/>
    <d v="1899-12-30T00:30:00"/>
    <n v="6.9"/>
    <n v="12.184939781088699"/>
    <n v="3.91"/>
    <n v="7.8199999999999861"/>
    <n v="1"/>
  </r>
  <r>
    <x v="37"/>
    <n v="0"/>
    <x v="6"/>
    <n v="5"/>
    <s v="MAI"/>
    <n v="0"/>
    <x v="6"/>
    <n v="0"/>
    <s v="21 - 22"/>
    <s v=""/>
    <n v="0"/>
    <n v="0"/>
    <n v="0"/>
    <n v="0"/>
    <n v="0"/>
  </r>
  <r>
    <x v="37"/>
    <n v="0"/>
    <x v="6"/>
    <n v="5"/>
    <s v="MAI"/>
    <n v="0"/>
    <x v="6"/>
    <n v="0"/>
    <e v="#N/A"/>
    <s v=""/>
    <n v="0"/>
    <n v="0"/>
    <n v="0"/>
    <n v="0"/>
    <n v="0"/>
  </r>
  <r>
    <x v="37"/>
    <n v="0"/>
    <x v="6"/>
    <n v="5"/>
    <s v="MAI"/>
    <n v="0"/>
    <x v="6"/>
    <n v="0"/>
    <e v="#N/A"/>
    <s v=""/>
    <n v="0"/>
    <n v="0"/>
    <n v="0"/>
    <n v="0"/>
    <n v="0"/>
  </r>
  <r>
    <x v="38"/>
    <s v="#LIAJLGHXD"/>
    <x v="6"/>
    <n v="5"/>
    <s v="MAI"/>
    <n v="0"/>
    <x v="6"/>
    <n v="0"/>
    <s v="21 - 22"/>
    <d v="1899-12-30T00:34:00"/>
    <n v="5.21"/>
    <n v="9.2005125013727707"/>
    <n v="3.33"/>
    <n v="5.876470588235315"/>
    <n v="1"/>
  </r>
  <r>
    <x v="38"/>
    <n v="0"/>
    <x v="6"/>
    <n v="5"/>
    <s v="MAI"/>
    <n v="0"/>
    <x v="6"/>
    <n v="0"/>
    <s v="22 - 23"/>
    <s v=""/>
    <n v="0"/>
    <n v="0"/>
    <n v="0"/>
    <n v="0"/>
    <n v="0"/>
  </r>
  <r>
    <x v="38"/>
    <n v="0"/>
    <x v="6"/>
    <n v="5"/>
    <s v="MAI"/>
    <n v="0"/>
    <x v="6"/>
    <n v="0"/>
    <e v="#N/A"/>
    <s v=""/>
    <n v="0"/>
    <n v="0"/>
    <n v="0"/>
    <n v="0"/>
    <n v="0"/>
  </r>
  <r>
    <x v="38"/>
    <n v="0"/>
    <x v="6"/>
    <n v="5"/>
    <s v="MAI"/>
    <n v="0"/>
    <x v="6"/>
    <n v="0"/>
    <e v="#N/A"/>
    <s v=""/>
    <n v="0"/>
    <n v="0"/>
    <n v="0"/>
    <n v="0"/>
    <n v="0"/>
  </r>
  <r>
    <x v="39"/>
    <s v="#LINCCQPES "/>
    <x v="7"/>
    <n v="5"/>
    <s v="MAI"/>
    <s v="MAI"/>
    <x v="7"/>
    <n v="14"/>
    <s v="19 - 20"/>
    <d v="1899-12-30T00:28:00"/>
    <n v="2.25"/>
    <n v="3.97334992861588"/>
    <n v="2.2799999999999998"/>
    <n v="4.885714285714303"/>
    <n v="1"/>
  </r>
  <r>
    <x v="39"/>
    <n v="0"/>
    <x v="7"/>
    <n v="5"/>
    <s v="MAI"/>
    <n v="0"/>
    <x v="7"/>
    <n v="0"/>
    <s v="20 - 21"/>
    <s v=""/>
    <n v="0"/>
    <n v="0"/>
    <n v="0"/>
    <n v="0"/>
    <n v="0"/>
  </r>
  <r>
    <x v="39"/>
    <n v="0"/>
    <x v="7"/>
    <n v="5"/>
    <s v="MAI"/>
    <n v="0"/>
    <x v="7"/>
    <n v="0"/>
    <e v="#N/A"/>
    <s v=""/>
    <n v="0"/>
    <n v="0"/>
    <n v="0"/>
    <n v="0"/>
    <n v="0"/>
  </r>
  <r>
    <x v="39"/>
    <n v="0"/>
    <x v="7"/>
    <n v="5"/>
    <s v="MAI"/>
    <n v="0"/>
    <x v="7"/>
    <n v="0"/>
    <e v="#N/A"/>
    <s v=""/>
    <n v="0"/>
    <n v="0"/>
    <n v="0"/>
    <n v="0"/>
    <n v="0"/>
  </r>
  <r>
    <x v="40"/>
    <s v="#LISZLGZZK "/>
    <x v="7"/>
    <n v="5"/>
    <s v="MAI"/>
    <n v="0"/>
    <x v="7"/>
    <n v="0"/>
    <s v="20 - 21"/>
    <d v="1899-12-30T00:41:00"/>
    <n v="4.6500000000000004"/>
    <n v="8.2115898524728195"/>
    <n v="3.63"/>
    <n v="5.3121951219512171"/>
    <n v="1"/>
  </r>
  <r>
    <x v="40"/>
    <n v="0"/>
    <x v="7"/>
    <n v="5"/>
    <s v="MAI"/>
    <n v="0"/>
    <x v="7"/>
    <n v="0"/>
    <s v="21 - 22"/>
    <s v=""/>
    <n v="0"/>
    <n v="0"/>
    <n v="0"/>
    <n v="0"/>
    <n v="0"/>
  </r>
  <r>
    <x v="40"/>
    <n v="0"/>
    <x v="7"/>
    <n v="5"/>
    <s v="MAI"/>
    <n v="0"/>
    <x v="7"/>
    <n v="0"/>
    <e v="#N/A"/>
    <s v=""/>
    <n v="0"/>
    <n v="0"/>
    <n v="0"/>
    <n v="0"/>
    <n v="0"/>
  </r>
  <r>
    <x v="40"/>
    <n v="0"/>
    <x v="7"/>
    <n v="5"/>
    <s v="MAI"/>
    <n v="0"/>
    <x v="7"/>
    <n v="0"/>
    <e v="#N/A"/>
    <s v=""/>
    <n v="0"/>
    <n v="0"/>
    <n v="0"/>
    <n v="0"/>
    <n v="0"/>
  </r>
  <r>
    <x v="41"/>
    <s v="#LIL1MGJLH "/>
    <x v="7"/>
    <n v="5"/>
    <s v="MAI"/>
    <n v="0"/>
    <x v="7"/>
    <n v="0"/>
    <s v="21 - 22"/>
    <d v="1899-12-30T00:24:00"/>
    <n v="3.94"/>
    <n v="6.957777208331807"/>
    <n v="3.06"/>
    <n v="7.6499999999999764"/>
    <n v="1"/>
  </r>
  <r>
    <x v="41"/>
    <n v="0"/>
    <x v="7"/>
    <n v="5"/>
    <s v="MAI"/>
    <n v="0"/>
    <x v="7"/>
    <n v="0"/>
    <s v="21 - 22"/>
    <s v=""/>
    <n v="0"/>
    <n v="0"/>
    <n v="0"/>
    <n v="0"/>
    <n v="0"/>
  </r>
  <r>
    <x v="41"/>
    <n v="0"/>
    <x v="7"/>
    <n v="5"/>
    <s v="MAI"/>
    <n v="0"/>
    <x v="7"/>
    <n v="0"/>
    <e v="#N/A"/>
    <s v=""/>
    <n v="0"/>
    <n v="0"/>
    <n v="0"/>
    <n v="0"/>
    <n v="0"/>
  </r>
  <r>
    <x v="41"/>
    <n v="0"/>
    <x v="7"/>
    <n v="5"/>
    <s v="MAI"/>
    <n v="0"/>
    <x v="7"/>
    <n v="0"/>
    <e v="#N/A"/>
    <s v=""/>
    <n v="0"/>
    <n v="0"/>
    <n v="0"/>
    <n v="0"/>
    <n v="0"/>
  </r>
  <r>
    <x v="42"/>
    <s v="#LIKCFWWSF "/>
    <x v="7"/>
    <n v="5"/>
    <s v="MAI"/>
    <n v="0"/>
    <x v="7"/>
    <n v="0"/>
    <s v="21 - 22"/>
    <d v="1899-12-30T00:21:00"/>
    <n v="1.6"/>
    <n v="2.8254932825712924"/>
    <n v="2.2799999999999998"/>
    <n v="6.5142857142857364"/>
    <n v="1"/>
  </r>
  <r>
    <x v="42"/>
    <n v="0"/>
    <x v="7"/>
    <n v="5"/>
    <s v="MAI"/>
    <n v="0"/>
    <x v="7"/>
    <n v="0"/>
    <s v="21 - 22"/>
    <s v=""/>
    <n v="0"/>
    <n v="0"/>
    <n v="0"/>
    <n v="0"/>
    <n v="0"/>
  </r>
  <r>
    <x v="42"/>
    <n v="0"/>
    <x v="7"/>
    <n v="5"/>
    <s v="MAI"/>
    <n v="0"/>
    <x v="7"/>
    <n v="0"/>
    <e v="#N/A"/>
    <s v=""/>
    <n v="0"/>
    <n v="0"/>
    <n v="0"/>
    <n v="0"/>
    <n v="0"/>
  </r>
  <r>
    <x v="42"/>
    <n v="0"/>
    <x v="7"/>
    <n v="5"/>
    <s v="MAI"/>
    <n v="0"/>
    <x v="7"/>
    <n v="0"/>
    <e v="#N/A"/>
    <s v=""/>
    <n v="0"/>
    <n v="0"/>
    <n v="0"/>
    <n v="0"/>
    <n v="0"/>
  </r>
  <r>
    <x v="43"/>
    <s v="#LIUBFZCQM "/>
    <x v="7"/>
    <n v="5"/>
    <s v="MAI"/>
    <n v="0"/>
    <x v="7"/>
    <n v="0"/>
    <s v="21 - 22"/>
    <d v="1899-12-30T00:26:00"/>
    <n v="0.95"/>
    <n v="1.6776366365267048"/>
    <n v="2.29"/>
    <n v="5.2846153846154031"/>
    <n v="1"/>
  </r>
  <r>
    <x v="43"/>
    <n v="0"/>
    <x v="7"/>
    <n v="5"/>
    <s v="MAI"/>
    <n v="0"/>
    <x v="7"/>
    <n v="0"/>
    <s v="22 - 23"/>
    <s v=""/>
    <n v="0"/>
    <n v="0"/>
    <n v="0"/>
    <n v="0"/>
    <n v="0"/>
  </r>
  <r>
    <x v="43"/>
    <n v="0"/>
    <x v="7"/>
    <n v="5"/>
    <s v="MAI"/>
    <n v="0"/>
    <x v="7"/>
    <n v="0"/>
    <e v="#N/A"/>
    <s v=""/>
    <n v="0"/>
    <n v="0"/>
    <n v="0"/>
    <n v="0"/>
    <n v="0"/>
  </r>
  <r>
    <x v="43"/>
    <n v="0"/>
    <x v="7"/>
    <n v="5"/>
    <s v="MAI"/>
    <n v="0"/>
    <x v="7"/>
    <n v="0"/>
    <e v="#N/A"/>
    <s v=""/>
    <n v="0"/>
    <n v="0"/>
    <n v="0"/>
    <n v="0"/>
    <n v="0"/>
  </r>
  <r>
    <x v="44"/>
    <s v="#LIYHWGVTL "/>
    <x v="7"/>
    <n v="5"/>
    <s v="MAI"/>
    <n v="0"/>
    <x v="7"/>
    <n v="0"/>
    <s v="22 - 23"/>
    <d v="1899-12-30T00:26:00"/>
    <n v="1.6"/>
    <n v="2.8254932825712924"/>
    <n v="2.64"/>
    <n v="6.0923076923076769"/>
    <n v="1"/>
  </r>
  <r>
    <x v="44"/>
    <n v="0"/>
    <x v="7"/>
    <n v="5"/>
    <s v="MAI"/>
    <n v="0"/>
    <x v="7"/>
    <n v="0"/>
    <s v="22 - 23"/>
    <s v=""/>
    <n v="0"/>
    <n v="0"/>
    <n v="0"/>
    <n v="0"/>
    <n v="0"/>
  </r>
  <r>
    <x v="44"/>
    <n v="0"/>
    <x v="7"/>
    <n v="5"/>
    <s v="MAI"/>
    <n v="0"/>
    <x v="7"/>
    <n v="0"/>
    <e v="#N/A"/>
    <s v=""/>
    <n v="0"/>
    <n v="0"/>
    <n v="0"/>
    <n v="0"/>
    <n v="0"/>
  </r>
  <r>
    <x v="44"/>
    <n v="0"/>
    <x v="7"/>
    <n v="5"/>
    <s v="MAI"/>
    <n v="0"/>
    <x v="7"/>
    <n v="0"/>
    <e v="#N/A"/>
    <s v=""/>
    <n v="0"/>
    <n v="0"/>
    <n v="0"/>
    <n v="0"/>
    <n v="0"/>
  </r>
  <r>
    <x v="45"/>
    <s v="#LI2NDJZEM "/>
    <x v="7"/>
    <n v="5"/>
    <s v="MAI"/>
    <n v="0"/>
    <x v="7"/>
    <n v="0"/>
    <s v="22 - 23"/>
    <d v="1899-12-30T00:28:00"/>
    <n v="5.42"/>
    <n v="9.5713584947102532"/>
    <n v="1.5"/>
    <n v="3.2142857142857073"/>
    <n v="1"/>
  </r>
  <r>
    <x v="45"/>
    <n v="0"/>
    <x v="7"/>
    <n v="5"/>
    <s v="MAI"/>
    <n v="0"/>
    <x v="7"/>
    <n v="0"/>
    <s v="23 - 24"/>
    <s v=""/>
    <n v="0"/>
    <n v="0"/>
    <n v="0"/>
    <n v="0"/>
    <n v="0"/>
  </r>
  <r>
    <x v="45"/>
    <n v="0"/>
    <x v="7"/>
    <n v="5"/>
    <s v="MAI"/>
    <n v="0"/>
    <x v="7"/>
    <n v="0"/>
    <e v="#N/A"/>
    <s v=""/>
    <n v="0"/>
    <n v="0"/>
    <n v="0"/>
    <n v="0"/>
    <n v="0"/>
  </r>
  <r>
    <x v="46"/>
    <s v="#LIARLUMGL "/>
    <x v="8"/>
    <n v="5"/>
    <s v="MAI"/>
    <s v="MAI"/>
    <x v="8"/>
    <n v="15"/>
    <s v="12 - 13"/>
    <d v="1899-12-30T01:01:00"/>
    <n v="3.13"/>
    <n v="5.5273712340300909"/>
    <n v="3.44"/>
    <n v="3.3836065573770524"/>
    <n v="1"/>
  </r>
  <r>
    <x v="46"/>
    <n v="0"/>
    <x v="8"/>
    <n v="5"/>
    <s v="MAI"/>
    <n v="0"/>
    <x v="8"/>
    <n v="0"/>
    <s v="13 - 14"/>
    <s v=""/>
    <n v="0"/>
    <n v="0"/>
    <n v="0"/>
    <n v="0"/>
    <n v="0"/>
  </r>
  <r>
    <x v="46"/>
    <n v="0"/>
    <x v="8"/>
    <n v="5"/>
    <s v="MAI"/>
    <n v="0"/>
    <x v="8"/>
    <n v="0"/>
    <e v="#N/A"/>
    <s v=""/>
    <n v="0"/>
    <n v="0"/>
    <n v="0"/>
    <n v="0"/>
    <n v="0"/>
  </r>
  <r>
    <x v="46"/>
    <n v="0"/>
    <x v="8"/>
    <n v="5"/>
    <s v="MAI"/>
    <n v="0"/>
    <x v="8"/>
    <n v="0"/>
    <e v="#N/A"/>
    <s v=""/>
    <n v="0"/>
    <n v="0"/>
    <n v="0"/>
    <n v="0"/>
    <n v="0"/>
  </r>
  <r>
    <x v="47"/>
    <s v="#LIAPAL5MF "/>
    <x v="8"/>
    <n v="5"/>
    <s v="MAI"/>
    <n v="0"/>
    <x v="8"/>
    <n v="0"/>
    <s v="13 - 14"/>
    <d v="1899-12-30T00:33:00"/>
    <n v="4.29"/>
    <n v="7.5758538638942774"/>
    <n v="3.2"/>
    <n v="5.8181818181818112"/>
    <n v="1"/>
  </r>
  <r>
    <x v="47"/>
    <n v="0"/>
    <x v="8"/>
    <n v="5"/>
    <s v="MAI"/>
    <n v="0"/>
    <x v="8"/>
    <n v="0"/>
    <s v="14 - 15"/>
    <s v=""/>
    <n v="0"/>
    <n v="0"/>
    <n v="0"/>
    <n v="0"/>
    <n v="0"/>
  </r>
  <r>
    <x v="47"/>
    <n v="0"/>
    <x v="8"/>
    <n v="5"/>
    <s v="MAI"/>
    <n v="0"/>
    <x v="8"/>
    <n v="0"/>
    <e v="#N/A"/>
    <s v=""/>
    <n v="0"/>
    <n v="0"/>
    <n v="0"/>
    <n v="0"/>
    <n v="0"/>
  </r>
  <r>
    <x v="47"/>
    <n v="0"/>
    <x v="8"/>
    <n v="5"/>
    <s v="MAI"/>
    <n v="0"/>
    <x v="8"/>
    <n v="0"/>
    <e v="#N/A"/>
    <s v=""/>
    <n v="0"/>
    <n v="0"/>
    <n v="0"/>
    <n v="0"/>
    <n v="0"/>
  </r>
  <r>
    <x v="48"/>
    <s v="#LI3PCTLNS "/>
    <x v="8"/>
    <n v="5"/>
    <s v="MAI"/>
    <n v="0"/>
    <x v="8"/>
    <n v="0"/>
    <s v="19 - 20"/>
    <d v="1899-12-30T00:28:00"/>
    <n v="2.94"/>
    <n v="5.1918439067247499"/>
    <n v="2.52"/>
    <n v="5.3999999999999577"/>
    <n v="1"/>
  </r>
  <r>
    <x v="48"/>
    <n v="0"/>
    <x v="8"/>
    <n v="5"/>
    <s v="MAI"/>
    <n v="0"/>
    <x v="8"/>
    <n v="0"/>
    <s v="19 - 20"/>
    <s v=""/>
    <n v="0"/>
    <n v="0"/>
    <n v="0"/>
    <n v="0"/>
    <n v="0"/>
  </r>
  <r>
    <x v="48"/>
    <n v="0"/>
    <x v="8"/>
    <n v="5"/>
    <s v="MAI"/>
    <n v="0"/>
    <x v="8"/>
    <n v="0"/>
    <e v="#N/A"/>
    <s v=""/>
    <n v="0"/>
    <n v="0"/>
    <n v="0"/>
    <n v="0"/>
    <n v="0"/>
  </r>
  <r>
    <x v="48"/>
    <n v="0"/>
    <x v="8"/>
    <n v="5"/>
    <s v="MAI"/>
    <n v="0"/>
    <x v="8"/>
    <n v="0"/>
    <e v="#N/A"/>
    <s v=""/>
    <n v="0"/>
    <n v="0"/>
    <n v="0"/>
    <n v="0"/>
    <n v="0"/>
  </r>
  <r>
    <x v="49"/>
    <s v="#LIEZHTTS9 "/>
    <x v="8"/>
    <n v="5"/>
    <s v="MAI"/>
    <n v="0"/>
    <x v="8"/>
    <n v="0"/>
    <s v="19 - 20"/>
    <d v="1899-12-30T00:36:00"/>
    <n v="9.74"/>
    <n v="17.200190357652744"/>
    <n v="5.37"/>
    <n v="8.9500000000000313"/>
    <n v="1"/>
  </r>
  <r>
    <x v="49"/>
    <n v="0"/>
    <x v="8"/>
    <n v="5"/>
    <s v="MAI"/>
    <n v="0"/>
    <x v="8"/>
    <n v="0"/>
    <s v="20 - 21"/>
    <s v=""/>
    <n v="0"/>
    <n v="0"/>
    <n v="0"/>
    <n v="0"/>
    <n v="0"/>
  </r>
  <r>
    <x v="49"/>
    <n v="0"/>
    <x v="8"/>
    <n v="5"/>
    <s v="MAI"/>
    <n v="0"/>
    <x v="8"/>
    <n v="0"/>
    <e v="#N/A"/>
    <s v=""/>
    <n v="0"/>
    <n v="0"/>
    <n v="0"/>
    <n v="0"/>
    <n v="0"/>
  </r>
  <r>
    <x v="49"/>
    <n v="0"/>
    <x v="8"/>
    <n v="5"/>
    <s v="MAI"/>
    <n v="0"/>
    <x v="8"/>
    <n v="0"/>
    <e v="#N/A"/>
    <s v=""/>
    <n v="0"/>
    <n v="0"/>
    <n v="0"/>
    <n v="0"/>
    <n v="0"/>
  </r>
  <r>
    <x v="50"/>
    <s v="#LIDZDGXWL "/>
    <x v="8"/>
    <n v="5"/>
    <s v="MAI"/>
    <n v="0"/>
    <x v="8"/>
    <n v="0"/>
    <s v="20 - 21"/>
    <d v="1899-12-30T00:35:00"/>
    <n v="2.69"/>
    <n v="4.750360581322985"/>
    <n v="2.4700000000000002"/>
    <n v="4.2342857142857104"/>
    <n v="1"/>
  </r>
  <r>
    <x v="50"/>
    <n v="0"/>
    <x v="8"/>
    <n v="5"/>
    <s v="MAI"/>
    <n v="0"/>
    <x v="8"/>
    <n v="0"/>
    <s v="21 - 22"/>
    <s v=""/>
    <n v="0"/>
    <n v="0"/>
    <n v="0"/>
    <n v="0"/>
    <n v="0"/>
  </r>
  <r>
    <x v="50"/>
    <n v="0"/>
    <x v="8"/>
    <n v="5"/>
    <s v="MAI"/>
    <n v="0"/>
    <x v="8"/>
    <n v="0"/>
    <e v="#N/A"/>
    <s v=""/>
    <n v="0"/>
    <n v="0"/>
    <n v="0"/>
    <n v="0"/>
    <n v="0"/>
  </r>
  <r>
    <x v="50"/>
    <n v="0"/>
    <x v="8"/>
    <n v="5"/>
    <s v="MAI"/>
    <n v="0"/>
    <x v="8"/>
    <n v="0"/>
    <e v="#N/A"/>
    <s v=""/>
    <n v="0"/>
    <n v="0"/>
    <n v="0"/>
    <n v="0"/>
    <n v="0"/>
  </r>
  <r>
    <x v="51"/>
    <s v="#LILT19PEG "/>
    <x v="8"/>
    <n v="5"/>
    <s v="MAI"/>
    <n v="0"/>
    <x v="8"/>
    <n v="0"/>
    <s v="21 - 22"/>
    <d v="1899-12-30T00:20:00"/>
    <n v="3.52"/>
    <n v="6.2160852216568436"/>
    <n v="2.73"/>
    <n v="8.1899999999999658"/>
    <n v="1"/>
  </r>
  <r>
    <x v="51"/>
    <n v="0"/>
    <x v="8"/>
    <n v="5"/>
    <s v="MAI"/>
    <n v="0"/>
    <x v="8"/>
    <n v="0"/>
    <s v="21 - 22"/>
    <s v=""/>
    <n v="0"/>
    <n v="0"/>
    <n v="0"/>
    <n v="0"/>
    <n v="0"/>
  </r>
  <r>
    <x v="51"/>
    <n v="0"/>
    <x v="8"/>
    <n v="5"/>
    <s v="MAI"/>
    <n v="0"/>
    <x v="8"/>
    <n v="0"/>
    <e v="#N/A"/>
    <s v=""/>
    <n v="0"/>
    <n v="0"/>
    <n v="0"/>
    <n v="0"/>
    <n v="0"/>
  </r>
  <r>
    <x v="51"/>
    <n v="0"/>
    <x v="8"/>
    <n v="5"/>
    <s v="MAI"/>
    <n v="0"/>
    <x v="8"/>
    <n v="0"/>
    <e v="#N/A"/>
    <s v=""/>
    <n v="0"/>
    <n v="0"/>
    <n v="0"/>
    <n v="0"/>
    <n v="0"/>
  </r>
  <r>
    <x v="52"/>
    <s v="#LIQBHNFBF "/>
    <x v="8"/>
    <n v="5"/>
    <s v="MAI"/>
    <n v="0"/>
    <x v="8"/>
    <n v="0"/>
    <s v="21 - 22"/>
    <d v="1899-12-30T00:34:00"/>
    <n v="5.84"/>
    <n v="10.313050481385217"/>
    <n v="3.8"/>
    <n v="6.7058823529411686"/>
    <n v="1"/>
  </r>
  <r>
    <x v="52"/>
    <n v="0"/>
    <x v="8"/>
    <n v="5"/>
    <s v="MAI"/>
    <n v="0"/>
    <x v="8"/>
    <n v="0"/>
    <s v="22 - 23"/>
    <s v=""/>
    <n v="0"/>
    <n v="0"/>
    <n v="0"/>
    <n v="0"/>
    <n v="0"/>
  </r>
  <r>
    <x v="52"/>
    <n v="0"/>
    <x v="8"/>
    <n v="5"/>
    <s v="MAI"/>
    <n v="0"/>
    <x v="8"/>
    <n v="0"/>
    <e v="#N/A"/>
    <s v=""/>
    <n v="0"/>
    <n v="0"/>
    <n v="0"/>
    <n v="0"/>
    <n v="0"/>
  </r>
  <r>
    <x v="52"/>
    <n v="0"/>
    <x v="8"/>
    <n v="5"/>
    <s v="MAI"/>
    <n v="0"/>
    <x v="8"/>
    <n v="0"/>
    <e v="#N/A"/>
    <s v=""/>
    <n v="0"/>
    <n v="0"/>
    <n v="0"/>
    <n v="0"/>
    <n v="0"/>
  </r>
  <r>
    <x v="53"/>
    <s v="#LIX8HXYZG "/>
    <x v="8"/>
    <n v="5"/>
    <s v="MAI"/>
    <n v="0"/>
    <x v="8"/>
    <n v="0"/>
    <s v="22 - 23"/>
    <d v="1899-12-30T00:40:00"/>
    <n v="12.16"/>
    <n v="21.473748947541822"/>
    <n v="5.75"/>
    <n v="8.6249999999999964"/>
    <n v="1"/>
  </r>
  <r>
    <x v="53"/>
    <n v="0"/>
    <x v="8"/>
    <n v="5"/>
    <s v="MAI"/>
    <n v="0"/>
    <x v="8"/>
    <n v="0"/>
    <s v="22 - 23"/>
    <s v=""/>
    <n v="0"/>
    <n v="0"/>
    <n v="0"/>
    <n v="0"/>
    <n v="0"/>
  </r>
  <r>
    <x v="53"/>
    <n v="0"/>
    <x v="8"/>
    <n v="5"/>
    <s v="MAI"/>
    <n v="0"/>
    <x v="8"/>
    <n v="0"/>
    <e v="#N/A"/>
    <s v=""/>
    <n v="0"/>
    <n v="0"/>
    <n v="0"/>
    <n v="0"/>
    <n v="0"/>
  </r>
  <r>
    <x v="53"/>
    <n v="0"/>
    <x v="8"/>
    <n v="5"/>
    <s v="MAI"/>
    <n v="0"/>
    <x v="8"/>
    <n v="0"/>
    <e v="#N/A"/>
    <s v=""/>
    <n v="0"/>
    <n v="0"/>
    <n v="0"/>
    <n v="0"/>
    <n v="0"/>
  </r>
  <r>
    <x v="54"/>
    <s v="#LI9P1MVFX "/>
    <x v="8"/>
    <n v="5"/>
    <s v="MAI"/>
    <n v="0"/>
    <x v="8"/>
    <n v="0"/>
    <s v="22 - 23"/>
    <d v="1899-12-30T00:37:00"/>
    <n v="8.66"/>
    <n v="15.29298239191712"/>
    <n v="4.8499999999999996"/>
    <n v="7.8648648648648578"/>
    <n v="1"/>
  </r>
  <r>
    <x v="54"/>
    <n v="0"/>
    <x v="8"/>
    <n v="5"/>
    <s v="MAI"/>
    <n v="0"/>
    <x v="8"/>
    <n v="0"/>
    <s v="23 - 24"/>
    <s v=""/>
    <n v="0"/>
    <n v="0"/>
    <n v="0"/>
    <n v="0"/>
    <n v="0"/>
  </r>
  <r>
    <x v="54"/>
    <n v="0"/>
    <x v="8"/>
    <n v="5"/>
    <s v="MAI"/>
    <n v="0"/>
    <x v="8"/>
    <n v="0"/>
    <e v="#N/A"/>
    <s v=""/>
    <n v="0"/>
    <n v="0"/>
    <n v="0"/>
    <n v="0"/>
    <n v="0"/>
  </r>
  <r>
    <x v="55"/>
    <s v="#LISATHAMN "/>
    <x v="9"/>
    <n v="5"/>
    <s v="MAI"/>
    <s v="MAI"/>
    <x v="9"/>
    <n v="16"/>
    <s v="20 - 21"/>
    <d v="1899-12-30T00:35:00"/>
    <n v="2.1"/>
    <n v="3.7084599333748214"/>
    <n v="2.23"/>
    <n v="3.8228571428571558"/>
    <n v="1"/>
  </r>
  <r>
    <x v="55"/>
    <n v="0"/>
    <x v="9"/>
    <n v="5"/>
    <s v="MAI"/>
    <n v="0"/>
    <x v="9"/>
    <n v="0"/>
    <s v="20 - 21"/>
    <s v=""/>
    <n v="0"/>
    <n v="0"/>
    <n v="0"/>
    <n v="0"/>
    <n v="0"/>
  </r>
  <r>
    <x v="55"/>
    <n v="0"/>
    <x v="9"/>
    <n v="5"/>
    <s v="MAI"/>
    <n v="0"/>
    <x v="9"/>
    <n v="0"/>
    <e v="#N/A"/>
    <s v=""/>
    <n v="0"/>
    <n v="0"/>
    <n v="0"/>
    <n v="0"/>
    <n v="0"/>
  </r>
  <r>
    <x v="55"/>
    <n v="0"/>
    <x v="9"/>
    <n v="5"/>
    <s v="MAI"/>
    <n v="0"/>
    <x v="9"/>
    <n v="0"/>
    <e v="#N/A"/>
    <s v=""/>
    <n v="0"/>
    <n v="0"/>
    <n v="0"/>
    <n v="0"/>
    <n v="0"/>
  </r>
  <r>
    <x v="56"/>
    <s v="#LI1G8EZTK "/>
    <x v="9"/>
    <n v="5"/>
    <s v="MAI"/>
    <n v="0"/>
    <x v="9"/>
    <n v="0"/>
    <s v="20 - 21"/>
    <d v="1899-12-30T00:30:00"/>
    <n v="2.31"/>
    <n v="4.0793059267123031"/>
    <n v="2.89"/>
    <n v="5.7799999999999896"/>
    <n v="1"/>
  </r>
  <r>
    <x v="56"/>
    <n v="0"/>
    <x v="9"/>
    <n v="5"/>
    <s v="MAI"/>
    <n v="0"/>
    <x v="9"/>
    <n v="0"/>
    <s v="21 - 22"/>
    <s v=""/>
    <n v="0"/>
    <n v="0"/>
    <n v="0"/>
    <n v="0"/>
    <n v="0"/>
  </r>
  <r>
    <x v="56"/>
    <n v="0"/>
    <x v="9"/>
    <n v="5"/>
    <s v="MAI"/>
    <n v="0"/>
    <x v="9"/>
    <n v="0"/>
    <e v="#N/A"/>
    <s v=""/>
    <n v="0"/>
    <n v="0"/>
    <n v="0"/>
    <n v="0"/>
    <n v="0"/>
  </r>
  <r>
    <x v="56"/>
    <n v="0"/>
    <x v="9"/>
    <n v="5"/>
    <s v="MAI"/>
    <n v="0"/>
    <x v="9"/>
    <n v="0"/>
    <e v="#N/A"/>
    <s v=""/>
    <n v="0"/>
    <n v="0"/>
    <n v="0"/>
    <n v="0"/>
    <n v="0"/>
  </r>
  <r>
    <x v="57"/>
    <s v="#LIPRCKKJ9 "/>
    <x v="9"/>
    <n v="5"/>
    <s v="MAI"/>
    <n v="0"/>
    <x v="9"/>
    <n v="0"/>
    <s v="21 - 22"/>
    <d v="1899-12-30T00:33:00"/>
    <n v="7.49"/>
    <n v="13.226840429036862"/>
    <n v="4.12"/>
    <n v="7.4909090909090814"/>
    <n v="1"/>
  </r>
  <r>
    <x v="57"/>
    <n v="0"/>
    <x v="9"/>
    <n v="5"/>
    <s v="MAI"/>
    <n v="0"/>
    <x v="9"/>
    <n v="0"/>
    <s v="21 - 22"/>
    <s v=""/>
    <n v="0"/>
    <n v="0"/>
    <n v="0"/>
    <n v="0"/>
    <n v="0"/>
  </r>
  <r>
    <x v="57"/>
    <n v="0"/>
    <x v="9"/>
    <n v="5"/>
    <s v="MAI"/>
    <n v="0"/>
    <x v="9"/>
    <n v="0"/>
    <e v="#N/A"/>
    <s v=""/>
    <n v="0"/>
    <n v="0"/>
    <n v="0"/>
    <n v="0"/>
    <n v="0"/>
  </r>
  <r>
    <x v="57"/>
    <n v="0"/>
    <x v="9"/>
    <n v="5"/>
    <s v="MAI"/>
    <n v="0"/>
    <x v="9"/>
    <n v="0"/>
    <e v="#N/A"/>
    <s v=""/>
    <n v="0"/>
    <n v="0"/>
    <n v="0"/>
    <n v="0"/>
    <n v="0"/>
  </r>
  <r>
    <x v="58"/>
    <s v="#LIAPG16DB "/>
    <x v="9"/>
    <n v="5"/>
    <s v="MAI"/>
    <n v="0"/>
    <x v="9"/>
    <n v="0"/>
    <s v="21 - 22"/>
    <d v="1899-12-30T00:36:00"/>
    <n v="8.3000000000000007"/>
    <n v="14.657246403338581"/>
    <n v="4.4000000000000004"/>
    <n v="7.3333333333332948"/>
    <n v="1"/>
  </r>
  <r>
    <x v="58"/>
    <n v="0"/>
    <x v="9"/>
    <n v="5"/>
    <s v="MAI"/>
    <n v="0"/>
    <x v="9"/>
    <n v="0"/>
    <s v="22 - 23"/>
    <s v=""/>
    <n v="0"/>
    <n v="0"/>
    <n v="0"/>
    <n v="0"/>
    <n v="0"/>
  </r>
  <r>
    <x v="58"/>
    <n v="0"/>
    <x v="9"/>
    <n v="5"/>
    <s v="MAI"/>
    <n v="0"/>
    <x v="9"/>
    <n v="0"/>
    <e v="#N/A"/>
    <s v=""/>
    <n v="0"/>
    <n v="0"/>
    <n v="0"/>
    <n v="0"/>
    <n v="0"/>
  </r>
  <r>
    <x v="59"/>
    <s v="#LIGRWNLZS "/>
    <x v="10"/>
    <n v="5"/>
    <s v="MAI"/>
    <s v="MAI"/>
    <x v="10"/>
    <n v="17"/>
    <s v="12 - 13"/>
    <d v="1899-12-30T00:40:00"/>
    <n v="2.6"/>
    <n v="4.5914265841783504"/>
    <n v="3.01"/>
    <n v="4.5149999999999979"/>
    <n v="1"/>
  </r>
  <r>
    <x v="59"/>
    <n v="0"/>
    <x v="10"/>
    <n v="5"/>
    <s v="MAI"/>
    <n v="0"/>
    <x v="10"/>
    <n v="0"/>
    <s v="13 - 14"/>
    <s v=""/>
    <n v="0"/>
    <n v="0"/>
    <n v="0"/>
    <n v="0"/>
    <n v="0"/>
  </r>
  <r>
    <x v="59"/>
    <n v="0"/>
    <x v="10"/>
    <n v="5"/>
    <s v="MAI"/>
    <n v="0"/>
    <x v="10"/>
    <n v="0"/>
    <e v="#N/A"/>
    <s v=""/>
    <n v="0"/>
    <n v="0"/>
    <n v="0"/>
    <n v="0"/>
    <n v="0"/>
  </r>
  <r>
    <x v="59"/>
    <n v="0"/>
    <x v="10"/>
    <n v="5"/>
    <s v="MAI"/>
    <n v="0"/>
    <x v="10"/>
    <n v="0"/>
    <e v="#N/A"/>
    <s v=""/>
    <n v="0"/>
    <n v="0"/>
    <n v="0"/>
    <n v="0"/>
    <n v="0"/>
  </r>
  <r>
    <x v="60"/>
    <s v="#LI119141D "/>
    <x v="10"/>
    <n v="5"/>
    <s v="MAI"/>
    <n v="0"/>
    <x v="10"/>
    <n v="0"/>
    <s v="13 - 14"/>
    <d v="1899-12-30T00:44:00"/>
    <n v="5.16"/>
    <n v="9.1122158362924175"/>
    <n v="3.3"/>
    <n v="4.5"/>
    <n v="1"/>
  </r>
  <r>
    <x v="60"/>
    <n v="0"/>
    <x v="10"/>
    <n v="5"/>
    <s v="MAI"/>
    <n v="0"/>
    <x v="10"/>
    <n v="0"/>
    <s v="14 - 15"/>
    <s v=""/>
    <n v="0"/>
    <n v="0"/>
    <n v="0"/>
    <n v="0"/>
    <n v="0"/>
  </r>
  <r>
    <x v="60"/>
    <n v="0"/>
    <x v="10"/>
    <n v="5"/>
    <s v="MAI"/>
    <n v="0"/>
    <x v="10"/>
    <n v="0"/>
    <e v="#N/A"/>
    <s v=""/>
    <n v="0"/>
    <n v="0"/>
    <n v="0"/>
    <n v="0"/>
    <n v="0"/>
  </r>
  <r>
    <x v="60"/>
    <n v="0"/>
    <x v="10"/>
    <n v="5"/>
    <s v="MAI"/>
    <n v="0"/>
    <x v="10"/>
    <n v="0"/>
    <e v="#N/A"/>
    <s v=""/>
    <n v="0"/>
    <n v="0"/>
    <n v="0"/>
    <n v="0"/>
    <n v="0"/>
  </r>
  <r>
    <x v="61"/>
    <s v="#LI2Z7ZAQ1 "/>
    <x v="10"/>
    <n v="5"/>
    <s v="MAI"/>
    <n v="0"/>
    <x v="10"/>
    <n v="0"/>
    <s v="14 - 15"/>
    <d v="1899-12-30T00:56:00"/>
    <n v="4.3899999999999997"/>
    <n v="7.7524471940549828"/>
    <n v="4.05"/>
    <n v="4.3392857142857171"/>
    <n v="1"/>
  </r>
  <r>
    <x v="61"/>
    <n v="0"/>
    <x v="10"/>
    <n v="5"/>
    <s v="MAI"/>
    <n v="0"/>
    <x v="10"/>
    <n v="0"/>
    <s v="15 - 16"/>
    <s v=""/>
    <n v="0"/>
    <n v="0"/>
    <n v="0"/>
    <n v="0"/>
    <n v="0"/>
  </r>
  <r>
    <x v="61"/>
    <n v="0"/>
    <x v="10"/>
    <n v="5"/>
    <s v="MAI"/>
    <n v="0"/>
    <x v="10"/>
    <n v="0"/>
    <e v="#N/A"/>
    <s v=""/>
    <n v="0"/>
    <n v="0"/>
    <n v="0"/>
    <n v="0"/>
    <n v="0"/>
  </r>
  <r>
    <x v="61"/>
    <n v="0"/>
    <x v="10"/>
    <n v="5"/>
    <s v="MAI"/>
    <n v="0"/>
    <x v="10"/>
    <n v="0"/>
    <e v="#N/A"/>
    <s v=""/>
    <n v="0"/>
    <n v="0"/>
    <n v="0"/>
    <n v="0"/>
    <n v="0"/>
  </r>
  <r>
    <x v="62"/>
    <s v="#LIAKK1XN1 "/>
    <x v="10"/>
    <n v="5"/>
    <s v="MAI"/>
    <n v="0"/>
    <x v="10"/>
    <n v="0"/>
    <s v="19 - 20"/>
    <d v="1899-12-30T00:37:00"/>
    <n v="9.57"/>
    <n v="16.899981696379545"/>
    <n v="4.93"/>
    <n v="7.994594594594588"/>
    <n v="1"/>
  </r>
  <r>
    <x v="62"/>
    <n v="0"/>
    <x v="10"/>
    <n v="5"/>
    <s v="MAI"/>
    <n v="0"/>
    <x v="10"/>
    <n v="0"/>
    <s v="20 - 21"/>
    <s v=""/>
    <n v="0"/>
    <n v="0"/>
    <n v="0"/>
    <n v="0"/>
    <n v="0"/>
  </r>
  <r>
    <x v="62"/>
    <n v="0"/>
    <x v="10"/>
    <n v="5"/>
    <s v="MAI"/>
    <n v="0"/>
    <x v="10"/>
    <n v="0"/>
    <e v="#N/A"/>
    <s v=""/>
    <n v="0"/>
    <n v="0"/>
    <n v="0"/>
    <n v="0"/>
    <n v="0"/>
  </r>
  <r>
    <x v="62"/>
    <n v="0"/>
    <x v="10"/>
    <n v="5"/>
    <s v="MAI"/>
    <n v="0"/>
    <x v="10"/>
    <n v="0"/>
    <e v="#N/A"/>
    <s v=""/>
    <n v="0"/>
    <n v="0"/>
    <n v="0"/>
    <n v="0"/>
    <n v="0"/>
  </r>
  <r>
    <x v="63"/>
    <s v="#LIVQRUHEQ "/>
    <x v="10"/>
    <n v="5"/>
    <s v="MAI"/>
    <n v="0"/>
    <x v="10"/>
    <n v="0"/>
    <s v="20 - 21"/>
    <d v="1899-12-30T00:40:00"/>
    <n v="5.68"/>
    <n v="10.030501153128087"/>
    <n v="3.6"/>
    <n v="5.3999999999999977"/>
    <n v="1"/>
  </r>
  <r>
    <x v="63"/>
    <n v="0"/>
    <x v="10"/>
    <n v="5"/>
    <s v="MAI"/>
    <n v="0"/>
    <x v="10"/>
    <n v="0"/>
    <s v="21 - 22"/>
    <s v=""/>
    <n v="0"/>
    <n v="0"/>
    <n v="0"/>
    <n v="0"/>
    <n v="0"/>
  </r>
  <r>
    <x v="63"/>
    <n v="0"/>
    <x v="10"/>
    <n v="5"/>
    <s v="MAI"/>
    <n v="0"/>
    <x v="10"/>
    <n v="0"/>
    <e v="#N/A"/>
    <s v=""/>
    <n v="0"/>
    <n v="0"/>
    <n v="0"/>
    <n v="0"/>
    <n v="0"/>
  </r>
  <r>
    <x v="63"/>
    <n v="0"/>
    <x v="10"/>
    <n v="5"/>
    <s v="MAI"/>
    <n v="0"/>
    <x v="10"/>
    <n v="0"/>
    <e v="#N/A"/>
    <s v=""/>
    <n v="0"/>
    <n v="0"/>
    <n v="0"/>
    <n v="0"/>
    <n v="0"/>
  </r>
  <r>
    <x v="64"/>
    <s v="#LIMJMXRBP "/>
    <x v="10"/>
    <n v="5"/>
    <s v="MAI"/>
    <n v="0"/>
    <x v="10"/>
    <n v="0"/>
    <s v="21 - 22"/>
    <d v="1899-12-30T00:27:00"/>
    <n v="5.78"/>
    <n v="10.207094483288794"/>
    <n v="3.52"/>
    <n v="7.8222222222222033"/>
    <n v="1"/>
  </r>
  <r>
    <x v="64"/>
    <n v="0"/>
    <x v="10"/>
    <n v="5"/>
    <s v="MAI"/>
    <n v="0"/>
    <x v="10"/>
    <n v="0"/>
    <s v="21 - 22"/>
    <s v=""/>
    <n v="0"/>
    <n v="0"/>
    <n v="0"/>
    <n v="0"/>
    <n v="0"/>
  </r>
  <r>
    <x v="64"/>
    <n v="0"/>
    <x v="10"/>
    <n v="5"/>
    <s v="MAI"/>
    <n v="0"/>
    <x v="10"/>
    <n v="0"/>
    <e v="#N/A"/>
    <s v=""/>
    <n v="0"/>
    <n v="0"/>
    <n v="0"/>
    <n v="0"/>
    <n v="0"/>
  </r>
  <r>
    <x v="64"/>
    <n v="0"/>
    <x v="10"/>
    <n v="5"/>
    <s v="MAI"/>
    <n v="0"/>
    <x v="10"/>
    <n v="0"/>
    <e v="#N/A"/>
    <s v=""/>
    <n v="0"/>
    <n v="0"/>
    <n v="0"/>
    <n v="0"/>
    <n v="0"/>
  </r>
  <r>
    <x v="65"/>
    <s v="#LI14LCRJ6 "/>
    <x v="10"/>
    <n v="5"/>
    <s v="MAI"/>
    <n v="0"/>
    <x v="10"/>
    <n v="0"/>
    <s v="21 - 22"/>
    <d v="1899-12-30T01:12:00"/>
    <n v="5.51"/>
    <n v="9.7302924918548879"/>
    <n v="5.23"/>
    <n v="4.3583333333333298"/>
    <n v="1"/>
  </r>
  <r>
    <x v="65"/>
    <n v="0"/>
    <x v="10"/>
    <n v="5"/>
    <s v="MAI"/>
    <n v="0"/>
    <x v="10"/>
    <n v="0"/>
    <s v="23 - 24"/>
    <s v=""/>
    <n v="0"/>
    <n v="0"/>
    <n v="0"/>
    <n v="0"/>
    <n v="0"/>
  </r>
  <r>
    <x v="65"/>
    <n v="0"/>
    <x v="10"/>
    <n v="5"/>
    <s v="MAI"/>
    <n v="0"/>
    <x v="10"/>
    <n v="0"/>
    <e v="#N/A"/>
    <s v=""/>
    <n v="0"/>
    <n v="0"/>
    <n v="0"/>
    <n v="0"/>
    <n v="0"/>
  </r>
  <r>
    <x v="66"/>
    <s v="#LIU1H1NWU "/>
    <x v="11"/>
    <n v="5"/>
    <s v="MAI"/>
    <s v="MAI"/>
    <x v="11"/>
    <n v="18"/>
    <s v="12 - 13"/>
    <d v="1899-12-30T00:42:00"/>
    <n v="5.71"/>
    <n v="10.083479152176301"/>
    <n v="3.57"/>
    <n v="5.1000000000000183"/>
    <n v="1"/>
  </r>
  <r>
    <x v="66"/>
    <n v="0"/>
    <x v="11"/>
    <n v="5"/>
    <s v="MAI"/>
    <n v="0"/>
    <x v="11"/>
    <n v="0"/>
    <s v="13 - 14"/>
    <s v=""/>
    <n v="0"/>
    <n v="0"/>
    <n v="0"/>
    <n v="0"/>
    <n v="0"/>
  </r>
  <r>
    <x v="66"/>
    <n v="0"/>
    <x v="11"/>
    <n v="5"/>
    <s v="MAI"/>
    <n v="0"/>
    <x v="11"/>
    <n v="0"/>
    <e v="#N/A"/>
    <s v=""/>
    <n v="0"/>
    <n v="0"/>
    <n v="0"/>
    <n v="0"/>
    <n v="0"/>
  </r>
  <r>
    <x v="66"/>
    <n v="0"/>
    <x v="11"/>
    <n v="5"/>
    <s v="MAI"/>
    <n v="0"/>
    <x v="11"/>
    <n v="0"/>
    <e v="#N/A"/>
    <s v=""/>
    <n v="0"/>
    <n v="0"/>
    <n v="0"/>
    <n v="0"/>
    <n v="0"/>
  </r>
  <r>
    <x v="67"/>
    <s v="#LIHBWSEH1 "/>
    <x v="11"/>
    <n v="5"/>
    <s v="MAI"/>
    <n v="0"/>
    <x v="11"/>
    <n v="0"/>
    <s v="20 - 21"/>
    <d v="1899-12-30T00:50:00"/>
    <n v="2.9"/>
    <n v="5.1212065746604676"/>
    <n v="3.6"/>
    <n v="4.3200000000000021"/>
    <n v="1"/>
  </r>
  <r>
    <x v="67"/>
    <n v="0"/>
    <x v="11"/>
    <n v="5"/>
    <s v="MAI"/>
    <n v="0"/>
    <x v="11"/>
    <n v="0"/>
    <s v="21 - 22"/>
    <s v=""/>
    <n v="0"/>
    <n v="0"/>
    <n v="0"/>
    <n v="0"/>
    <n v="0"/>
  </r>
  <r>
    <x v="67"/>
    <n v="0"/>
    <x v="11"/>
    <n v="5"/>
    <s v="MAI"/>
    <n v="0"/>
    <x v="11"/>
    <n v="0"/>
    <e v="#N/A"/>
    <s v=""/>
    <n v="0"/>
    <n v="0"/>
    <n v="0"/>
    <n v="0"/>
    <n v="0"/>
  </r>
  <r>
    <x v="67"/>
    <n v="0"/>
    <x v="11"/>
    <n v="5"/>
    <s v="MAI"/>
    <n v="0"/>
    <x v="11"/>
    <n v="0"/>
    <e v="#N/A"/>
    <s v=""/>
    <n v="0"/>
    <n v="0"/>
    <n v="0"/>
    <n v="0"/>
    <n v="0"/>
  </r>
  <r>
    <x v="68"/>
    <s v="#LINL6ZBF9 "/>
    <x v="11"/>
    <n v="5"/>
    <s v="MAI"/>
    <n v="0"/>
    <x v="11"/>
    <n v="0"/>
    <s v="21 - 22"/>
    <d v="1899-12-30T00:24:00"/>
    <n v="2.52"/>
    <n v="4.4501519200497857"/>
    <n v="2.48"/>
    <n v="6.2000000000000215"/>
    <n v="1"/>
  </r>
  <r>
    <x v="68"/>
    <n v="0"/>
    <x v="11"/>
    <n v="5"/>
    <s v="MAI"/>
    <n v="0"/>
    <x v="11"/>
    <n v="0"/>
    <s v="21 - 22"/>
    <s v=""/>
    <n v="0"/>
    <n v="0"/>
    <n v="0"/>
    <n v="0"/>
    <n v="0"/>
  </r>
  <r>
    <x v="68"/>
    <n v="0"/>
    <x v="11"/>
    <n v="5"/>
    <s v="MAI"/>
    <n v="0"/>
    <x v="11"/>
    <n v="0"/>
    <e v="#N/A"/>
    <s v=""/>
    <n v="0"/>
    <n v="0"/>
    <n v="0"/>
    <n v="0"/>
    <n v="0"/>
  </r>
  <r>
    <x v="68"/>
    <n v="0"/>
    <x v="11"/>
    <n v="5"/>
    <s v="MAI"/>
    <n v="0"/>
    <x v="11"/>
    <n v="0"/>
    <e v="#N/A"/>
    <s v=""/>
    <n v="0"/>
    <n v="0"/>
    <n v="0"/>
    <n v="0"/>
    <n v="0"/>
  </r>
  <r>
    <x v="69"/>
    <s v="#LILV1DC1T "/>
    <x v="11"/>
    <n v="5"/>
    <s v="MAI"/>
    <n v="0"/>
    <x v="11"/>
    <n v="0"/>
    <s v="21 - 22"/>
    <d v="1899-12-30T00:29:00"/>
    <n v="4.4800000000000004"/>
    <n v="7.9113811911996192"/>
    <n v="3.06"/>
    <n v="6.331034482758608"/>
    <n v="1"/>
  </r>
  <r>
    <x v="69"/>
    <n v="0"/>
    <x v="11"/>
    <n v="5"/>
    <s v="MAI"/>
    <n v="0"/>
    <x v="11"/>
    <n v="0"/>
    <s v="21 - 22"/>
    <s v=""/>
    <n v="0"/>
    <n v="0"/>
    <n v="0"/>
    <n v="0"/>
    <n v="0"/>
  </r>
  <r>
    <x v="69"/>
    <n v="0"/>
    <x v="11"/>
    <n v="5"/>
    <s v="MAI"/>
    <n v="0"/>
    <x v="11"/>
    <n v="0"/>
    <e v="#N/A"/>
    <s v=""/>
    <n v="0"/>
    <n v="0"/>
    <n v="0"/>
    <n v="0"/>
    <n v="0"/>
  </r>
  <r>
    <x v="69"/>
    <n v="0"/>
    <x v="11"/>
    <n v="5"/>
    <s v="MAI"/>
    <n v="0"/>
    <x v="11"/>
    <n v="0"/>
    <e v="#N/A"/>
    <s v=""/>
    <n v="0"/>
    <n v="0"/>
    <n v="0"/>
    <n v="0"/>
    <n v="0"/>
  </r>
  <r>
    <x v="70"/>
    <s v="#LIFUKKG8B "/>
    <x v="11"/>
    <n v="5"/>
    <s v="MAI"/>
    <n v="0"/>
    <x v="11"/>
    <n v="0"/>
    <s v="21 - 22"/>
    <d v="1899-12-30T00:38:00"/>
    <n v="7.71"/>
    <n v="13.615345755390415"/>
    <n v="4.46"/>
    <n v="7.0421052631578904"/>
    <n v="1"/>
  </r>
  <r>
    <x v="70"/>
    <n v="0"/>
    <x v="11"/>
    <n v="5"/>
    <s v="MAI"/>
    <n v="0"/>
    <x v="11"/>
    <n v="0"/>
    <s v="22 - 23"/>
    <s v=""/>
    <n v="0"/>
    <n v="0"/>
    <n v="0"/>
    <n v="0"/>
    <n v="0"/>
  </r>
  <r>
    <x v="70"/>
    <n v="0"/>
    <x v="11"/>
    <n v="5"/>
    <s v="MAI"/>
    <n v="0"/>
    <x v="11"/>
    <n v="0"/>
    <e v="#N/A"/>
    <s v=""/>
    <n v="0"/>
    <n v="0"/>
    <n v="0"/>
    <n v="0"/>
    <n v="0"/>
  </r>
  <r>
    <x v="70"/>
    <n v="0"/>
    <x v="11"/>
    <n v="5"/>
    <s v="MAI"/>
    <n v="0"/>
    <x v="11"/>
    <n v="0"/>
    <e v="#N/A"/>
    <s v=""/>
    <n v="0"/>
    <n v="0"/>
    <n v="0"/>
    <n v="0"/>
    <n v="0"/>
  </r>
  <r>
    <x v="71"/>
    <s v="#LICEZULYB "/>
    <x v="11"/>
    <n v="5"/>
    <s v="MAI"/>
    <n v="0"/>
    <x v="11"/>
    <n v="0"/>
    <s v="22 - 23"/>
    <d v="1899-12-30T00:46:00"/>
    <n v="5.78"/>
    <n v="10.207094483288794"/>
    <n v="4.04"/>
    <n v="5.2695652173912855"/>
    <n v="1"/>
  </r>
  <r>
    <x v="71"/>
    <n v="0"/>
    <x v="11"/>
    <n v="5"/>
    <s v="MAI"/>
    <n v="0"/>
    <x v="11"/>
    <n v="0"/>
    <s v="23 - 24"/>
    <s v=""/>
    <n v="0"/>
    <n v="0"/>
    <n v="0"/>
    <n v="0"/>
    <n v="0"/>
  </r>
  <r>
    <x v="71"/>
    <n v="0"/>
    <x v="11"/>
    <n v="5"/>
    <s v="MAI"/>
    <n v="0"/>
    <x v="11"/>
    <n v="0"/>
    <e v="#N/A"/>
    <s v=""/>
    <n v="0"/>
    <n v="0"/>
    <n v="0"/>
    <n v="0"/>
    <n v="0"/>
  </r>
  <r>
    <x v="72"/>
    <s v="#LI125JF9K "/>
    <x v="12"/>
    <n v="5"/>
    <s v="MAI"/>
    <s v="MAI"/>
    <x v="12"/>
    <n v="19"/>
    <s v="19 - 20"/>
    <d v="1899-12-30T00:30:00"/>
    <n v="5.28"/>
    <n v="9.3241278324852654"/>
    <n v="3.51"/>
    <n v="7.0200000000000244"/>
    <n v="1"/>
  </r>
  <r>
    <x v="72"/>
    <n v="0"/>
    <x v="12"/>
    <n v="5"/>
    <s v="MAI"/>
    <n v="0"/>
    <x v="12"/>
    <n v="0"/>
    <s v="19 - 20"/>
    <s v=""/>
    <n v="0"/>
    <n v="0"/>
    <n v="0"/>
    <n v="0"/>
    <n v="0"/>
  </r>
  <r>
    <x v="72"/>
    <n v="0"/>
    <x v="12"/>
    <n v="5"/>
    <s v="MAI"/>
    <n v="0"/>
    <x v="12"/>
    <n v="0"/>
    <e v="#N/A"/>
    <s v=""/>
    <n v="0"/>
    <n v="0"/>
    <n v="0"/>
    <n v="0"/>
    <n v="0"/>
  </r>
  <r>
    <x v="72"/>
    <n v="0"/>
    <x v="12"/>
    <n v="5"/>
    <s v="MAI"/>
    <n v="0"/>
    <x v="12"/>
    <n v="0"/>
    <e v="#N/A"/>
    <s v=""/>
    <n v="0"/>
    <n v="0"/>
    <n v="0"/>
    <n v="0"/>
    <n v="0"/>
  </r>
  <r>
    <x v="73"/>
    <s v="#LILKLNU8K "/>
    <x v="12"/>
    <n v="5"/>
    <s v="MAI"/>
    <n v="0"/>
    <x v="12"/>
    <n v="0"/>
    <s v="20 - 21"/>
    <d v="1899-12-30T00:31:00"/>
    <n v="6.33"/>
    <n v="11.178357799172675"/>
    <n v="4.4800000000000004"/>
    <n v="8.6709677419354705"/>
    <n v="1"/>
  </r>
  <r>
    <x v="73"/>
    <n v="0"/>
    <x v="12"/>
    <n v="5"/>
    <s v="MAI"/>
    <n v="0"/>
    <x v="12"/>
    <n v="0"/>
    <s v="20 - 21"/>
    <s v=""/>
    <n v="0"/>
    <n v="0"/>
    <n v="0"/>
    <n v="0"/>
    <n v="0"/>
  </r>
  <r>
    <x v="73"/>
    <n v="0"/>
    <x v="12"/>
    <n v="5"/>
    <s v="MAI"/>
    <n v="0"/>
    <x v="12"/>
    <n v="0"/>
    <e v="#N/A"/>
    <s v=""/>
    <n v="0"/>
    <n v="0"/>
    <n v="0"/>
    <n v="0"/>
    <n v="0"/>
  </r>
  <r>
    <x v="73"/>
    <n v="0"/>
    <x v="12"/>
    <n v="5"/>
    <s v="MAI"/>
    <n v="0"/>
    <x v="12"/>
    <n v="0"/>
    <e v="#N/A"/>
    <s v=""/>
    <n v="0"/>
    <n v="0"/>
    <n v="0"/>
    <n v="0"/>
    <n v="0"/>
  </r>
  <r>
    <x v="74"/>
    <s v="#LIU1XFQ7R "/>
    <x v="12"/>
    <n v="5"/>
    <s v="MAI"/>
    <n v="0"/>
    <x v="12"/>
    <n v="0"/>
    <s v="20 - 21"/>
    <d v="1899-12-30T00:32:00"/>
    <n v="8.56"/>
    <n v="15.116389061756415"/>
    <n v="5.52"/>
    <n v="10.349999999999984"/>
    <n v="1"/>
  </r>
  <r>
    <x v="74"/>
    <n v="0"/>
    <x v="12"/>
    <n v="5"/>
    <s v="MAI"/>
    <n v="0"/>
    <x v="12"/>
    <n v="0"/>
    <s v="21 - 22"/>
    <s v=""/>
    <n v="0"/>
    <n v="0"/>
    <n v="0"/>
    <n v="0"/>
    <n v="0"/>
  </r>
  <r>
    <x v="74"/>
    <n v="0"/>
    <x v="12"/>
    <n v="5"/>
    <s v="MAI"/>
    <n v="0"/>
    <x v="12"/>
    <n v="0"/>
    <e v="#N/A"/>
    <s v=""/>
    <n v="0"/>
    <n v="0"/>
    <n v="0"/>
    <n v="0"/>
    <n v="0"/>
  </r>
  <r>
    <x v="74"/>
    <n v="0"/>
    <x v="12"/>
    <n v="5"/>
    <s v="MAI"/>
    <n v="0"/>
    <x v="12"/>
    <n v="0"/>
    <e v="#N/A"/>
    <s v=""/>
    <n v="0"/>
    <n v="0"/>
    <n v="0"/>
    <n v="0"/>
    <n v="0"/>
  </r>
  <r>
    <x v="75"/>
    <s v="#LIYRWTXDB "/>
    <x v="12"/>
    <n v="5"/>
    <s v="MAI"/>
    <n v="0"/>
    <x v="12"/>
    <n v="0"/>
    <s v="21 - 22"/>
    <d v="1899-12-30T00:45:00"/>
    <n v="3.63"/>
    <n v="6.4103378848336199"/>
    <n v="4.0199999999999996"/>
    <n v="5.3599999999999994"/>
    <n v="1"/>
  </r>
  <r>
    <x v="75"/>
    <n v="0"/>
    <x v="12"/>
    <n v="5"/>
    <s v="MAI"/>
    <n v="0"/>
    <x v="12"/>
    <n v="0"/>
    <s v="21 - 22"/>
    <s v=""/>
    <n v="0"/>
    <n v="0"/>
    <n v="0"/>
    <n v="0"/>
    <n v="0"/>
  </r>
  <r>
    <x v="75"/>
    <n v="0"/>
    <x v="12"/>
    <n v="5"/>
    <s v="MAI"/>
    <n v="0"/>
    <x v="12"/>
    <n v="0"/>
    <e v="#N/A"/>
    <s v=""/>
    <n v="0"/>
    <n v="0"/>
    <n v="0"/>
    <n v="0"/>
    <n v="0"/>
  </r>
  <r>
    <x v="75"/>
    <n v="0"/>
    <x v="12"/>
    <n v="5"/>
    <s v="MAI"/>
    <n v="0"/>
    <x v="12"/>
    <n v="0"/>
    <e v="#N/A"/>
    <s v=""/>
    <n v="0"/>
    <n v="0"/>
    <n v="0"/>
    <n v="0"/>
    <n v="0"/>
  </r>
  <r>
    <x v="76"/>
    <s v="#LIQH17AMF "/>
    <x v="12"/>
    <n v="5"/>
    <s v="MAI"/>
    <n v="0"/>
    <x v="12"/>
    <n v="0"/>
    <s v="22 - 23"/>
    <d v="1899-12-30T01:04:00"/>
    <n v="4.8099999999999996"/>
    <n v="8.4941391807299471"/>
    <n v="3.18"/>
    <n v="2.9812500000000033"/>
    <n v="1"/>
  </r>
  <r>
    <x v="76"/>
    <n v="0"/>
    <x v="12"/>
    <n v="5"/>
    <s v="MAI"/>
    <n v="0"/>
    <x v="12"/>
    <n v="0"/>
    <s v="23 - 24"/>
    <s v=""/>
    <n v="0"/>
    <n v="0"/>
    <n v="0"/>
    <n v="0"/>
    <n v="0"/>
  </r>
  <r>
    <x v="76"/>
    <n v="0"/>
    <x v="12"/>
    <n v="5"/>
    <s v="MAI"/>
    <n v="0"/>
    <x v="12"/>
    <n v="0"/>
    <e v="#N/A"/>
    <s v=""/>
    <n v="0"/>
    <n v="0"/>
    <n v="0"/>
    <n v="0"/>
    <n v="0"/>
  </r>
  <r>
    <x v="76"/>
    <n v="0"/>
    <x v="12"/>
    <n v="5"/>
    <s v="MAI"/>
    <n v="0"/>
    <x v="12"/>
    <n v="0"/>
    <e v="#N/A"/>
    <s v=""/>
    <n v="0"/>
    <n v="0"/>
    <n v="0"/>
    <n v="0"/>
    <n v="0"/>
  </r>
  <r>
    <x v="77"/>
    <s v="#LIUFSZFDF "/>
    <x v="12"/>
    <n v="5"/>
    <s v="MAI"/>
    <n v="0"/>
    <x v="12"/>
    <n v="0"/>
    <s v="22 - 23"/>
    <d v="1899-12-30T00:13:00"/>
    <n v="8.42"/>
    <n v="14.869158399531425"/>
    <n v="4.4400000000000004"/>
    <n v="20.492307692307765"/>
    <n v="1"/>
  </r>
  <r>
    <x v="77"/>
    <n v="0"/>
    <x v="12"/>
    <n v="5"/>
    <s v="MAI"/>
    <n v="0"/>
    <x v="12"/>
    <n v="0"/>
    <s v="22 - 23"/>
    <s v=""/>
    <n v="0"/>
    <n v="0"/>
    <n v="0"/>
    <n v="0"/>
    <n v="0"/>
  </r>
  <r>
    <x v="77"/>
    <n v="0"/>
    <x v="12"/>
    <n v="5"/>
    <s v="MAI"/>
    <n v="0"/>
    <x v="12"/>
    <n v="0"/>
    <e v="#N/A"/>
    <s v=""/>
    <n v="0"/>
    <n v="0"/>
    <n v="0"/>
    <n v="0"/>
    <n v="0"/>
  </r>
  <r>
    <x v="77"/>
    <n v="0"/>
    <x v="12"/>
    <n v="5"/>
    <s v="MAI"/>
    <n v="0"/>
    <x v="12"/>
    <n v="0"/>
    <e v="#N/A"/>
    <s v=""/>
    <n v="0"/>
    <n v="0"/>
    <n v="0"/>
    <n v="0"/>
    <n v="0"/>
  </r>
  <r>
    <x v="78"/>
    <s v="#LIABQ9ABZ "/>
    <x v="12"/>
    <n v="5"/>
    <s v="MAI"/>
    <n v="0"/>
    <x v="12"/>
    <n v="0"/>
    <s v="23 - 24"/>
    <d v="1899-12-30T00:47:00"/>
    <n v="6.94"/>
    <n v="12.255577113152981"/>
    <n v="3.92"/>
    <n v="5.0042553191489372"/>
    <n v="1"/>
  </r>
  <r>
    <x v="78"/>
    <n v="0"/>
    <x v="12"/>
    <n v="5"/>
    <s v="MAI"/>
    <n v="0"/>
    <x v="12"/>
    <n v="0"/>
    <s v="23 - 24"/>
    <s v=""/>
    <n v="0"/>
    <n v="0"/>
    <n v="0"/>
    <n v="0"/>
    <n v="0"/>
  </r>
  <r>
    <x v="78"/>
    <n v="0"/>
    <x v="12"/>
    <n v="5"/>
    <s v="MAI"/>
    <n v="0"/>
    <x v="12"/>
    <n v="0"/>
    <e v="#N/A"/>
    <s v=""/>
    <n v="0"/>
    <n v="0"/>
    <n v="0"/>
    <n v="0"/>
    <n v="0"/>
  </r>
  <r>
    <x v="79"/>
    <s v="#LIYXKY5MZ "/>
    <x v="13"/>
    <n v="5"/>
    <s v="MAI"/>
    <s v="MAI"/>
    <x v="13"/>
    <n v="20"/>
    <s v="12 - 13"/>
    <d v="1899-12-30T00:40:00"/>
    <n v="3.91"/>
    <n v="6.9047992092835964"/>
    <n v="2.86"/>
    <n v="4.2899999999999814"/>
    <n v="1"/>
  </r>
  <r>
    <x v="79"/>
    <n v="0"/>
    <x v="13"/>
    <n v="5"/>
    <s v="MAI"/>
    <n v="0"/>
    <x v="13"/>
    <n v="0"/>
    <s v="13 - 14"/>
    <s v=""/>
    <n v="0"/>
    <n v="0"/>
    <n v="0"/>
    <n v="0"/>
    <n v="0"/>
  </r>
  <r>
    <x v="79"/>
    <n v="0"/>
    <x v="13"/>
    <n v="5"/>
    <s v="MAI"/>
    <n v="0"/>
    <x v="13"/>
    <n v="0"/>
    <e v="#N/A"/>
    <s v=""/>
    <n v="0"/>
    <n v="0"/>
    <n v="0"/>
    <n v="0"/>
    <n v="0"/>
  </r>
  <r>
    <x v="79"/>
    <n v="0"/>
    <x v="13"/>
    <n v="5"/>
    <s v="MAI"/>
    <n v="0"/>
    <x v="13"/>
    <n v="0"/>
    <e v="#N/A"/>
    <s v=""/>
    <n v="0"/>
    <n v="0"/>
    <n v="0"/>
    <n v="0"/>
    <n v="0"/>
  </r>
  <r>
    <x v="80"/>
    <s v="#LI153UEVM "/>
    <x v="13"/>
    <n v="5"/>
    <s v="MAI"/>
    <n v="0"/>
    <x v="13"/>
    <n v="0"/>
    <s v="13 - 14"/>
    <d v="1899-12-30T00:29:00"/>
    <n v="6.19"/>
    <n v="10.931127136947689"/>
    <n v="3.66"/>
    <n v="7.5724137931034754"/>
    <n v="1"/>
  </r>
  <r>
    <x v="80"/>
    <n v="0"/>
    <x v="13"/>
    <n v="5"/>
    <s v="MAI"/>
    <n v="0"/>
    <x v="13"/>
    <n v="0"/>
    <s v="13 - 14"/>
    <s v=""/>
    <n v="0"/>
    <n v="0"/>
    <n v="0"/>
    <n v="0"/>
    <n v="0"/>
  </r>
  <r>
    <x v="80"/>
    <n v="0"/>
    <x v="13"/>
    <n v="5"/>
    <s v="MAI"/>
    <n v="0"/>
    <x v="13"/>
    <n v="0"/>
    <e v="#N/A"/>
    <s v=""/>
    <n v="0"/>
    <n v="0"/>
    <n v="0"/>
    <n v="0"/>
    <n v="0"/>
  </r>
  <r>
    <x v="80"/>
    <n v="0"/>
    <x v="13"/>
    <n v="5"/>
    <s v="MAI"/>
    <n v="0"/>
    <x v="13"/>
    <n v="0"/>
    <e v="#N/A"/>
    <s v=""/>
    <n v="0"/>
    <n v="0"/>
    <n v="0"/>
    <n v="0"/>
    <n v="0"/>
  </r>
  <r>
    <x v="81"/>
    <s v="#LI81RZUM1 "/>
    <x v="13"/>
    <n v="5"/>
    <s v="MAI"/>
    <n v="0"/>
    <x v="13"/>
    <n v="0"/>
    <s v="14 - 15"/>
    <d v="1899-12-30T01:02:00"/>
    <n v="3.48"/>
    <n v="6.1454478895925613"/>
    <n v="2.71"/>
    <n v="2.622580645161293"/>
    <n v="1"/>
  </r>
  <r>
    <x v="81"/>
    <n v="0"/>
    <x v="13"/>
    <n v="5"/>
    <s v="MAI"/>
    <n v="0"/>
    <x v="13"/>
    <n v="0"/>
    <s v="15 - 16"/>
    <s v=""/>
    <n v="0"/>
    <n v="0"/>
    <n v="0"/>
    <n v="0"/>
    <n v="0"/>
  </r>
  <r>
    <x v="81"/>
    <n v="0"/>
    <x v="13"/>
    <n v="5"/>
    <s v="MAI"/>
    <n v="0"/>
    <x v="13"/>
    <n v="0"/>
    <e v="#N/A"/>
    <s v=""/>
    <n v="0"/>
    <n v="0"/>
    <n v="0"/>
    <n v="0"/>
    <n v="0"/>
  </r>
  <r>
    <x v="81"/>
    <n v="0"/>
    <x v="13"/>
    <n v="5"/>
    <s v="MAI"/>
    <n v="0"/>
    <x v="13"/>
    <n v="0"/>
    <e v="#N/A"/>
    <s v=""/>
    <n v="0"/>
    <n v="0"/>
    <n v="0"/>
    <n v="0"/>
    <n v="0"/>
  </r>
  <r>
    <x v="82"/>
    <s v="#LILFGDLUK "/>
    <x v="13"/>
    <n v="5"/>
    <s v="MAI"/>
    <n v="0"/>
    <x v="13"/>
    <n v="0"/>
    <s v="19 - 20"/>
    <d v="1899-12-30T00:37:00"/>
    <n v="4.83"/>
    <n v="8.5294578467620887"/>
    <n v="3.19"/>
    <n v="5.172972972973013"/>
    <n v="1"/>
  </r>
  <r>
    <x v="82"/>
    <n v="0"/>
    <x v="13"/>
    <n v="5"/>
    <s v="MAI"/>
    <n v="0"/>
    <x v="13"/>
    <n v="0"/>
    <s v="20 - 21"/>
    <s v=""/>
    <n v="0"/>
    <n v="0"/>
    <n v="0"/>
    <n v="0"/>
    <n v="0"/>
  </r>
  <r>
    <x v="82"/>
    <n v="0"/>
    <x v="13"/>
    <n v="5"/>
    <s v="MAI"/>
    <n v="0"/>
    <x v="13"/>
    <n v="0"/>
    <e v="#N/A"/>
    <s v=""/>
    <n v="0"/>
    <n v="0"/>
    <n v="0"/>
    <n v="0"/>
    <n v="0"/>
  </r>
  <r>
    <x v="82"/>
    <n v="0"/>
    <x v="13"/>
    <n v="5"/>
    <s v="MAI"/>
    <n v="0"/>
    <x v="13"/>
    <n v="0"/>
    <e v="#N/A"/>
    <s v=""/>
    <n v="0"/>
    <n v="0"/>
    <n v="0"/>
    <n v="0"/>
    <n v="0"/>
  </r>
  <r>
    <x v="83"/>
    <s v="#LIHZLBKWM "/>
    <x v="13"/>
    <n v="5"/>
    <s v="MAI"/>
    <n v="0"/>
    <x v="13"/>
    <n v="0"/>
    <s v="20 - 21"/>
    <d v="1899-12-30T00:28:00"/>
    <n v="5.22"/>
    <n v="9.2181718343888406"/>
    <n v="3.98"/>
    <n v="8.528571428571361"/>
    <n v="1"/>
  </r>
  <r>
    <x v="83"/>
    <n v="0"/>
    <x v="13"/>
    <n v="5"/>
    <s v="MAI"/>
    <n v="0"/>
    <x v="13"/>
    <n v="0"/>
    <s v="20 - 21"/>
    <s v=""/>
    <n v="0"/>
    <n v="0"/>
    <n v="0"/>
    <n v="0"/>
    <n v="0"/>
  </r>
  <r>
    <x v="83"/>
    <n v="0"/>
    <x v="13"/>
    <n v="5"/>
    <s v="MAI"/>
    <n v="0"/>
    <x v="13"/>
    <n v="0"/>
    <e v="#N/A"/>
    <s v=""/>
    <n v="0"/>
    <n v="0"/>
    <n v="0"/>
    <n v="0"/>
    <n v="0"/>
  </r>
  <r>
    <x v="83"/>
    <n v="0"/>
    <x v="13"/>
    <n v="5"/>
    <s v="MAI"/>
    <n v="0"/>
    <x v="13"/>
    <n v="0"/>
    <e v="#N/A"/>
    <s v=""/>
    <n v="0"/>
    <n v="0"/>
    <n v="0"/>
    <n v="0"/>
    <n v="0"/>
  </r>
  <r>
    <x v="84"/>
    <s v="#LI2CZSYA1 "/>
    <x v="13"/>
    <n v="5"/>
    <s v="MAI"/>
    <n v="0"/>
    <x v="13"/>
    <n v="0"/>
    <s v="20 - 21"/>
    <d v="1899-12-30T00:43:00"/>
    <n v="7.7"/>
    <n v="13.597686422374345"/>
    <n v="5.0199999999999996"/>
    <n v="7.0046511627907222"/>
    <n v="1"/>
  </r>
  <r>
    <x v="84"/>
    <n v="0"/>
    <x v="13"/>
    <n v="5"/>
    <s v="MAI"/>
    <n v="0"/>
    <x v="13"/>
    <n v="0"/>
    <s v="21 - 22"/>
    <s v=""/>
    <n v="0"/>
    <n v="0"/>
    <n v="0"/>
    <n v="0"/>
    <n v="0"/>
  </r>
  <r>
    <x v="84"/>
    <n v="0"/>
    <x v="13"/>
    <n v="5"/>
    <s v="MAI"/>
    <n v="0"/>
    <x v="13"/>
    <n v="0"/>
    <e v="#N/A"/>
    <s v=""/>
    <n v="0"/>
    <n v="0"/>
    <n v="0"/>
    <n v="0"/>
    <n v="0"/>
  </r>
  <r>
    <x v="84"/>
    <n v="0"/>
    <x v="13"/>
    <n v="5"/>
    <s v="MAI"/>
    <n v="0"/>
    <x v="13"/>
    <n v="0"/>
    <e v="#N/A"/>
    <s v=""/>
    <n v="0"/>
    <n v="0"/>
    <n v="0"/>
    <n v="0"/>
    <n v="0"/>
  </r>
  <r>
    <x v="85"/>
    <s v="#LIF4LYCEE "/>
    <x v="13"/>
    <n v="5"/>
    <s v="MAI"/>
    <n v="0"/>
    <x v="13"/>
    <n v="0"/>
    <s v="21 - 22"/>
    <d v="1899-12-30T00:20:00"/>
    <n v="4.2"/>
    <n v="7.4169198667496428"/>
    <n v="3.86"/>
    <n v="11.57999999999995"/>
    <n v="1"/>
  </r>
  <r>
    <x v="85"/>
    <n v="0"/>
    <x v="13"/>
    <n v="5"/>
    <s v="MAI"/>
    <n v="0"/>
    <x v="13"/>
    <n v="0"/>
    <s v="21 - 22"/>
    <s v=""/>
    <n v="0"/>
    <n v="0"/>
    <n v="0"/>
    <n v="0"/>
    <n v="0"/>
  </r>
  <r>
    <x v="85"/>
    <n v="0"/>
    <x v="13"/>
    <n v="5"/>
    <s v="MAI"/>
    <n v="0"/>
    <x v="13"/>
    <n v="0"/>
    <e v="#N/A"/>
    <s v=""/>
    <n v="0"/>
    <n v="0"/>
    <n v="0"/>
    <n v="0"/>
    <n v="0"/>
  </r>
  <r>
    <x v="85"/>
    <n v="0"/>
    <x v="13"/>
    <n v="5"/>
    <s v="MAI"/>
    <n v="0"/>
    <x v="13"/>
    <n v="0"/>
    <e v="#N/A"/>
    <s v=""/>
    <n v="0"/>
    <n v="0"/>
    <n v="0"/>
    <n v="0"/>
    <n v="0"/>
  </r>
  <r>
    <x v="86"/>
    <s v="#LIUSYWLD9 "/>
    <x v="13"/>
    <n v="5"/>
    <s v="MAI"/>
    <n v="0"/>
    <x v="13"/>
    <n v="0"/>
    <s v="21 - 22"/>
    <d v="1899-12-30T00:39:00"/>
    <n v="12.14"/>
    <n v="21.438430281509682"/>
    <n v="7.54"/>
    <n v="11.599999999999994"/>
    <n v="1"/>
  </r>
  <r>
    <x v="86"/>
    <n v="0"/>
    <x v="13"/>
    <n v="5"/>
    <s v="MAI"/>
    <n v="0"/>
    <x v="13"/>
    <n v="0"/>
    <s v="22 - 23"/>
    <s v=""/>
    <n v="0"/>
    <n v="0"/>
    <n v="0"/>
    <n v="0"/>
    <n v="0"/>
  </r>
  <r>
    <x v="86"/>
    <n v="0"/>
    <x v="13"/>
    <n v="5"/>
    <s v="MAI"/>
    <n v="0"/>
    <x v="13"/>
    <n v="0"/>
    <e v="#N/A"/>
    <s v=""/>
    <n v="0"/>
    <n v="0"/>
    <n v="0"/>
    <n v="0"/>
    <n v="0"/>
  </r>
  <r>
    <x v="87"/>
    <s v="#LITCE4LVL "/>
    <x v="14"/>
    <n v="5"/>
    <s v="MAI"/>
    <s v="MAI"/>
    <x v="14"/>
    <n v="22"/>
    <s v="12 - 13"/>
    <d v="1899-12-30T01:04:00"/>
    <n v="5.67"/>
    <n v="10.012841820112017"/>
    <n v="3.72"/>
    <n v="3.4874999999999949"/>
    <n v="1"/>
  </r>
  <r>
    <x v="87"/>
    <n v="0"/>
    <x v="14"/>
    <n v="5"/>
    <s v="MAI"/>
    <n v="0"/>
    <x v="14"/>
    <n v="0"/>
    <s v="13 - 14"/>
    <s v=""/>
    <n v="0"/>
    <n v="0"/>
    <n v="0"/>
    <n v="0"/>
    <n v="0"/>
  </r>
  <r>
    <x v="87"/>
    <n v="0"/>
    <x v="14"/>
    <n v="5"/>
    <s v="MAI"/>
    <n v="0"/>
    <x v="14"/>
    <n v="0"/>
    <e v="#N/A"/>
    <s v=""/>
    <n v="0"/>
    <n v="0"/>
    <n v="0"/>
    <n v="0"/>
    <n v="0"/>
  </r>
  <r>
    <x v="87"/>
    <n v="0"/>
    <x v="14"/>
    <n v="5"/>
    <s v="MAI"/>
    <n v="0"/>
    <x v="14"/>
    <n v="0"/>
    <e v="#N/A"/>
    <s v=""/>
    <n v="0"/>
    <n v="0"/>
    <n v="0"/>
    <n v="0"/>
    <n v="0"/>
  </r>
  <r>
    <x v="88"/>
    <s v="#LIQAD9SRP "/>
    <x v="14"/>
    <n v="5"/>
    <s v="MAI"/>
    <n v="0"/>
    <x v="14"/>
    <n v="0"/>
    <s v="13 - 14"/>
    <d v="1899-12-30T00:43:00"/>
    <n v="11.45"/>
    <n v="20.219936303400811"/>
    <n v="5.51"/>
    <n v="7.6883720930232542"/>
    <n v="1"/>
  </r>
  <r>
    <x v="88"/>
    <n v="0"/>
    <x v="14"/>
    <n v="5"/>
    <s v="MAI"/>
    <n v="0"/>
    <x v="14"/>
    <n v="0"/>
    <s v="13 - 14"/>
    <s v=""/>
    <n v="0"/>
    <n v="0"/>
    <n v="0"/>
    <n v="0"/>
    <n v="0"/>
  </r>
  <r>
    <x v="88"/>
    <n v="0"/>
    <x v="14"/>
    <n v="5"/>
    <s v="MAI"/>
    <n v="0"/>
    <x v="14"/>
    <n v="0"/>
    <e v="#N/A"/>
    <s v=""/>
    <n v="0"/>
    <n v="0"/>
    <n v="0"/>
    <n v="0"/>
    <n v="0"/>
  </r>
  <r>
    <x v="88"/>
    <n v="0"/>
    <x v="14"/>
    <n v="5"/>
    <s v="MAI"/>
    <n v="0"/>
    <x v="14"/>
    <n v="0"/>
    <e v="#N/A"/>
    <s v=""/>
    <n v="0"/>
    <n v="0"/>
    <n v="0"/>
    <n v="0"/>
    <n v="0"/>
  </r>
  <r>
    <x v="89"/>
    <s v="#LIJUC1KL1 "/>
    <x v="14"/>
    <n v="5"/>
    <s v="MAI"/>
    <n v="0"/>
    <x v="14"/>
    <n v="0"/>
    <s v="19 - 20"/>
    <d v="1899-12-30T00:40:00"/>
    <n v="6.05"/>
    <n v="10.683896474722699"/>
    <n v="3.84"/>
    <n v="5.7600000000000202"/>
    <n v="1"/>
  </r>
  <r>
    <x v="89"/>
    <n v="0"/>
    <x v="14"/>
    <n v="5"/>
    <s v="MAI"/>
    <n v="0"/>
    <x v="14"/>
    <n v="0"/>
    <s v="19 - 20"/>
    <s v=""/>
    <n v="0"/>
    <n v="0"/>
    <n v="0"/>
    <n v="0"/>
    <n v="0"/>
  </r>
  <r>
    <x v="89"/>
    <n v="0"/>
    <x v="14"/>
    <n v="5"/>
    <s v="MAI"/>
    <n v="0"/>
    <x v="14"/>
    <n v="0"/>
    <e v="#N/A"/>
    <s v=""/>
    <n v="0"/>
    <n v="0"/>
    <n v="0"/>
    <n v="0"/>
    <n v="0"/>
  </r>
  <r>
    <x v="89"/>
    <n v="0"/>
    <x v="14"/>
    <n v="5"/>
    <s v="MAI"/>
    <n v="0"/>
    <x v="14"/>
    <n v="0"/>
    <e v="#N/A"/>
    <s v=""/>
    <n v="0"/>
    <n v="0"/>
    <n v="0"/>
    <n v="0"/>
    <n v="0"/>
  </r>
  <r>
    <x v="90"/>
    <s v="#LIGA968JP "/>
    <x v="14"/>
    <n v="5"/>
    <s v="MAI"/>
    <n v="0"/>
    <x v="14"/>
    <n v="0"/>
    <s v="19 - 20"/>
    <d v="1899-12-30T00:34:00"/>
    <n v="6.12"/>
    <n v="10.807511805835194"/>
    <n v="3.64"/>
    <n v="6.4235294117647292"/>
    <n v="1"/>
  </r>
  <r>
    <x v="90"/>
    <n v="0"/>
    <x v="14"/>
    <n v="5"/>
    <s v="MAI"/>
    <n v="0"/>
    <x v="14"/>
    <n v="0"/>
    <s v="20 - 21"/>
    <s v=""/>
    <n v="0"/>
    <n v="0"/>
    <n v="0"/>
    <n v="0"/>
    <n v="0"/>
  </r>
  <r>
    <x v="90"/>
    <n v="0"/>
    <x v="14"/>
    <n v="5"/>
    <s v="MAI"/>
    <n v="0"/>
    <x v="14"/>
    <n v="0"/>
    <e v="#N/A"/>
    <s v=""/>
    <n v="0"/>
    <n v="0"/>
    <n v="0"/>
    <n v="0"/>
    <n v="0"/>
  </r>
  <r>
    <x v="90"/>
    <n v="0"/>
    <x v="14"/>
    <n v="5"/>
    <s v="MAI"/>
    <n v="0"/>
    <x v="14"/>
    <n v="0"/>
    <e v="#N/A"/>
    <s v=""/>
    <n v="0"/>
    <n v="0"/>
    <n v="0"/>
    <n v="0"/>
    <n v="0"/>
  </r>
  <r>
    <x v="91"/>
    <s v="#LIQLAPGPW "/>
    <x v="14"/>
    <n v="5"/>
    <s v="MAI"/>
    <n v="0"/>
    <x v="14"/>
    <n v="0"/>
    <s v="20 - 21"/>
    <d v="1899-12-30T00:53:00"/>
    <n v="8.1999999999999993"/>
    <n v="14.480653073177873"/>
    <n v="5.08"/>
    <n v="5.7509433962264183"/>
    <n v="1"/>
  </r>
  <r>
    <x v="91"/>
    <n v="0"/>
    <x v="14"/>
    <n v="5"/>
    <s v="MAI"/>
    <n v="0"/>
    <x v="14"/>
    <n v="0"/>
    <s v="21 - 22"/>
    <s v=""/>
    <n v="0"/>
    <n v="0"/>
    <n v="0"/>
    <n v="0"/>
    <n v="0"/>
  </r>
  <r>
    <x v="91"/>
    <n v="0"/>
    <x v="14"/>
    <n v="5"/>
    <s v="MAI"/>
    <n v="0"/>
    <x v="14"/>
    <n v="0"/>
    <e v="#N/A"/>
    <s v=""/>
    <n v="0"/>
    <n v="0"/>
    <n v="0"/>
    <n v="0"/>
    <n v="0"/>
  </r>
  <r>
    <x v="92"/>
    <s v="#LI9AMCSU3 "/>
    <x v="15"/>
    <n v="5"/>
    <s v="MAI"/>
    <s v="MAI"/>
    <x v="15"/>
    <n v="23"/>
    <s v="12 - 13"/>
    <d v="1899-12-30T00:33:00"/>
    <n v="4.0199999999999996"/>
    <n v="7.0990518724603717"/>
    <n v="2.9"/>
    <n v="5.2727272727272654"/>
    <n v="1"/>
  </r>
  <r>
    <x v="92"/>
    <n v="0"/>
    <x v="15"/>
    <n v="5"/>
    <s v="MAI"/>
    <n v="0"/>
    <x v="15"/>
    <n v="0"/>
    <s v="13 - 14"/>
    <s v=""/>
    <n v="0"/>
    <n v="0"/>
    <n v="0"/>
    <n v="0"/>
    <n v="0"/>
  </r>
  <r>
    <x v="92"/>
    <n v="0"/>
    <x v="15"/>
    <n v="5"/>
    <s v="MAI"/>
    <n v="0"/>
    <x v="15"/>
    <n v="0"/>
    <e v="#N/A"/>
    <s v=""/>
    <n v="0"/>
    <n v="0"/>
    <n v="0"/>
    <n v="0"/>
    <n v="0"/>
  </r>
  <r>
    <x v="92"/>
    <n v="0"/>
    <x v="15"/>
    <n v="5"/>
    <s v="MAI"/>
    <n v="0"/>
    <x v="15"/>
    <n v="0"/>
    <e v="#N/A"/>
    <s v=""/>
    <n v="0"/>
    <n v="0"/>
    <n v="0"/>
    <n v="0"/>
    <n v="0"/>
  </r>
  <r>
    <x v="93"/>
    <s v="#LI47TLEXX "/>
    <x v="15"/>
    <n v="5"/>
    <s v="MAI"/>
    <n v="0"/>
    <x v="15"/>
    <n v="0"/>
    <s v="13 - 14"/>
    <d v="1899-12-30T00:27:00"/>
    <n v="4.5"/>
    <n v="7.94669985723176"/>
    <n v="3.07"/>
    <n v="6.822222222222206"/>
    <n v="1"/>
  </r>
  <r>
    <x v="93"/>
    <n v="0"/>
    <x v="15"/>
    <n v="5"/>
    <s v="MAI"/>
    <n v="0"/>
    <x v="15"/>
    <n v="0"/>
    <s v="13 - 14"/>
    <s v=""/>
    <n v="0"/>
    <n v="0"/>
    <n v="0"/>
    <n v="0"/>
    <n v="0"/>
  </r>
  <r>
    <x v="93"/>
    <n v="0"/>
    <x v="15"/>
    <n v="5"/>
    <s v="MAI"/>
    <n v="0"/>
    <x v="15"/>
    <n v="0"/>
    <e v="#N/A"/>
    <s v=""/>
    <n v="0"/>
    <n v="0"/>
    <n v="0"/>
    <n v="0"/>
    <n v="0"/>
  </r>
  <r>
    <x v="93"/>
    <n v="0"/>
    <x v="15"/>
    <n v="5"/>
    <s v="MAI"/>
    <n v="0"/>
    <x v="15"/>
    <n v="0"/>
    <e v="#N/A"/>
    <s v=""/>
    <n v="0"/>
    <n v="0"/>
    <n v="0"/>
    <n v="0"/>
    <n v="0"/>
  </r>
  <r>
    <x v="94"/>
    <s v="#LIBSJLHYF "/>
    <x v="15"/>
    <n v="5"/>
    <s v="MAI"/>
    <n v="0"/>
    <x v="15"/>
    <n v="0"/>
    <s v="19 - 20"/>
    <d v="1899-12-30T00:59:00"/>
    <n v="3.09"/>
    <n v="5.4567339019658085"/>
    <n v="3.18"/>
    <n v="3.2338983050847401"/>
    <n v="1"/>
  </r>
  <r>
    <x v="94"/>
    <n v="0"/>
    <x v="15"/>
    <n v="5"/>
    <s v="MAI"/>
    <n v="0"/>
    <x v="15"/>
    <n v="0"/>
    <s v="20 - 21"/>
    <s v=""/>
    <n v="0"/>
    <n v="0"/>
    <n v="0"/>
    <n v="0"/>
    <n v="0"/>
  </r>
  <r>
    <x v="94"/>
    <n v="0"/>
    <x v="15"/>
    <n v="5"/>
    <s v="MAI"/>
    <n v="0"/>
    <x v="15"/>
    <n v="0"/>
    <e v="#N/A"/>
    <s v=""/>
    <n v="0"/>
    <n v="0"/>
    <n v="0"/>
    <n v="0"/>
    <n v="0"/>
  </r>
  <r>
    <x v="94"/>
    <n v="0"/>
    <x v="15"/>
    <n v="5"/>
    <s v="MAI"/>
    <n v="0"/>
    <x v="15"/>
    <n v="0"/>
    <e v="#N/A"/>
    <s v=""/>
    <n v="0"/>
    <n v="0"/>
    <n v="0"/>
    <n v="0"/>
    <n v="0"/>
  </r>
  <r>
    <x v="95"/>
    <s v="#LIYX9EGLJ "/>
    <x v="15"/>
    <n v="5"/>
    <s v="MAI"/>
    <n v="0"/>
    <x v="15"/>
    <n v="0"/>
    <s v="20 - 21"/>
    <d v="1899-12-30T00:37:00"/>
    <n v="8.74"/>
    <n v="15.434257056045684"/>
    <n v="4.55"/>
    <n v="7.3783783783783727"/>
    <n v="1"/>
  </r>
  <r>
    <x v="95"/>
    <n v="0"/>
    <x v="15"/>
    <n v="5"/>
    <s v="MAI"/>
    <n v="0"/>
    <x v="15"/>
    <n v="0"/>
    <s v="20 - 21"/>
    <s v=""/>
    <n v="0"/>
    <n v="0"/>
    <n v="0"/>
    <n v="0"/>
    <n v="0"/>
  </r>
  <r>
    <x v="95"/>
    <n v="0"/>
    <x v="15"/>
    <n v="5"/>
    <s v="MAI"/>
    <n v="0"/>
    <x v="15"/>
    <n v="0"/>
    <e v="#N/A"/>
    <s v=""/>
    <n v="0"/>
    <n v="0"/>
    <n v="0"/>
    <n v="0"/>
    <n v="0"/>
  </r>
  <r>
    <x v="95"/>
    <n v="0"/>
    <x v="15"/>
    <n v="5"/>
    <s v="MAI"/>
    <n v="0"/>
    <x v="15"/>
    <n v="0"/>
    <e v="#N/A"/>
    <s v=""/>
    <n v="0"/>
    <n v="0"/>
    <n v="0"/>
    <n v="0"/>
    <n v="0"/>
  </r>
  <r>
    <x v="96"/>
    <s v="#LI1JMJBSS "/>
    <x v="15"/>
    <n v="5"/>
    <s v="MAI"/>
    <n v="0"/>
    <x v="15"/>
    <n v="0"/>
    <s v="20 - 21"/>
    <d v="1899-12-30T00:39:00"/>
    <n v="9.0500000000000007"/>
    <n v="15.981696379543873"/>
    <n v="4.66"/>
    <n v="7.169230769230766"/>
    <n v="1"/>
  </r>
  <r>
    <x v="96"/>
    <n v="0"/>
    <x v="15"/>
    <n v="5"/>
    <s v="MAI"/>
    <n v="0"/>
    <x v="15"/>
    <n v="0"/>
    <s v="21 - 22"/>
    <s v=""/>
    <n v="0"/>
    <n v="0"/>
    <n v="0"/>
    <n v="0"/>
    <n v="0"/>
  </r>
  <r>
    <x v="96"/>
    <n v="0"/>
    <x v="15"/>
    <n v="5"/>
    <s v="MAI"/>
    <n v="0"/>
    <x v="15"/>
    <n v="0"/>
    <e v="#N/A"/>
    <s v=""/>
    <n v="0"/>
    <n v="0"/>
    <n v="0"/>
    <n v="0"/>
    <n v="0"/>
  </r>
  <r>
    <x v="96"/>
    <n v="0"/>
    <x v="15"/>
    <n v="5"/>
    <s v="MAI"/>
    <n v="0"/>
    <x v="15"/>
    <n v="0"/>
    <e v="#N/A"/>
    <s v=""/>
    <n v="0"/>
    <n v="0"/>
    <n v="0"/>
    <n v="0"/>
    <n v="0"/>
  </r>
  <r>
    <x v="97"/>
    <s v="#LIAKLDKEH "/>
    <x v="15"/>
    <n v="5"/>
    <s v="MAI"/>
    <n v="0"/>
    <x v="15"/>
    <n v="0"/>
    <s v="21 - 22"/>
    <d v="1899-12-30T00:28:00"/>
    <n v="2.98"/>
    <n v="5.2624812387890323"/>
    <n v="2.54"/>
    <n v="5.4428571428571626"/>
    <n v="1"/>
  </r>
  <r>
    <x v="97"/>
    <n v="0"/>
    <x v="15"/>
    <n v="5"/>
    <s v="MAI"/>
    <n v="0"/>
    <x v="15"/>
    <n v="0"/>
    <s v="21 - 22"/>
    <s v=""/>
    <n v="0"/>
    <n v="0"/>
    <n v="0"/>
    <n v="0"/>
    <n v="0"/>
  </r>
  <r>
    <x v="97"/>
    <n v="0"/>
    <x v="15"/>
    <n v="5"/>
    <s v="MAI"/>
    <n v="0"/>
    <x v="15"/>
    <n v="0"/>
    <e v="#N/A"/>
    <s v=""/>
    <n v="0"/>
    <n v="0"/>
    <n v="0"/>
    <n v="0"/>
    <n v="0"/>
  </r>
  <r>
    <x v="97"/>
    <n v="0"/>
    <x v="15"/>
    <n v="5"/>
    <s v="MAI"/>
    <n v="0"/>
    <x v="15"/>
    <n v="0"/>
    <e v="#N/A"/>
    <s v=""/>
    <n v="0"/>
    <n v="0"/>
    <n v="0"/>
    <n v="0"/>
    <n v="0"/>
  </r>
  <r>
    <x v="98"/>
    <s v="#LIQJGPLQ5 "/>
    <x v="15"/>
    <n v="5"/>
    <s v="MAI"/>
    <n v="0"/>
    <x v="15"/>
    <n v="0"/>
    <s v="22 - 23"/>
    <d v="1899-12-30T00:17:00"/>
    <n v="3.04"/>
    <n v="5.3684372368854554"/>
    <n v="2.56"/>
    <n v="9.0352941176470054"/>
    <n v="1"/>
  </r>
  <r>
    <x v="98"/>
    <n v="0"/>
    <x v="15"/>
    <n v="5"/>
    <s v="MAI"/>
    <n v="0"/>
    <x v="15"/>
    <n v="0"/>
    <s v="22 - 23"/>
    <s v=""/>
    <n v="0"/>
    <n v="0"/>
    <n v="0"/>
    <n v="0"/>
    <n v="0"/>
  </r>
  <r>
    <x v="98"/>
    <n v="0"/>
    <x v="15"/>
    <n v="5"/>
    <s v="MAI"/>
    <n v="0"/>
    <x v="15"/>
    <n v="0"/>
    <e v="#N/A"/>
    <s v=""/>
    <n v="0"/>
    <n v="0"/>
    <n v="0"/>
    <n v="0"/>
    <n v="0"/>
  </r>
  <r>
    <x v="99"/>
    <s v="#LIS1S1424 "/>
    <x v="16"/>
    <n v="5"/>
    <s v="MAI"/>
    <s v="MAI"/>
    <x v="16"/>
    <n v="24"/>
    <s v="13 - 14"/>
    <d v="1899-12-30T00:39:00"/>
    <n v="8.27"/>
    <n v="14.604268404290368"/>
    <n v="5.7"/>
    <n v="8.7692307692307647"/>
    <n v="1"/>
  </r>
  <r>
    <x v="99"/>
    <n v="0"/>
    <x v="16"/>
    <n v="5"/>
    <s v="MAI"/>
    <n v="0"/>
    <x v="16"/>
    <n v="0"/>
    <s v="14 - 15"/>
    <s v=""/>
    <n v="0"/>
    <n v="0"/>
    <n v="0"/>
    <n v="0"/>
    <n v="0"/>
  </r>
  <r>
    <x v="99"/>
    <n v="0"/>
    <x v="16"/>
    <n v="5"/>
    <s v="MAI"/>
    <n v="0"/>
    <x v="16"/>
    <n v="0"/>
    <e v="#N/A"/>
    <s v=""/>
    <n v="0"/>
    <n v="0"/>
    <n v="0"/>
    <n v="0"/>
    <n v="0"/>
  </r>
  <r>
    <x v="99"/>
    <n v="0"/>
    <x v="16"/>
    <n v="5"/>
    <s v="MAI"/>
    <n v="0"/>
    <x v="16"/>
    <n v="0"/>
    <e v="#N/A"/>
    <s v=""/>
    <n v="0"/>
    <n v="0"/>
    <n v="0"/>
    <n v="0"/>
    <n v="0"/>
  </r>
  <r>
    <x v="100"/>
    <s v="#LICZMSEF1 "/>
    <x v="16"/>
    <n v="5"/>
    <s v="MAI"/>
    <n v="0"/>
    <x v="16"/>
    <n v="0"/>
    <s v="14 - 15"/>
    <d v="1899-12-30T00:52:00"/>
    <n v="4.8899999999999997"/>
    <n v="8.6354138448585118"/>
    <n v="4.17"/>
    <n v="4.8115384615384489"/>
    <n v="1"/>
  </r>
  <r>
    <x v="100"/>
    <n v="0"/>
    <x v="16"/>
    <n v="5"/>
    <s v="MAI"/>
    <n v="0"/>
    <x v="16"/>
    <n v="0"/>
    <s v="15 - 16"/>
    <s v=""/>
    <n v="0"/>
    <n v="0"/>
    <n v="0"/>
    <n v="0"/>
    <n v="0"/>
  </r>
  <r>
    <x v="100"/>
    <n v="0"/>
    <x v="16"/>
    <n v="5"/>
    <s v="MAI"/>
    <n v="0"/>
    <x v="16"/>
    <n v="0"/>
    <e v="#N/A"/>
    <s v=""/>
    <n v="0"/>
    <n v="0"/>
    <n v="0"/>
    <n v="0"/>
    <n v="0"/>
  </r>
  <r>
    <x v="100"/>
    <n v="0"/>
    <x v="16"/>
    <n v="5"/>
    <s v="MAI"/>
    <n v="0"/>
    <x v="16"/>
    <n v="0"/>
    <e v="#N/A"/>
    <s v=""/>
    <n v="0"/>
    <n v="0"/>
    <n v="0"/>
    <n v="0"/>
    <n v="0"/>
  </r>
  <r>
    <x v="101"/>
    <s v="#LIL3UTNX6 "/>
    <x v="16"/>
    <n v="5"/>
    <s v="MAI"/>
    <n v="0"/>
    <x v="16"/>
    <n v="0"/>
    <s v="19 - 20"/>
    <d v="1899-12-30T01:13:00"/>
    <n v="9.85"/>
    <n v="17.394443020829517"/>
    <n v="6.42"/>
    <n v="5.2767123287671316"/>
    <n v="1"/>
  </r>
  <r>
    <x v="101"/>
    <n v="0"/>
    <x v="16"/>
    <n v="5"/>
    <s v="MAI"/>
    <n v="0"/>
    <x v="16"/>
    <n v="0"/>
    <s v="20 - 21"/>
    <s v=""/>
    <n v="0"/>
    <n v="0"/>
    <n v="0"/>
    <n v="0"/>
    <n v="0"/>
  </r>
  <r>
    <x v="101"/>
    <n v="0"/>
    <x v="16"/>
    <n v="5"/>
    <s v="MAI"/>
    <n v="0"/>
    <x v="16"/>
    <n v="0"/>
    <e v="#N/A"/>
    <s v=""/>
    <n v="0"/>
    <n v="0"/>
    <n v="0"/>
    <n v="0"/>
    <n v="0"/>
  </r>
  <r>
    <x v="101"/>
    <n v="0"/>
    <x v="16"/>
    <n v="5"/>
    <s v="MAI"/>
    <n v="0"/>
    <x v="16"/>
    <n v="0"/>
    <e v="#N/A"/>
    <s v=""/>
    <n v="0"/>
    <n v="0"/>
    <n v="0"/>
    <n v="0"/>
    <n v="0"/>
  </r>
  <r>
    <x v="102"/>
    <s v="#LILCAQXGQ "/>
    <x v="16"/>
    <n v="5"/>
    <s v="MAI"/>
    <n v="0"/>
    <x v="16"/>
    <n v="0"/>
    <s v="20 - 21"/>
    <d v="1899-12-30T00:45:00"/>
    <n v="8.08"/>
    <n v="14.268741076985027"/>
    <n v="5.61"/>
    <n v="7.48"/>
    <n v="1"/>
  </r>
  <r>
    <x v="102"/>
    <n v="0"/>
    <x v="16"/>
    <n v="5"/>
    <s v="MAI"/>
    <n v="0"/>
    <x v="16"/>
    <n v="0"/>
    <s v="21 - 22"/>
    <s v=""/>
    <n v="0"/>
    <n v="0"/>
    <n v="0"/>
    <n v="0"/>
    <n v="0"/>
  </r>
  <r>
    <x v="102"/>
    <n v="0"/>
    <x v="16"/>
    <n v="5"/>
    <s v="MAI"/>
    <n v="0"/>
    <x v="16"/>
    <n v="0"/>
    <e v="#N/A"/>
    <s v=""/>
    <n v="0"/>
    <n v="0"/>
    <n v="0"/>
    <n v="0"/>
    <n v="0"/>
  </r>
  <r>
    <x v="102"/>
    <n v="0"/>
    <x v="16"/>
    <n v="5"/>
    <s v="MAI"/>
    <n v="0"/>
    <x v="16"/>
    <n v="0"/>
    <e v="#N/A"/>
    <s v=""/>
    <n v="0"/>
    <n v="0"/>
    <n v="0"/>
    <n v="0"/>
    <n v="0"/>
  </r>
  <r>
    <x v="103"/>
    <s v="#LIH8XYY1M "/>
    <x v="16"/>
    <n v="5"/>
    <s v="MAI"/>
    <n v="0"/>
    <x v="16"/>
    <n v="0"/>
    <s v="21 - 22"/>
    <d v="1899-12-30T00:33:00"/>
    <n v="9.25"/>
    <n v="16.334883039865286"/>
    <n v="6.85"/>
    <n v="12.454545454545498"/>
    <n v="1"/>
  </r>
  <r>
    <x v="103"/>
    <n v="0"/>
    <x v="16"/>
    <n v="5"/>
    <s v="MAI"/>
    <n v="0"/>
    <x v="16"/>
    <n v="0"/>
    <s v="21 - 22"/>
    <s v=""/>
    <n v="0"/>
    <n v="0"/>
    <n v="0"/>
    <n v="0"/>
    <n v="0"/>
  </r>
  <r>
    <x v="103"/>
    <n v="0"/>
    <x v="16"/>
    <n v="5"/>
    <s v="MAI"/>
    <n v="0"/>
    <x v="16"/>
    <n v="0"/>
    <s v="21 - 22"/>
    <s v=""/>
    <n v="0"/>
    <n v="0"/>
    <n v="14.21"/>
    <n v="0"/>
    <n v="0"/>
  </r>
  <r>
    <x v="103"/>
    <n v="0"/>
    <x v="16"/>
    <n v="5"/>
    <s v="MAI"/>
    <n v="0"/>
    <x v="16"/>
    <n v="0"/>
    <e v="#N/A"/>
    <s v=""/>
    <n v="0"/>
    <n v="0"/>
    <n v="0"/>
    <n v="0"/>
    <n v="0"/>
  </r>
  <r>
    <x v="104"/>
    <s v="#LI4FE12HW "/>
    <x v="17"/>
    <n v="5"/>
    <s v="MAI"/>
    <s v="MAI"/>
    <x v="17"/>
    <n v="25"/>
    <s v="13 - 14"/>
    <d v="1899-12-30T00:58:00"/>
    <n v="12.97"/>
    <n v="22.904154921843539"/>
    <n v="6.11"/>
    <n v="6.3206896551724192"/>
    <n v="1"/>
  </r>
  <r>
    <x v="104"/>
    <n v="0"/>
    <x v="17"/>
    <n v="5"/>
    <s v="MAI"/>
    <n v="0"/>
    <x v="17"/>
    <n v="0"/>
    <s v="14 - 15"/>
    <s v=""/>
    <n v="0"/>
    <n v="0"/>
    <n v="0"/>
    <n v="0"/>
    <n v="0"/>
  </r>
  <r>
    <x v="104"/>
    <n v="0"/>
    <x v="17"/>
    <n v="5"/>
    <s v="MAI"/>
    <n v="0"/>
    <x v="17"/>
    <n v="0"/>
    <e v="#N/A"/>
    <s v=""/>
    <n v="0"/>
    <n v="0"/>
    <n v="0"/>
    <n v="0"/>
    <n v="0"/>
  </r>
  <r>
    <x v="104"/>
    <n v="0"/>
    <x v="17"/>
    <n v="5"/>
    <s v="MAI"/>
    <n v="0"/>
    <x v="17"/>
    <n v="0"/>
    <e v="#N/A"/>
    <s v=""/>
    <n v="0"/>
    <n v="0"/>
    <n v="0"/>
    <n v="0"/>
    <n v="0"/>
  </r>
  <r>
    <x v="105"/>
    <s v="#LIWYECNVF "/>
    <x v="17"/>
    <n v="5"/>
    <s v="MAI"/>
    <n v="0"/>
    <x v="17"/>
    <n v="0"/>
    <s v="19 - 20"/>
    <d v="1899-12-30T00:52:00"/>
    <n v="10.66"/>
    <n v="18.824848995131237"/>
    <n v="5.22"/>
    <n v="6.0230769230769257"/>
    <n v="1"/>
  </r>
  <r>
    <x v="105"/>
    <n v="0"/>
    <x v="17"/>
    <n v="5"/>
    <s v="MAI"/>
    <n v="0"/>
    <x v="17"/>
    <n v="0"/>
    <s v="20 - 21"/>
    <s v=""/>
    <n v="0"/>
    <n v="0"/>
    <n v="0"/>
    <n v="0"/>
    <n v="0"/>
  </r>
  <r>
    <x v="105"/>
    <n v="0"/>
    <x v="17"/>
    <n v="5"/>
    <s v="MAI"/>
    <n v="0"/>
    <x v="17"/>
    <n v="0"/>
    <e v="#N/A"/>
    <s v=""/>
    <n v="0"/>
    <n v="0"/>
    <n v="0"/>
    <n v="0"/>
    <n v="0"/>
  </r>
  <r>
    <x v="105"/>
    <n v="0"/>
    <x v="17"/>
    <n v="5"/>
    <s v="MAI"/>
    <n v="0"/>
    <x v="17"/>
    <n v="0"/>
    <e v="#N/A"/>
    <s v=""/>
    <n v="0"/>
    <n v="0"/>
    <n v="0"/>
    <n v="0"/>
    <n v="0"/>
  </r>
  <r>
    <x v="106"/>
    <s v="#LIAMY9A3G "/>
    <x v="17"/>
    <n v="5"/>
    <s v="MAI"/>
    <n v="0"/>
    <x v="17"/>
    <n v="0"/>
    <s v="20 - 21"/>
    <d v="1899-12-30T00:29:00"/>
    <n v="6.32"/>
    <n v="11.160698466156605"/>
    <n v="3.71"/>
    <n v="7.6758620689655022"/>
    <n v="1"/>
  </r>
  <r>
    <x v="106"/>
    <n v="0"/>
    <x v="17"/>
    <n v="5"/>
    <s v="MAI"/>
    <n v="0"/>
    <x v="17"/>
    <n v="0"/>
    <s v="20 - 21"/>
    <s v=""/>
    <n v="0"/>
    <n v="0"/>
    <n v="0"/>
    <n v="0"/>
    <n v="0"/>
  </r>
  <r>
    <x v="106"/>
    <n v="0"/>
    <x v="17"/>
    <n v="5"/>
    <s v="MAI"/>
    <n v="0"/>
    <x v="17"/>
    <n v="0"/>
    <e v="#N/A"/>
    <s v=""/>
    <n v="0"/>
    <n v="0"/>
    <n v="0"/>
    <n v="0"/>
    <n v="0"/>
  </r>
  <r>
    <x v="106"/>
    <n v="0"/>
    <x v="17"/>
    <n v="5"/>
    <s v="MAI"/>
    <n v="0"/>
    <x v="17"/>
    <n v="0"/>
    <e v="#N/A"/>
    <s v=""/>
    <n v="0"/>
    <n v="0"/>
    <n v="0"/>
    <n v="0"/>
    <n v="0"/>
  </r>
  <r>
    <x v="107"/>
    <s v="#LIKV7EF39 "/>
    <x v="17"/>
    <n v="5"/>
    <s v="MAI"/>
    <n v="0"/>
    <x v="17"/>
    <n v="0"/>
    <s v="21 - 22"/>
    <d v="1899-12-30T00:28:00"/>
    <n v="7.65"/>
    <n v="13.509389757293992"/>
    <n v="4.83"/>
    <n v="10.350000000000037"/>
    <n v="1"/>
  </r>
  <r>
    <x v="107"/>
    <n v="0"/>
    <x v="17"/>
    <n v="5"/>
    <s v="MAI"/>
    <n v="0"/>
    <x v="17"/>
    <n v="0"/>
    <s v="21 - 22"/>
    <s v=""/>
    <n v="0"/>
    <n v="0"/>
    <n v="0"/>
    <n v="0"/>
    <n v="0"/>
  </r>
  <r>
    <x v="107"/>
    <n v="0"/>
    <x v="17"/>
    <n v="5"/>
    <s v="MAI"/>
    <n v="0"/>
    <x v="17"/>
    <n v="0"/>
    <e v="#N/A"/>
    <s v=""/>
    <n v="0"/>
    <n v="0"/>
    <n v="0"/>
    <n v="0"/>
    <n v="0"/>
  </r>
  <r>
    <x v="107"/>
    <n v="0"/>
    <x v="17"/>
    <n v="5"/>
    <s v="MAI"/>
    <n v="0"/>
    <x v="17"/>
    <n v="0"/>
    <e v="#N/A"/>
    <s v=""/>
    <n v="0"/>
    <n v="0"/>
    <n v="0"/>
    <n v="0"/>
    <n v="0"/>
  </r>
  <r>
    <x v="108"/>
    <s v="#LIRWEWA6P "/>
    <x v="17"/>
    <n v="5"/>
    <s v="MAI"/>
    <n v="0"/>
    <x v="17"/>
    <n v="0"/>
    <s v="21 - 22"/>
    <d v="1899-12-30T00:34:00"/>
    <n v="6.9"/>
    <n v="12.184939781088699"/>
    <n v="3.91"/>
    <n v="6.8999999999999924"/>
    <n v="1"/>
  </r>
  <r>
    <x v="108"/>
    <n v="0"/>
    <x v="17"/>
    <n v="5"/>
    <s v="MAI"/>
    <n v="0"/>
    <x v="17"/>
    <n v="0"/>
    <s v="22 - 23"/>
    <s v=""/>
    <n v="0"/>
    <n v="0"/>
    <n v="0"/>
    <n v="0"/>
    <n v="0"/>
  </r>
  <r>
    <x v="108"/>
    <n v="0"/>
    <x v="17"/>
    <n v="5"/>
    <s v="MAI"/>
    <n v="0"/>
    <x v="17"/>
    <n v="0"/>
    <e v="#N/A"/>
    <s v=""/>
    <n v="0"/>
    <n v="0"/>
    <n v="0"/>
    <n v="0"/>
    <n v="0"/>
  </r>
  <r>
    <x v="108"/>
    <n v="0"/>
    <x v="17"/>
    <n v="5"/>
    <s v="MAI"/>
    <n v="0"/>
    <x v="17"/>
    <n v="0"/>
    <e v="#N/A"/>
    <s v=""/>
    <n v="0"/>
    <n v="0"/>
    <n v="0"/>
    <n v="0"/>
    <n v="0"/>
  </r>
  <r>
    <x v="109"/>
    <s v="#LILAV3WQT "/>
    <x v="17"/>
    <n v="5"/>
    <s v="MAI"/>
    <n v="0"/>
    <x v="17"/>
    <n v="0"/>
    <s v="22 - 23"/>
    <d v="1899-12-30T00:24:00"/>
    <n v="7.49"/>
    <n v="13.226840429036862"/>
    <n v="4.25"/>
    <n v="10.624999999999897"/>
    <n v="1"/>
  </r>
  <r>
    <x v="109"/>
    <n v="0"/>
    <x v="17"/>
    <n v="5"/>
    <s v="MAI"/>
    <n v="0"/>
    <x v="17"/>
    <n v="0"/>
    <s v="22 - 23"/>
    <s v=""/>
    <n v="0"/>
    <n v="0"/>
    <n v="0"/>
    <n v="0"/>
    <n v="0"/>
  </r>
  <r>
    <x v="109"/>
    <n v="0"/>
    <x v="17"/>
    <n v="5"/>
    <s v="MAI"/>
    <n v="0"/>
    <x v="17"/>
    <n v="0"/>
    <e v="#N/A"/>
    <s v=""/>
    <n v="0"/>
    <n v="0"/>
    <n v="0"/>
    <n v="0"/>
    <n v="0"/>
  </r>
  <r>
    <x v="110"/>
    <s v="#LINSSATP1 "/>
    <x v="18"/>
    <n v="5"/>
    <s v="MAI"/>
    <s v="MAI"/>
    <x v="18"/>
    <n v="26"/>
    <s v="20 - 21"/>
    <d v="1899-12-30T01:34:00"/>
    <n v="7.39"/>
    <n v="13.050247098876156"/>
    <n v="5.31"/>
    <n v="3.3893617021276596"/>
    <n v="1"/>
  </r>
  <r>
    <x v="110"/>
    <n v="0"/>
    <x v="18"/>
    <n v="5"/>
    <s v="MAI"/>
    <n v="0"/>
    <x v="18"/>
    <n v="0"/>
    <s v="21 - 22"/>
    <s v=""/>
    <n v="0"/>
    <n v="0"/>
    <n v="0"/>
    <n v="0"/>
    <n v="0"/>
  </r>
  <r>
    <x v="110"/>
    <n v="0"/>
    <x v="18"/>
    <n v="5"/>
    <s v="MAI"/>
    <n v="0"/>
    <x v="18"/>
    <n v="0"/>
    <e v="#N/A"/>
    <s v=""/>
    <n v="0"/>
    <n v="0"/>
    <n v="0"/>
    <n v="0"/>
    <n v="0"/>
  </r>
  <r>
    <x v="110"/>
    <n v="0"/>
    <x v="18"/>
    <n v="5"/>
    <s v="MAI"/>
    <n v="0"/>
    <x v="18"/>
    <n v="0"/>
    <e v="#N/A"/>
    <s v=""/>
    <n v="0"/>
    <n v="0"/>
    <n v="0"/>
    <n v="0"/>
    <n v="0"/>
  </r>
  <r>
    <x v="111"/>
    <s v="#LIU12Y8G1 "/>
    <x v="18"/>
    <n v="5"/>
    <s v="MAI"/>
    <s v="Ganhos garantidos"/>
    <x v="18"/>
    <n v="0"/>
    <s v="12 - 13"/>
    <d v="1899-12-30T00:48:00"/>
    <n v="7.45"/>
    <n v="13.156203096972581"/>
    <n v="0"/>
    <n v="0"/>
    <n v="1"/>
  </r>
  <r>
    <x v="111"/>
    <n v="0"/>
    <x v="18"/>
    <n v="5"/>
    <s v="MAI"/>
    <n v="0"/>
    <x v="18"/>
    <n v="0"/>
    <s v="12 - 13"/>
    <s v=""/>
    <n v="0"/>
    <n v="0"/>
    <n v="3.51"/>
    <n v="0"/>
    <n v="0"/>
  </r>
  <r>
    <x v="111"/>
    <n v="0"/>
    <x v="18"/>
    <n v="5"/>
    <s v="MAI"/>
    <n v="0"/>
    <x v="18"/>
    <n v="0"/>
    <e v="#N/A"/>
    <s v=""/>
    <n v="0"/>
    <n v="0"/>
    <n v="0"/>
    <n v="0"/>
    <n v="0"/>
  </r>
  <r>
    <x v="112"/>
    <s v="#LIKY1C3AE "/>
    <x v="19"/>
    <n v="5"/>
    <s v="MAI"/>
    <s v="MAI"/>
    <x v="19"/>
    <n v="27"/>
    <s v="10 - 11"/>
    <d v="1899-12-30T01:12:00"/>
    <n v="6.09"/>
    <n v="10.754533806786981"/>
    <n v="3.88"/>
    <n v="3.2333333333333338"/>
    <n v="1"/>
  </r>
  <r>
    <x v="112"/>
    <n v="0"/>
    <x v="19"/>
    <n v="5"/>
    <s v="MAI"/>
    <n v="0"/>
    <x v="19"/>
    <n v="0"/>
    <s v="11 - 12"/>
    <s v=""/>
    <n v="0"/>
    <n v="0"/>
    <n v="0"/>
    <n v="0"/>
    <n v="0"/>
  </r>
  <r>
    <x v="112"/>
    <n v="0"/>
    <x v="19"/>
    <n v="5"/>
    <s v="MAI"/>
    <n v="0"/>
    <x v="19"/>
    <n v="0"/>
    <e v="#N/A"/>
    <s v=""/>
    <n v="0"/>
    <n v="0"/>
    <n v="0"/>
    <n v="0"/>
    <n v="0"/>
  </r>
  <r>
    <x v="112"/>
    <n v="0"/>
    <x v="19"/>
    <n v="5"/>
    <s v="MAI"/>
    <n v="0"/>
    <x v="19"/>
    <n v="0"/>
    <e v="#N/A"/>
    <s v=""/>
    <n v="0"/>
    <n v="0"/>
    <n v="0"/>
    <n v="0"/>
    <n v="0"/>
  </r>
  <r>
    <x v="113"/>
    <s v="#LIPRSPYB9 "/>
    <x v="19"/>
    <n v="5"/>
    <s v="MAI"/>
    <n v="0"/>
    <x v="19"/>
    <n v="0"/>
    <s v="11 - 12"/>
    <d v="1899-12-30T00:29:00"/>
    <n v="4.3"/>
    <n v="7.5935131969103482"/>
    <n v="3"/>
    <n v="6.2068965517241432"/>
    <n v="1"/>
  </r>
  <r>
    <x v="113"/>
    <n v="0"/>
    <x v="19"/>
    <n v="5"/>
    <s v="MAI"/>
    <n v="0"/>
    <x v="19"/>
    <n v="0"/>
    <s v="11 - 12"/>
    <s v=""/>
    <n v="0"/>
    <n v="0"/>
    <n v="0"/>
    <n v="0"/>
    <n v="0"/>
  </r>
  <r>
    <x v="113"/>
    <n v="0"/>
    <x v="19"/>
    <n v="5"/>
    <s v="MAI"/>
    <n v="0"/>
    <x v="19"/>
    <n v="0"/>
    <e v="#N/A"/>
    <s v=""/>
    <n v="0"/>
    <n v="0"/>
    <n v="0"/>
    <n v="0"/>
    <n v="0"/>
  </r>
  <r>
    <x v="113"/>
    <n v="0"/>
    <x v="19"/>
    <n v="5"/>
    <s v="MAI"/>
    <n v="0"/>
    <x v="19"/>
    <n v="0"/>
    <e v="#N/A"/>
    <s v=""/>
    <n v="0"/>
    <n v="0"/>
    <n v="0"/>
    <n v="0"/>
    <n v="0"/>
  </r>
  <r>
    <x v="114"/>
    <s v="#LI19ULHEH "/>
    <x v="19"/>
    <n v="5"/>
    <s v="MAI"/>
    <n v="0"/>
    <x v="19"/>
    <n v="0"/>
    <s v="11 - 12"/>
    <d v="1899-12-30T00:58:00"/>
    <n v="17.600000000000001"/>
    <n v="31.080426108284218"/>
    <n v="7.66"/>
    <n v="7.9241379310344788"/>
    <n v="1"/>
  </r>
  <r>
    <x v="114"/>
    <n v="0"/>
    <x v="19"/>
    <n v="5"/>
    <s v="MAI"/>
    <n v="0"/>
    <x v="19"/>
    <n v="0"/>
    <s v="12 - 13"/>
    <s v=""/>
    <n v="0"/>
    <n v="0"/>
    <n v="0"/>
    <n v="0"/>
    <n v="0"/>
  </r>
  <r>
    <x v="114"/>
    <n v="0"/>
    <x v="19"/>
    <n v="5"/>
    <s v="MAI"/>
    <n v="0"/>
    <x v="19"/>
    <n v="0"/>
    <e v="#N/A"/>
    <s v=""/>
    <n v="0"/>
    <n v="0"/>
    <n v="0"/>
    <n v="0"/>
    <n v="0"/>
  </r>
  <r>
    <x v="114"/>
    <n v="0"/>
    <x v="19"/>
    <n v="5"/>
    <s v="MAI"/>
    <n v="0"/>
    <x v="19"/>
    <n v="0"/>
    <e v="#N/A"/>
    <s v=""/>
    <n v="0"/>
    <n v="0"/>
    <n v="0"/>
    <n v="0"/>
    <n v="0"/>
  </r>
  <r>
    <x v="115"/>
    <s v="#LIX4SVWE1 "/>
    <x v="19"/>
    <n v="5"/>
    <s v="MAI"/>
    <n v="0"/>
    <x v="19"/>
    <n v="0"/>
    <s v="12 - 13"/>
    <d v="1899-12-30T00:24:00"/>
    <n v="6.26"/>
    <n v="11.054742468060182"/>
    <n v="3.68"/>
    <n v="9.1999999999999726"/>
    <n v="1"/>
  </r>
  <r>
    <x v="115"/>
    <n v="0"/>
    <x v="19"/>
    <n v="5"/>
    <s v="MAI"/>
    <n v="0"/>
    <x v="19"/>
    <n v="0"/>
    <s v="13 - 14"/>
    <s v=""/>
    <n v="0"/>
    <n v="0"/>
    <n v="0"/>
    <n v="0"/>
    <n v="0"/>
  </r>
  <r>
    <x v="115"/>
    <n v="0"/>
    <x v="19"/>
    <n v="5"/>
    <s v="MAI"/>
    <n v="0"/>
    <x v="19"/>
    <n v="0"/>
    <e v="#N/A"/>
    <s v=""/>
    <n v="0"/>
    <n v="0"/>
    <n v="0"/>
    <n v="0"/>
    <n v="0"/>
  </r>
  <r>
    <x v="115"/>
    <n v="0"/>
    <x v="19"/>
    <n v="5"/>
    <s v="MAI"/>
    <n v="0"/>
    <x v="19"/>
    <n v="0"/>
    <e v="#N/A"/>
    <s v=""/>
    <n v="0"/>
    <n v="0"/>
    <n v="0"/>
    <n v="0"/>
    <n v="0"/>
  </r>
  <r>
    <x v="116"/>
    <s v="#LIEEVPFYE "/>
    <x v="19"/>
    <n v="5"/>
    <s v="MAI"/>
    <n v="0"/>
    <x v="19"/>
    <n v="0"/>
    <s v="13 - 14"/>
    <d v="1899-12-30T00:38:00"/>
    <n v="7.36"/>
    <n v="12.997269099827946"/>
    <n v="5.42"/>
    <n v="8.5578947368420994"/>
    <n v="1"/>
  </r>
  <r>
    <x v="116"/>
    <n v="0"/>
    <x v="19"/>
    <n v="5"/>
    <s v="MAI"/>
    <n v="0"/>
    <x v="19"/>
    <n v="0"/>
    <s v="13 - 14"/>
    <s v=""/>
    <n v="0"/>
    <n v="0"/>
    <n v="0"/>
    <n v="0"/>
    <n v="0"/>
  </r>
  <r>
    <x v="116"/>
    <n v="0"/>
    <x v="19"/>
    <n v="5"/>
    <s v="MAI"/>
    <n v="0"/>
    <x v="19"/>
    <n v="0"/>
    <e v="#N/A"/>
    <s v=""/>
    <n v="0"/>
    <n v="0"/>
    <n v="0"/>
    <n v="0"/>
    <n v="0"/>
  </r>
  <r>
    <x v="116"/>
    <n v="0"/>
    <x v="19"/>
    <n v="5"/>
    <s v="MAI"/>
    <n v="0"/>
    <x v="19"/>
    <n v="0"/>
    <e v="#N/A"/>
    <s v=""/>
    <n v="0"/>
    <n v="0"/>
    <n v="0"/>
    <n v="0"/>
    <n v="0"/>
  </r>
  <r>
    <x v="117"/>
    <s v="#LIKFG45X3 "/>
    <x v="19"/>
    <n v="5"/>
    <s v="MAI"/>
    <n v="0"/>
    <x v="19"/>
    <n v="0"/>
    <s v="13 - 14"/>
    <d v="1899-12-30T00:36:00"/>
    <n v="8.2899999999999991"/>
    <n v="14.639587070322508"/>
    <n v="5.72"/>
    <n v="9.533333333333367"/>
    <n v="1"/>
  </r>
  <r>
    <x v="117"/>
    <n v="0"/>
    <x v="19"/>
    <n v="5"/>
    <s v="MAI"/>
    <n v="0"/>
    <x v="19"/>
    <n v="0"/>
    <s v="14 - 15"/>
    <s v=""/>
    <n v="0"/>
    <n v="0"/>
    <n v="0"/>
    <n v="0"/>
    <n v="0"/>
  </r>
  <r>
    <x v="117"/>
    <n v="0"/>
    <x v="19"/>
    <n v="5"/>
    <s v="MAI"/>
    <n v="0"/>
    <x v="19"/>
    <n v="0"/>
    <e v="#N/A"/>
    <s v=""/>
    <n v="0"/>
    <n v="0"/>
    <n v="0"/>
    <n v="0"/>
    <n v="0"/>
  </r>
  <r>
    <x v="117"/>
    <n v="0"/>
    <x v="19"/>
    <n v="5"/>
    <s v="MAI"/>
    <n v="0"/>
    <x v="19"/>
    <n v="0"/>
    <e v="#N/A"/>
    <s v=""/>
    <n v="0"/>
    <n v="0"/>
    <n v="0"/>
    <n v="0"/>
    <n v="0"/>
  </r>
  <r>
    <x v="118"/>
    <s v="#LIS8RLC5K "/>
    <x v="19"/>
    <n v="5"/>
    <s v="MAI"/>
    <n v="0"/>
    <x v="19"/>
    <n v="0"/>
    <s v="14 - 15"/>
    <d v="1899-12-30T00:24:00"/>
    <n v="4.7300000000000004"/>
    <n v="8.3528645166013842"/>
    <n v="3.15"/>
    <n v="7.8749999999999751"/>
    <n v="1"/>
  </r>
  <r>
    <x v="118"/>
    <n v="0"/>
    <x v="19"/>
    <n v="5"/>
    <s v="MAI"/>
    <n v="0"/>
    <x v="19"/>
    <n v="0"/>
    <s v="14 - 15"/>
    <s v=""/>
    <n v="0"/>
    <n v="0"/>
    <n v="0"/>
    <n v="0"/>
    <n v="0"/>
  </r>
  <r>
    <x v="118"/>
    <n v="0"/>
    <x v="19"/>
    <n v="5"/>
    <s v="MAI"/>
    <n v="0"/>
    <x v="19"/>
    <n v="0"/>
    <e v="#N/A"/>
    <s v=""/>
    <n v="0"/>
    <n v="0"/>
    <n v="0"/>
    <n v="0"/>
    <n v="0"/>
  </r>
  <r>
    <x v="118"/>
    <n v="0"/>
    <x v="19"/>
    <n v="5"/>
    <s v="MAI"/>
    <n v="0"/>
    <x v="19"/>
    <n v="0"/>
    <e v="#N/A"/>
    <s v=""/>
    <n v="0"/>
    <n v="0"/>
    <n v="0"/>
    <n v="0"/>
    <n v="0"/>
  </r>
  <r>
    <x v="119"/>
    <s v="#LIDP1NDVP "/>
    <x v="19"/>
    <n v="5"/>
    <s v="MAI"/>
    <n v="0"/>
    <x v="19"/>
    <n v="0"/>
    <s v="15 - 16"/>
    <d v="1899-12-30T00:56:00"/>
    <n v="8.82"/>
    <n v="15.575531720174251"/>
    <n v="5.04"/>
    <n v="5.3999999999999888"/>
    <n v="1"/>
  </r>
  <r>
    <x v="119"/>
    <n v="0"/>
    <x v="19"/>
    <n v="5"/>
    <s v="MAI"/>
    <n v="0"/>
    <x v="19"/>
    <n v="0"/>
    <s v="16 - 17"/>
    <s v=""/>
    <n v="0"/>
    <n v="0"/>
    <n v="0"/>
    <n v="0"/>
    <n v="0"/>
  </r>
  <r>
    <x v="119"/>
    <n v="0"/>
    <x v="19"/>
    <n v="5"/>
    <s v="MAI"/>
    <n v="0"/>
    <x v="19"/>
    <n v="0"/>
    <e v="#N/A"/>
    <s v=""/>
    <n v="0"/>
    <n v="0"/>
    <n v="0"/>
    <n v="0"/>
    <n v="0"/>
  </r>
  <r>
    <x v="119"/>
    <n v="0"/>
    <x v="19"/>
    <n v="5"/>
    <s v="MAI"/>
    <n v="0"/>
    <x v="19"/>
    <n v="0"/>
    <e v="#N/A"/>
    <s v=""/>
    <n v="0"/>
    <n v="0"/>
    <n v="0"/>
    <n v="0"/>
    <n v="0"/>
  </r>
  <r>
    <x v="120"/>
    <s v="#LIC11AH8K "/>
    <x v="19"/>
    <n v="5"/>
    <s v="MAI"/>
    <n v="0"/>
    <x v="19"/>
    <n v="0"/>
    <s v="16 - 17"/>
    <d v="1899-12-30T00:03:00"/>
    <n v="2.97"/>
    <n v="5.2448219057729615"/>
    <n v="1.5"/>
    <n v="30.000000000000103"/>
    <n v="1"/>
  </r>
  <r>
    <x v="120"/>
    <n v="0"/>
    <x v="19"/>
    <n v="5"/>
    <s v="MAI"/>
    <n v="0"/>
    <x v="19"/>
    <n v="0"/>
    <s v="16 - 17"/>
    <s v=""/>
    <n v="0"/>
    <n v="0"/>
    <n v="0"/>
    <n v="0"/>
    <n v="0"/>
  </r>
  <r>
    <x v="120"/>
    <n v="0"/>
    <x v="19"/>
    <n v="5"/>
    <s v="MAI"/>
    <n v="0"/>
    <x v="19"/>
    <n v="0"/>
    <e v="#N/A"/>
    <s v=""/>
    <n v="0"/>
    <n v="0"/>
    <n v="0"/>
    <n v="0"/>
    <n v="0"/>
  </r>
  <r>
    <x v="120"/>
    <n v="0"/>
    <x v="19"/>
    <n v="5"/>
    <s v="MAI"/>
    <n v="0"/>
    <x v="19"/>
    <n v="0"/>
    <e v="#N/A"/>
    <s v=""/>
    <n v="0"/>
    <n v="0"/>
    <n v="0"/>
    <n v="0"/>
    <n v="0"/>
  </r>
  <r>
    <x v="121"/>
    <s v="#LI7AGUGFM "/>
    <x v="19"/>
    <n v="5"/>
    <s v="MAI"/>
    <n v="0"/>
    <x v="19"/>
    <n v="0"/>
    <s v="16 - 17"/>
    <d v="1899-12-30T00:53:00"/>
    <n v="9.5"/>
    <n v="16.776366365267048"/>
    <n v="6.17"/>
    <n v="6.984905660377362"/>
    <n v="1"/>
  </r>
  <r>
    <x v="121"/>
    <n v="0"/>
    <x v="19"/>
    <n v="5"/>
    <s v="MAI"/>
    <n v="0"/>
    <x v="19"/>
    <n v="0"/>
    <s v="16 - 17"/>
    <s v=""/>
    <n v="0"/>
    <n v="0"/>
    <n v="0"/>
    <n v="0"/>
    <n v="0"/>
  </r>
  <r>
    <x v="121"/>
    <n v="0"/>
    <x v="19"/>
    <n v="5"/>
    <s v="MAI"/>
    <n v="0"/>
    <x v="19"/>
    <n v="0"/>
    <e v="#N/A"/>
    <s v=""/>
    <n v="0"/>
    <n v="0"/>
    <n v="0"/>
    <n v="0"/>
    <n v="0"/>
  </r>
  <r>
    <x v="121"/>
    <n v="0"/>
    <x v="19"/>
    <n v="5"/>
    <s v="MAI"/>
    <n v="0"/>
    <x v="19"/>
    <n v="0"/>
    <e v="#N/A"/>
    <s v=""/>
    <n v="0"/>
    <n v="0"/>
    <n v="0"/>
    <n v="0"/>
    <n v="0"/>
  </r>
  <r>
    <x v="122"/>
    <s v="#LI2Q16V4R "/>
    <x v="19"/>
    <n v="5"/>
    <s v="MAI"/>
    <n v="0"/>
    <x v="19"/>
    <n v="0"/>
    <s v="20 - 21"/>
    <d v="1899-12-30T00:16:00"/>
    <n v="11.57"/>
    <n v="20.431848299593657"/>
    <n v="6.66"/>
    <n v="24.974999999999838"/>
    <n v="1"/>
  </r>
  <r>
    <x v="122"/>
    <n v="0"/>
    <x v="19"/>
    <n v="5"/>
    <s v="MAI"/>
    <n v="0"/>
    <x v="19"/>
    <n v="0"/>
    <s v="20 - 21"/>
    <s v=""/>
    <n v="0"/>
    <n v="0"/>
    <n v="0"/>
    <n v="0"/>
    <n v="0"/>
  </r>
  <r>
    <x v="122"/>
    <n v="0"/>
    <x v="19"/>
    <n v="5"/>
    <s v="MAI"/>
    <n v="0"/>
    <x v="19"/>
    <n v="0"/>
    <e v="#N/A"/>
    <s v=""/>
    <n v="0"/>
    <n v="0"/>
    <n v="0"/>
    <n v="0"/>
    <n v="0"/>
  </r>
  <r>
    <x v="122"/>
    <n v="0"/>
    <x v="19"/>
    <n v="5"/>
    <s v="MAI"/>
    <n v="0"/>
    <x v="19"/>
    <n v="0"/>
    <e v="#N/A"/>
    <s v=""/>
    <n v="0"/>
    <n v="0"/>
    <n v="0"/>
    <n v="0"/>
    <n v="0"/>
  </r>
  <r>
    <x v="123"/>
    <s v="#LI9N5S32J "/>
    <x v="19"/>
    <n v="5"/>
    <s v="MAI"/>
    <n v="0"/>
    <x v="19"/>
    <n v="0"/>
    <s v="20 - 21"/>
    <d v="1899-12-30T00:30:00"/>
    <n v="5.55"/>
    <n v="9.8009298239191693"/>
    <n v="4.33"/>
    <n v="8.6599999999999842"/>
    <n v="1"/>
  </r>
  <r>
    <x v="123"/>
    <n v="0"/>
    <x v="19"/>
    <n v="5"/>
    <s v="MAI"/>
    <n v="0"/>
    <x v="19"/>
    <n v="0"/>
    <s v="21 - 22"/>
    <s v=""/>
    <n v="0"/>
    <n v="0"/>
    <n v="0"/>
    <n v="0"/>
    <n v="0"/>
  </r>
  <r>
    <x v="123"/>
    <n v="0"/>
    <x v="19"/>
    <n v="5"/>
    <s v="MAI"/>
    <n v="0"/>
    <x v="19"/>
    <n v="0"/>
    <e v="#N/A"/>
    <s v=""/>
    <n v="0"/>
    <n v="0"/>
    <n v="0"/>
    <n v="0"/>
    <n v="0"/>
  </r>
  <r>
    <x v="123"/>
    <n v="0"/>
    <x v="19"/>
    <n v="5"/>
    <s v="MAI"/>
    <n v="0"/>
    <x v="19"/>
    <n v="0"/>
    <e v="#N/A"/>
    <s v=""/>
    <n v="0"/>
    <n v="0"/>
    <n v="0"/>
    <n v="0"/>
    <n v="0"/>
  </r>
  <r>
    <x v="124"/>
    <s v="#LIUY1TULF "/>
    <x v="19"/>
    <n v="5"/>
    <s v="MAI"/>
    <n v="0"/>
    <x v="19"/>
    <n v="0"/>
    <s v="21 - 22"/>
    <d v="1899-12-30T00:27:00"/>
    <n v="4.0599999999999996"/>
    <n v="7.1696892045246541"/>
    <n v="2.97"/>
    <n v="6.6000000000000236"/>
    <n v="1"/>
  </r>
  <r>
    <x v="124"/>
    <n v="0"/>
    <x v="19"/>
    <n v="5"/>
    <s v="MAI"/>
    <n v="0"/>
    <x v="19"/>
    <n v="0"/>
    <s v="21 - 22"/>
    <s v=""/>
    <n v="0"/>
    <n v="0"/>
    <n v="0"/>
    <n v="0"/>
    <n v="0"/>
  </r>
  <r>
    <x v="124"/>
    <n v="0"/>
    <x v="19"/>
    <n v="5"/>
    <s v="MAI"/>
    <n v="0"/>
    <x v="19"/>
    <n v="0"/>
    <e v="#N/A"/>
    <s v=""/>
    <n v="0"/>
    <n v="0"/>
    <n v="0"/>
    <n v="0"/>
    <n v="0"/>
  </r>
  <r>
    <x v="124"/>
    <n v="0"/>
    <x v="19"/>
    <n v="5"/>
    <s v="MAI"/>
    <n v="0"/>
    <x v="19"/>
    <n v="0"/>
    <e v="#N/A"/>
    <s v=""/>
    <n v="0"/>
    <n v="0"/>
    <n v="0"/>
    <n v="0"/>
    <n v="0"/>
  </r>
  <r>
    <x v="125"/>
    <s v="#LILHZJWWL "/>
    <x v="19"/>
    <n v="5"/>
    <s v="MAI"/>
    <n v="0"/>
    <x v="19"/>
    <n v="0"/>
    <s v="21 - 22"/>
    <d v="1899-12-30T00:51:00"/>
    <n v="6.07"/>
    <n v="10.719215140754841"/>
    <n v="3.62"/>
    <n v="4.2588235294117665"/>
    <n v="1"/>
  </r>
  <r>
    <x v="125"/>
    <n v="0"/>
    <x v="19"/>
    <n v="5"/>
    <s v="MAI"/>
    <n v="0"/>
    <x v="19"/>
    <n v="0"/>
    <s v="22 - 23"/>
    <s v=""/>
    <n v="0"/>
    <n v="0"/>
    <n v="0"/>
    <n v="0"/>
    <n v="0"/>
  </r>
  <r>
    <x v="125"/>
    <n v="0"/>
    <x v="19"/>
    <n v="5"/>
    <s v="MAI"/>
    <n v="0"/>
    <x v="19"/>
    <n v="0"/>
    <e v="#N/A"/>
    <s v=""/>
    <n v="0"/>
    <n v="0"/>
    <n v="0"/>
    <n v="0"/>
    <n v="0"/>
  </r>
  <r>
    <x v="125"/>
    <n v="0"/>
    <x v="19"/>
    <n v="5"/>
    <s v="MAI"/>
    <n v="0"/>
    <x v="19"/>
    <n v="0"/>
    <e v="#N/A"/>
    <s v=""/>
    <n v="0"/>
    <n v="0"/>
    <n v="0"/>
    <n v="0"/>
    <n v="0"/>
  </r>
  <r>
    <x v="126"/>
    <s v="#LIVR9ATZE "/>
    <x v="19"/>
    <n v="5"/>
    <s v="MAI"/>
    <n v="0"/>
    <x v="19"/>
    <n v="0"/>
    <s v="21 - 22"/>
    <d v="1899-12-30T00:34:00"/>
    <n v="6.56"/>
    <n v="11.584522458542299"/>
    <n v="3.91"/>
    <n v="6.8999999999999924"/>
    <n v="1"/>
  </r>
  <r>
    <x v="126"/>
    <n v="0"/>
    <x v="19"/>
    <n v="5"/>
    <s v="MAI"/>
    <n v="0"/>
    <x v="19"/>
    <n v="0"/>
    <s v="22 - 23"/>
    <s v=""/>
    <n v="0"/>
    <n v="0"/>
    <n v="0"/>
    <n v="0"/>
    <n v="0"/>
  </r>
  <r>
    <x v="126"/>
    <n v="0"/>
    <x v="19"/>
    <n v="5"/>
    <s v="MAI"/>
    <n v="0"/>
    <x v="19"/>
    <n v="0"/>
    <e v="#N/A"/>
    <s v=""/>
    <n v="0"/>
    <n v="0"/>
    <n v="0"/>
    <n v="0"/>
    <n v="0"/>
  </r>
  <r>
    <x v="127"/>
    <s v="#LIJSK1NN9 "/>
    <x v="20"/>
    <n v="5"/>
    <s v="MAI"/>
    <s v="MAI"/>
    <x v="20"/>
    <n v="28"/>
    <s v="13 - 14"/>
    <d v="1899-12-30T00:38:00"/>
    <n v="4.72"/>
    <n v="8.3352051835853125"/>
    <n v="3.15"/>
    <n v="4.9736842105263124"/>
    <n v="1"/>
  </r>
  <r>
    <x v="127"/>
    <n v="0"/>
    <x v="20"/>
    <n v="5"/>
    <s v="MAI"/>
    <n v="0"/>
    <x v="20"/>
    <n v="0"/>
    <s v="14 - 15"/>
    <s v=""/>
    <n v="0"/>
    <n v="0"/>
    <n v="0"/>
    <n v="0"/>
    <n v="0"/>
  </r>
  <r>
    <x v="127"/>
    <n v="0"/>
    <x v="20"/>
    <n v="5"/>
    <s v="MAI"/>
    <n v="0"/>
    <x v="20"/>
    <n v="0"/>
    <e v="#N/A"/>
    <s v=""/>
    <n v="0"/>
    <n v="0"/>
    <n v="0"/>
    <n v="0"/>
    <n v="0"/>
  </r>
  <r>
    <x v="127"/>
    <n v="0"/>
    <x v="20"/>
    <n v="5"/>
    <s v="MAI"/>
    <n v="0"/>
    <x v="20"/>
    <n v="0"/>
    <e v="#N/A"/>
    <s v=""/>
    <n v="0"/>
    <n v="0"/>
    <n v="0"/>
    <n v="0"/>
    <n v="0"/>
  </r>
  <r>
    <x v="128"/>
    <s v="#LI9GMG76S "/>
    <x v="20"/>
    <n v="5"/>
    <s v="MAI"/>
    <n v="0"/>
    <x v="20"/>
    <n v="0"/>
    <s v="17 - 18"/>
    <d v="1899-12-30T00:41:00"/>
    <n v="4.43"/>
    <n v="7.8230845261192652"/>
    <n v="3.05"/>
    <n v="4.4634146341463401"/>
    <n v="1"/>
  </r>
  <r>
    <x v="128"/>
    <n v="0"/>
    <x v="20"/>
    <n v="5"/>
    <s v="MAI"/>
    <n v="0"/>
    <x v="20"/>
    <n v="0"/>
    <s v="17 - 18"/>
    <s v=""/>
    <n v="0"/>
    <n v="0"/>
    <n v="0"/>
    <n v="0"/>
    <n v="0"/>
  </r>
  <r>
    <x v="128"/>
    <n v="0"/>
    <x v="20"/>
    <n v="5"/>
    <s v="MAI"/>
    <n v="0"/>
    <x v="20"/>
    <n v="0"/>
    <e v="#N/A"/>
    <s v=""/>
    <n v="0"/>
    <n v="0"/>
    <n v="0"/>
    <n v="0"/>
    <n v="0"/>
  </r>
  <r>
    <x v="128"/>
    <n v="0"/>
    <x v="20"/>
    <n v="5"/>
    <s v="MAI"/>
    <n v="0"/>
    <x v="20"/>
    <n v="0"/>
    <e v="#N/A"/>
    <s v=""/>
    <n v="0"/>
    <n v="0"/>
    <n v="0"/>
    <n v="0"/>
    <n v="0"/>
  </r>
  <r>
    <x v="129"/>
    <s v="#LIGEJ1L3M "/>
    <x v="20"/>
    <n v="5"/>
    <s v="MAI"/>
    <n v="0"/>
    <x v="20"/>
    <n v="0"/>
    <s v="18 - 19"/>
    <d v="1899-12-30T00:36:00"/>
    <n v="2.31"/>
    <n v="4.0793059267123031"/>
    <n v="2.2999999999999998"/>
    <n v="3.8333333333333468"/>
    <n v="1"/>
  </r>
  <r>
    <x v="129"/>
    <n v="0"/>
    <x v="20"/>
    <n v="5"/>
    <s v="MAI"/>
    <n v="0"/>
    <x v="20"/>
    <n v="0"/>
    <s v="18 - 19"/>
    <s v=""/>
    <n v="0"/>
    <n v="0"/>
    <n v="0"/>
    <n v="0"/>
    <n v="0"/>
  </r>
  <r>
    <x v="129"/>
    <n v="0"/>
    <x v="20"/>
    <n v="5"/>
    <s v="MAI"/>
    <n v="0"/>
    <x v="20"/>
    <n v="0"/>
    <e v="#N/A"/>
    <s v=""/>
    <n v="0"/>
    <n v="0"/>
    <n v="0"/>
    <n v="0"/>
    <n v="0"/>
  </r>
  <r>
    <x v="129"/>
    <n v="0"/>
    <x v="20"/>
    <n v="5"/>
    <s v="MAI"/>
    <n v="0"/>
    <x v="20"/>
    <n v="0"/>
    <e v="#N/A"/>
    <s v=""/>
    <n v="0"/>
    <n v="0"/>
    <n v="0"/>
    <n v="0"/>
    <n v="0"/>
  </r>
  <r>
    <x v="130"/>
    <s v="#LIPSQD9SM "/>
    <x v="20"/>
    <n v="5"/>
    <s v="MAI"/>
    <n v="0"/>
    <x v="20"/>
    <n v="0"/>
    <s v="19 - 20"/>
    <d v="1899-12-30T00:21:00"/>
    <n v="3.02"/>
    <n v="5.3331185708533146"/>
    <n v="2.56"/>
    <n v="7.3142857142857958"/>
    <n v="1"/>
  </r>
  <r>
    <x v="130"/>
    <n v="0"/>
    <x v="20"/>
    <n v="5"/>
    <s v="MAI"/>
    <n v="0"/>
    <x v="20"/>
    <n v="0"/>
    <s v="19 - 20"/>
    <s v=""/>
    <n v="0"/>
    <n v="0"/>
    <n v="0"/>
    <n v="0"/>
    <n v="0"/>
  </r>
  <r>
    <x v="130"/>
    <n v="0"/>
    <x v="20"/>
    <n v="5"/>
    <s v="MAI"/>
    <n v="0"/>
    <x v="20"/>
    <n v="0"/>
    <e v="#N/A"/>
    <s v=""/>
    <n v="0"/>
    <n v="0"/>
    <n v="0"/>
    <n v="0"/>
    <n v="0"/>
  </r>
  <r>
    <x v="130"/>
    <n v="0"/>
    <x v="20"/>
    <n v="5"/>
    <s v="MAI"/>
    <n v="0"/>
    <x v="20"/>
    <n v="0"/>
    <e v="#N/A"/>
    <s v=""/>
    <n v="0"/>
    <n v="0"/>
    <n v="0"/>
    <n v="0"/>
    <n v="0"/>
  </r>
  <r>
    <x v="131"/>
    <s v="#LIFT7UKD1 "/>
    <x v="20"/>
    <n v="5"/>
    <s v="MAI"/>
    <n v="0"/>
    <x v="20"/>
    <n v="0"/>
    <s v="19 - 20"/>
    <d v="1899-12-30T00:42:00"/>
    <n v="3.13"/>
    <n v="5.5273712340300909"/>
    <n v="2.59"/>
    <n v="3.7000000000000131"/>
    <n v="1"/>
  </r>
  <r>
    <x v="131"/>
    <n v="0"/>
    <x v="20"/>
    <n v="5"/>
    <s v="MAI"/>
    <n v="0"/>
    <x v="20"/>
    <n v="0"/>
    <s v="20 - 21"/>
    <s v=""/>
    <n v="0"/>
    <n v="0"/>
    <n v="0"/>
    <n v="0"/>
    <n v="0"/>
  </r>
  <r>
    <x v="131"/>
    <n v="0"/>
    <x v="20"/>
    <n v="5"/>
    <s v="MAI"/>
    <n v="0"/>
    <x v="20"/>
    <n v="0"/>
    <e v="#N/A"/>
    <s v=""/>
    <n v="0"/>
    <n v="0"/>
    <n v="0"/>
    <n v="0"/>
    <n v="0"/>
  </r>
  <r>
    <x v="131"/>
    <n v="0"/>
    <x v="20"/>
    <n v="5"/>
    <s v="MAI"/>
    <n v="0"/>
    <x v="20"/>
    <n v="0"/>
    <e v="#N/A"/>
    <s v=""/>
    <n v="0"/>
    <n v="0"/>
    <n v="0"/>
    <n v="0"/>
    <n v="0"/>
  </r>
  <r>
    <x v="132"/>
    <s v="#LISLRCUME "/>
    <x v="20"/>
    <n v="5"/>
    <s v="MAI"/>
    <n v="0"/>
    <x v="20"/>
    <n v="0"/>
    <s v="20 - 21"/>
    <d v="1899-12-30T00:22:00"/>
    <n v="3"/>
    <n v="5.297799904821173"/>
    <n v="2.54"/>
    <n v="6.9272727272727534"/>
    <n v="1"/>
  </r>
  <r>
    <x v="132"/>
    <n v="0"/>
    <x v="20"/>
    <n v="5"/>
    <s v="MAI"/>
    <n v="0"/>
    <x v="20"/>
    <n v="0"/>
    <s v="20 - 21"/>
    <s v=""/>
    <n v="0"/>
    <n v="0"/>
    <n v="0"/>
    <n v="0"/>
    <n v="0"/>
  </r>
  <r>
    <x v="132"/>
    <n v="0"/>
    <x v="20"/>
    <n v="5"/>
    <s v="MAI"/>
    <n v="0"/>
    <x v="20"/>
    <n v="0"/>
    <e v="#N/A"/>
    <s v=""/>
    <n v="0"/>
    <n v="0"/>
    <n v="0"/>
    <n v="0"/>
    <n v="0"/>
  </r>
  <r>
    <x v="132"/>
    <n v="0"/>
    <x v="20"/>
    <n v="5"/>
    <s v="MAI"/>
    <n v="0"/>
    <x v="20"/>
    <n v="0"/>
    <e v="#N/A"/>
    <s v=""/>
    <n v="0"/>
    <n v="0"/>
    <n v="0"/>
    <n v="0"/>
    <n v="0"/>
  </r>
  <r>
    <x v="133"/>
    <s v="#LIV3WP5TL "/>
    <x v="20"/>
    <n v="5"/>
    <s v="MAI"/>
    <n v="0"/>
    <x v="20"/>
    <n v="0"/>
    <s v="20 - 21"/>
    <d v="1899-12-30T00:38:00"/>
    <n v="2.3199999999999998"/>
    <n v="4.0969652597283739"/>
    <n v="3.1"/>
    <n v="4.8947368421052806"/>
    <n v="1"/>
  </r>
  <r>
    <x v="133"/>
    <n v="0"/>
    <x v="20"/>
    <n v="5"/>
    <s v="MAI"/>
    <n v="0"/>
    <x v="20"/>
    <n v="0"/>
    <s v="21 - 22"/>
    <s v=""/>
    <n v="0"/>
    <n v="0"/>
    <n v="0"/>
    <n v="0"/>
    <n v="0"/>
  </r>
  <r>
    <x v="133"/>
    <n v="0"/>
    <x v="20"/>
    <n v="5"/>
    <s v="MAI"/>
    <n v="0"/>
    <x v="20"/>
    <n v="0"/>
    <e v="#N/A"/>
    <s v=""/>
    <n v="0"/>
    <n v="0"/>
    <n v="0"/>
    <n v="0"/>
    <n v="0"/>
  </r>
  <r>
    <x v="133"/>
    <n v="0"/>
    <x v="20"/>
    <n v="5"/>
    <s v="MAI"/>
    <n v="0"/>
    <x v="20"/>
    <n v="0"/>
    <e v="#N/A"/>
    <s v=""/>
    <n v="0"/>
    <n v="0"/>
    <n v="0"/>
    <n v="0"/>
    <n v="0"/>
  </r>
  <r>
    <x v="134"/>
    <s v="#LIDNZ19JN "/>
    <x v="20"/>
    <n v="5"/>
    <s v="MAI"/>
    <n v="0"/>
    <x v="20"/>
    <n v="0"/>
    <s v="21 - 22"/>
    <d v="1899-12-30T00:27:00"/>
    <n v="4.05"/>
    <n v="7.1520298715085833"/>
    <n v="2.91"/>
    <n v="6.4666666666666899"/>
    <n v="1"/>
  </r>
  <r>
    <x v="134"/>
    <n v="0"/>
    <x v="20"/>
    <n v="5"/>
    <s v="MAI"/>
    <n v="0"/>
    <x v="20"/>
    <n v="0"/>
    <s v="21 - 22"/>
    <s v=""/>
    <n v="0"/>
    <n v="0"/>
    <n v="0"/>
    <n v="0"/>
    <n v="0"/>
  </r>
  <r>
    <x v="134"/>
    <n v="0"/>
    <x v="20"/>
    <n v="5"/>
    <s v="MAI"/>
    <n v="0"/>
    <x v="20"/>
    <n v="0"/>
    <e v="#N/A"/>
    <s v=""/>
    <n v="0"/>
    <n v="0"/>
    <n v="0"/>
    <n v="0"/>
    <n v="0"/>
  </r>
  <r>
    <x v="134"/>
    <n v="0"/>
    <x v="20"/>
    <n v="5"/>
    <s v="MAI"/>
    <n v="0"/>
    <x v="20"/>
    <n v="0"/>
    <e v="#N/A"/>
    <s v=""/>
    <n v="0"/>
    <n v="0"/>
    <n v="0"/>
    <n v="0"/>
    <n v="0"/>
  </r>
  <r>
    <x v="135"/>
    <s v="#LICWH2RHW "/>
    <x v="20"/>
    <n v="5"/>
    <s v="MAI"/>
    <n v="0"/>
    <x v="20"/>
    <n v="0"/>
    <s v="22 - 23"/>
    <d v="1899-12-30T00:43:00"/>
    <n v="14.53"/>
    <n v="25.659010872350549"/>
    <n v="7.3"/>
    <n v="10.186046511627943"/>
    <n v="1"/>
  </r>
  <r>
    <x v="135"/>
    <n v="0"/>
    <x v="20"/>
    <n v="5"/>
    <s v="MAI"/>
    <n v="0"/>
    <x v="20"/>
    <n v="0"/>
    <s v="22 - 23"/>
    <s v=""/>
    <n v="0"/>
    <n v="0"/>
    <n v="0"/>
    <n v="0"/>
    <n v="0"/>
  </r>
  <r>
    <x v="135"/>
    <n v="0"/>
    <x v="20"/>
    <n v="5"/>
    <s v="MAI"/>
    <n v="0"/>
    <x v="20"/>
    <n v="0"/>
    <e v="#N/A"/>
    <s v=""/>
    <n v="0"/>
    <n v="0"/>
    <n v="0"/>
    <n v="0"/>
    <n v="0"/>
  </r>
  <r>
    <x v="136"/>
    <s v="#LI1LFUAUJ "/>
    <x v="21"/>
    <n v="5"/>
    <s v="MAI"/>
    <s v="MAI"/>
    <x v="21"/>
    <n v="29"/>
    <s v="12 - 13"/>
    <d v="1899-12-30T00:31:00"/>
    <n v="2.57"/>
    <n v="4.5384485851301379"/>
    <n v="2.4"/>
    <n v="4.645161290322573"/>
    <n v="1"/>
  </r>
  <r>
    <x v="136"/>
    <n v="0"/>
    <x v="21"/>
    <n v="5"/>
    <s v="MAI"/>
    <n v="0"/>
    <x v="21"/>
    <n v="0"/>
    <s v="12 - 13"/>
    <s v=""/>
    <n v="0"/>
    <n v="0"/>
    <n v="0"/>
    <n v="0"/>
    <n v="0"/>
  </r>
  <r>
    <x v="136"/>
    <n v="0"/>
    <x v="21"/>
    <n v="5"/>
    <s v="MAI"/>
    <n v="0"/>
    <x v="21"/>
    <n v="0"/>
    <e v="#N/A"/>
    <s v=""/>
    <n v="0"/>
    <n v="0"/>
    <n v="0"/>
    <n v="0"/>
    <n v="0"/>
  </r>
  <r>
    <x v="136"/>
    <n v="0"/>
    <x v="21"/>
    <n v="5"/>
    <s v="MAI"/>
    <n v="0"/>
    <x v="21"/>
    <n v="0"/>
    <e v="#N/A"/>
    <s v=""/>
    <n v="0"/>
    <n v="0"/>
    <n v="0"/>
    <n v="0"/>
    <n v="0"/>
  </r>
  <r>
    <x v="137"/>
    <s v="#LI28XH6J1 "/>
    <x v="21"/>
    <n v="5"/>
    <s v="MAI"/>
    <n v="0"/>
    <x v="21"/>
    <n v="0"/>
    <s v="12 - 13"/>
    <d v="1899-12-30T00:32:00"/>
    <n v="3.54"/>
    <n v="6.2514038876889844"/>
    <n v="2.73"/>
    <n v="5.1187499999999924"/>
    <n v="1"/>
  </r>
  <r>
    <x v="137"/>
    <n v="0"/>
    <x v="21"/>
    <n v="5"/>
    <s v="MAI"/>
    <n v="0"/>
    <x v="21"/>
    <n v="0"/>
    <s v="13 - 14"/>
    <s v=""/>
    <n v="0"/>
    <n v="0"/>
    <n v="0"/>
    <n v="0"/>
    <n v="0"/>
  </r>
  <r>
    <x v="137"/>
    <n v="0"/>
    <x v="21"/>
    <n v="5"/>
    <s v="MAI"/>
    <n v="0"/>
    <x v="21"/>
    <n v="0"/>
    <e v="#N/A"/>
    <s v=""/>
    <n v="0"/>
    <n v="0"/>
    <n v="0"/>
    <n v="0"/>
    <n v="0"/>
  </r>
  <r>
    <x v="137"/>
    <n v="0"/>
    <x v="21"/>
    <n v="5"/>
    <s v="MAI"/>
    <n v="0"/>
    <x v="21"/>
    <n v="0"/>
    <e v="#N/A"/>
    <s v=""/>
    <n v="0"/>
    <n v="0"/>
    <n v="0"/>
    <n v="0"/>
    <n v="0"/>
  </r>
  <r>
    <x v="138"/>
    <s v="#LIHJWWDRK "/>
    <x v="21"/>
    <n v="5"/>
    <s v="MAI"/>
    <n v="0"/>
    <x v="21"/>
    <n v="0"/>
    <s v="13 - 14"/>
    <d v="1899-12-30T00:28:00"/>
    <n v="2.9"/>
    <n v="5.1212065746604676"/>
    <n v="2.5099999999999998"/>
    <n v="5.3785714285714477"/>
    <n v="1"/>
  </r>
  <r>
    <x v="138"/>
    <n v="0"/>
    <x v="21"/>
    <n v="5"/>
    <s v="MAI"/>
    <n v="0"/>
    <x v="21"/>
    <n v="0"/>
    <s v="13 - 14"/>
    <s v=""/>
    <n v="0"/>
    <n v="0"/>
    <n v="0"/>
    <n v="0"/>
    <n v="0"/>
  </r>
  <r>
    <x v="138"/>
    <n v="0"/>
    <x v="21"/>
    <n v="5"/>
    <s v="MAI"/>
    <n v="0"/>
    <x v="21"/>
    <n v="0"/>
    <e v="#N/A"/>
    <s v=""/>
    <n v="0"/>
    <n v="0"/>
    <n v="0"/>
    <n v="0"/>
    <n v="0"/>
  </r>
  <r>
    <x v="138"/>
    <n v="0"/>
    <x v="21"/>
    <n v="5"/>
    <s v="MAI"/>
    <n v="0"/>
    <x v="21"/>
    <n v="0"/>
    <e v="#N/A"/>
    <s v=""/>
    <n v="0"/>
    <n v="0"/>
    <n v="0"/>
    <n v="0"/>
    <n v="0"/>
  </r>
  <r>
    <x v="139"/>
    <s v="#LILYXFPXW "/>
    <x v="21"/>
    <n v="5"/>
    <s v="MAI"/>
    <n v="0"/>
    <x v="21"/>
    <n v="0"/>
    <s v="19 - 20"/>
    <d v="1899-12-30T00:57:00"/>
    <n v="6.93"/>
    <n v="12.237917780136909"/>
    <n v="3.92"/>
    <n v="4.1263157894736642"/>
    <n v="1"/>
  </r>
  <r>
    <x v="139"/>
    <n v="0"/>
    <x v="21"/>
    <n v="5"/>
    <s v="MAI"/>
    <n v="0"/>
    <x v="21"/>
    <n v="0"/>
    <s v="20 - 21"/>
    <s v=""/>
    <n v="0"/>
    <n v="0"/>
    <n v="0"/>
    <n v="0"/>
    <n v="0"/>
  </r>
  <r>
    <x v="139"/>
    <n v="0"/>
    <x v="21"/>
    <n v="5"/>
    <s v="MAI"/>
    <n v="0"/>
    <x v="21"/>
    <n v="0"/>
    <e v="#N/A"/>
    <s v=""/>
    <n v="0"/>
    <n v="0"/>
    <n v="0"/>
    <n v="0"/>
    <n v="0"/>
  </r>
  <r>
    <x v="139"/>
    <n v="0"/>
    <x v="21"/>
    <n v="5"/>
    <s v="MAI"/>
    <n v="0"/>
    <x v="21"/>
    <n v="0"/>
    <e v="#N/A"/>
    <s v=""/>
    <n v="0"/>
    <n v="0"/>
    <n v="0"/>
    <n v="0"/>
    <n v="0"/>
  </r>
  <r>
    <x v="140"/>
    <s v="#LIGGEUDV3 "/>
    <x v="21"/>
    <n v="5"/>
    <s v="MAI"/>
    <n v="0"/>
    <x v="21"/>
    <n v="0"/>
    <s v="20 - 21"/>
    <d v="1899-12-30T00:33:00"/>
    <n v="4.21"/>
    <n v="7.4345791997657127"/>
    <n v="3.27"/>
    <n v="5.9454545454545951"/>
    <n v="1"/>
  </r>
  <r>
    <x v="140"/>
    <n v="0"/>
    <x v="21"/>
    <n v="5"/>
    <s v="MAI"/>
    <n v="0"/>
    <x v="21"/>
    <n v="0"/>
    <s v="20 - 21"/>
    <s v=""/>
    <n v="0"/>
    <n v="0"/>
    <n v="0"/>
    <n v="0"/>
    <n v="0"/>
  </r>
  <r>
    <x v="140"/>
    <n v="0"/>
    <x v="21"/>
    <n v="5"/>
    <s v="MAI"/>
    <n v="0"/>
    <x v="21"/>
    <n v="0"/>
    <e v="#N/A"/>
    <s v=""/>
    <n v="0"/>
    <n v="0"/>
    <n v="0"/>
    <n v="0"/>
    <n v="0"/>
  </r>
  <r>
    <x v="140"/>
    <n v="0"/>
    <x v="21"/>
    <n v="5"/>
    <s v="MAI"/>
    <n v="0"/>
    <x v="21"/>
    <n v="0"/>
    <e v="#N/A"/>
    <s v=""/>
    <n v="0"/>
    <n v="0"/>
    <n v="0"/>
    <n v="0"/>
    <n v="0"/>
  </r>
  <r>
    <x v="141"/>
    <s v="#LI5NCRWZT "/>
    <x v="21"/>
    <n v="5"/>
    <s v="MAI"/>
    <n v="0"/>
    <x v="21"/>
    <n v="0"/>
    <s v="21 - 22"/>
    <d v="1899-12-30T00:34:00"/>
    <n v="12.34"/>
    <n v="21.791616941831091"/>
    <n v="6.13"/>
    <n v="10.817647058823518"/>
    <n v="1"/>
  </r>
  <r>
    <x v="141"/>
    <n v="0"/>
    <x v="21"/>
    <n v="5"/>
    <s v="MAI"/>
    <n v="0"/>
    <x v="21"/>
    <n v="0"/>
    <s v="22 - 23"/>
    <s v=""/>
    <n v="0"/>
    <n v="0"/>
    <n v="0"/>
    <n v="0"/>
    <n v="0"/>
  </r>
  <r>
    <x v="141"/>
    <n v="0"/>
    <x v="21"/>
    <n v="5"/>
    <s v="MAI"/>
    <n v="0"/>
    <x v="21"/>
    <n v="0"/>
    <e v="#N/A"/>
    <s v=""/>
    <n v="0"/>
    <n v="0"/>
    <n v="0"/>
    <n v="0"/>
    <n v="0"/>
  </r>
  <r>
    <x v="142"/>
    <s v="#LIL2LC8WQ "/>
    <x v="22"/>
    <n v="5"/>
    <s v="MAI"/>
    <s v="MAI"/>
    <x v="22"/>
    <n v="30"/>
    <s v="12 - 13"/>
    <d v="1899-12-30T00:40:00"/>
    <n v="7.28"/>
    <n v="12.855994435699381"/>
    <n v="4.04"/>
    <n v="6.0599999999999969"/>
    <n v="1"/>
  </r>
  <r>
    <x v="142"/>
    <n v="0"/>
    <x v="22"/>
    <n v="5"/>
    <s v="MAI"/>
    <n v="0"/>
    <x v="22"/>
    <n v="0"/>
    <s v="12 - 13"/>
    <s v=""/>
    <n v="0"/>
    <n v="0"/>
    <n v="0"/>
    <n v="0"/>
    <n v="0"/>
  </r>
  <r>
    <x v="142"/>
    <n v="0"/>
    <x v="22"/>
    <n v="5"/>
    <s v="MAI"/>
    <n v="0"/>
    <x v="22"/>
    <n v="0"/>
    <e v="#N/A"/>
    <s v=""/>
    <n v="0"/>
    <n v="0"/>
    <n v="0"/>
    <n v="0"/>
    <n v="0"/>
  </r>
  <r>
    <x v="142"/>
    <n v="0"/>
    <x v="22"/>
    <n v="5"/>
    <s v="MAI"/>
    <n v="0"/>
    <x v="22"/>
    <n v="0"/>
    <e v="#N/A"/>
    <s v=""/>
    <n v="0"/>
    <n v="0"/>
    <n v="0"/>
    <n v="0"/>
    <n v="0"/>
  </r>
  <r>
    <x v="143"/>
    <s v="#LIEV1PAUV "/>
    <x v="22"/>
    <n v="5"/>
    <s v="MAI"/>
    <n v="0"/>
    <x v="22"/>
    <n v="0"/>
    <s v="12 - 13"/>
    <d v="1899-12-30T00:23:00"/>
    <n v="5.23"/>
    <n v="9.2358311674049123"/>
    <n v="4.32"/>
    <n v="11.269565217391348"/>
    <n v="1"/>
  </r>
  <r>
    <x v="143"/>
    <n v="0"/>
    <x v="22"/>
    <n v="5"/>
    <s v="MAI"/>
    <n v="0"/>
    <x v="22"/>
    <n v="0"/>
    <s v="13 - 14"/>
    <s v=""/>
    <n v="0"/>
    <n v="0"/>
    <n v="0"/>
    <n v="0"/>
    <n v="0"/>
  </r>
  <r>
    <x v="143"/>
    <n v="0"/>
    <x v="22"/>
    <n v="5"/>
    <s v="MAI"/>
    <n v="0"/>
    <x v="22"/>
    <n v="0"/>
    <e v="#N/A"/>
    <s v=""/>
    <n v="0"/>
    <n v="0"/>
    <n v="0"/>
    <n v="0"/>
    <n v="0"/>
  </r>
  <r>
    <x v="143"/>
    <n v="0"/>
    <x v="22"/>
    <n v="5"/>
    <s v="MAI"/>
    <n v="0"/>
    <x v="22"/>
    <n v="0"/>
    <e v="#N/A"/>
    <s v=""/>
    <n v="0"/>
    <n v="0"/>
    <n v="0"/>
    <n v="0"/>
    <n v="0"/>
  </r>
  <r>
    <x v="144"/>
    <s v="#LIA4FV9AQ "/>
    <x v="22"/>
    <n v="5"/>
    <s v="MAI"/>
    <n v="0"/>
    <x v="22"/>
    <n v="0"/>
    <s v="13 - 14"/>
    <d v="1899-12-30T00:27:00"/>
    <n v="3.81"/>
    <n v="6.72820587912289"/>
    <n v="2.83"/>
    <n v="6.2888888888888745"/>
    <n v="1"/>
  </r>
  <r>
    <x v="144"/>
    <n v="0"/>
    <x v="22"/>
    <n v="5"/>
    <s v="MAI"/>
    <n v="0"/>
    <x v="22"/>
    <n v="0"/>
    <s v="13 - 14"/>
    <s v=""/>
    <n v="0"/>
    <n v="0"/>
    <n v="0"/>
    <n v="0"/>
    <n v="0"/>
  </r>
  <r>
    <x v="144"/>
    <n v="0"/>
    <x v="22"/>
    <n v="5"/>
    <s v="MAI"/>
    <n v="0"/>
    <x v="22"/>
    <n v="0"/>
    <e v="#N/A"/>
    <s v=""/>
    <n v="0"/>
    <n v="0"/>
    <n v="0"/>
    <n v="0"/>
    <n v="0"/>
  </r>
  <r>
    <x v="144"/>
    <n v="0"/>
    <x v="22"/>
    <n v="5"/>
    <s v="MAI"/>
    <n v="0"/>
    <x v="22"/>
    <n v="0"/>
    <e v="#N/A"/>
    <s v=""/>
    <n v="0"/>
    <n v="0"/>
    <n v="0"/>
    <n v="0"/>
    <n v="0"/>
  </r>
  <r>
    <x v="145"/>
    <s v="#LIUDVJDU4 "/>
    <x v="22"/>
    <n v="5"/>
    <s v="MAI"/>
    <n v="0"/>
    <x v="22"/>
    <n v="0"/>
    <s v="13 - 14"/>
    <d v="1899-12-30T00:34:00"/>
    <n v="6.79"/>
    <n v="11.990687117911921"/>
    <n v="3.87"/>
    <n v="6.829411764705875"/>
    <n v="1"/>
  </r>
  <r>
    <x v="145"/>
    <n v="0"/>
    <x v="22"/>
    <n v="5"/>
    <s v="MAI"/>
    <n v="0"/>
    <x v="22"/>
    <n v="0"/>
    <s v="14 - 15"/>
    <s v=""/>
    <n v="0"/>
    <n v="0"/>
    <n v="0"/>
    <n v="0"/>
    <n v="0"/>
  </r>
  <r>
    <x v="145"/>
    <n v="0"/>
    <x v="22"/>
    <n v="5"/>
    <s v="MAI"/>
    <n v="0"/>
    <x v="22"/>
    <n v="0"/>
    <e v="#N/A"/>
    <s v=""/>
    <n v="0"/>
    <n v="0"/>
    <n v="0"/>
    <n v="0"/>
    <n v="0"/>
  </r>
  <r>
    <x v="145"/>
    <n v="0"/>
    <x v="22"/>
    <n v="5"/>
    <s v="MAI"/>
    <n v="0"/>
    <x v="22"/>
    <n v="0"/>
    <e v="#N/A"/>
    <s v=""/>
    <n v="0"/>
    <n v="0"/>
    <n v="0"/>
    <n v="0"/>
    <n v="0"/>
  </r>
  <r>
    <x v="146"/>
    <s v="#LIBNSL1MN "/>
    <x v="22"/>
    <n v="5"/>
    <s v="MAI"/>
    <n v="0"/>
    <x v="22"/>
    <n v="0"/>
    <s v="14 - 15"/>
    <d v="1899-12-30T00:40:00"/>
    <n v="5.42"/>
    <n v="9.5713584947102532"/>
    <n v="3.39"/>
    <n v="5.0850000000000186"/>
    <n v="1"/>
  </r>
  <r>
    <x v="146"/>
    <n v="0"/>
    <x v="22"/>
    <n v="5"/>
    <s v="MAI"/>
    <n v="0"/>
    <x v="22"/>
    <n v="0"/>
    <s v="14 - 15"/>
    <s v=""/>
    <n v="0"/>
    <n v="0"/>
    <n v="0"/>
    <n v="0"/>
    <n v="0"/>
  </r>
  <r>
    <x v="146"/>
    <n v="0"/>
    <x v="22"/>
    <n v="5"/>
    <s v="MAI"/>
    <n v="0"/>
    <x v="22"/>
    <n v="0"/>
    <e v="#N/A"/>
    <s v=""/>
    <n v="0"/>
    <n v="0"/>
    <n v="0"/>
    <n v="0"/>
    <n v="0"/>
  </r>
  <r>
    <x v="146"/>
    <n v="0"/>
    <x v="22"/>
    <n v="5"/>
    <s v="MAI"/>
    <n v="0"/>
    <x v="22"/>
    <n v="0"/>
    <e v="#N/A"/>
    <s v=""/>
    <n v="0"/>
    <n v="0"/>
    <n v="0"/>
    <n v="0"/>
    <n v="0"/>
  </r>
  <r>
    <x v="147"/>
    <s v="#LIVTHPDHY "/>
    <x v="22"/>
    <n v="5"/>
    <s v="MAI"/>
    <n v="0"/>
    <x v="22"/>
    <n v="0"/>
    <s v="19 - 20"/>
    <d v="1899-12-30T00:26:00"/>
    <n v="4.09"/>
    <n v="7.2226672035728656"/>
    <n v="2.98"/>
    <n v="6.8769230769231013"/>
    <n v="1"/>
  </r>
  <r>
    <x v="147"/>
    <n v="0"/>
    <x v="22"/>
    <n v="5"/>
    <s v="MAI"/>
    <n v="0"/>
    <x v="22"/>
    <n v="0"/>
    <s v="19 - 20"/>
    <s v=""/>
    <n v="0"/>
    <n v="0"/>
    <n v="0"/>
    <n v="0"/>
    <n v="0"/>
  </r>
  <r>
    <x v="147"/>
    <n v="0"/>
    <x v="22"/>
    <n v="5"/>
    <s v="MAI"/>
    <n v="0"/>
    <x v="22"/>
    <n v="0"/>
    <e v="#N/A"/>
    <s v=""/>
    <n v="0"/>
    <n v="0"/>
    <n v="0"/>
    <n v="0"/>
    <n v="0"/>
  </r>
  <r>
    <x v="147"/>
    <n v="0"/>
    <x v="22"/>
    <n v="5"/>
    <s v="MAI"/>
    <n v="0"/>
    <x v="22"/>
    <n v="0"/>
    <e v="#N/A"/>
    <s v=""/>
    <n v="0"/>
    <n v="0"/>
    <n v="0"/>
    <n v="0"/>
    <n v="0"/>
  </r>
  <r>
    <x v="148"/>
    <s v="#LIW8MG1AF "/>
    <x v="22"/>
    <n v="5"/>
    <s v="MAI"/>
    <n v="0"/>
    <x v="22"/>
    <n v="0"/>
    <s v="19 - 20"/>
    <d v="1899-12-30T00:46:00"/>
    <n v="6.52"/>
    <n v="11.513885126478016"/>
    <n v="3.78"/>
    <n v="4.9304347826086952"/>
    <n v="1"/>
  </r>
  <r>
    <x v="148"/>
    <n v="0"/>
    <x v="22"/>
    <n v="5"/>
    <s v="MAI"/>
    <n v="0"/>
    <x v="22"/>
    <n v="0"/>
    <s v="20 - 21"/>
    <s v=""/>
    <n v="0"/>
    <n v="0"/>
    <n v="0"/>
    <n v="0"/>
    <n v="0"/>
  </r>
  <r>
    <x v="148"/>
    <n v="0"/>
    <x v="22"/>
    <n v="5"/>
    <s v="MAI"/>
    <n v="0"/>
    <x v="22"/>
    <n v="0"/>
    <e v="#N/A"/>
    <s v=""/>
    <n v="0"/>
    <n v="0"/>
    <n v="0"/>
    <n v="0"/>
    <n v="0"/>
  </r>
  <r>
    <x v="148"/>
    <n v="0"/>
    <x v="22"/>
    <n v="5"/>
    <s v="MAI"/>
    <n v="0"/>
    <x v="22"/>
    <n v="0"/>
    <e v="#N/A"/>
    <s v=""/>
    <n v="0"/>
    <n v="0"/>
    <n v="0"/>
    <n v="0"/>
    <n v="0"/>
  </r>
  <r>
    <x v="149"/>
    <s v="#LIJJ4HGLV "/>
    <x v="22"/>
    <n v="5"/>
    <s v="MAI"/>
    <n v="0"/>
    <x v="22"/>
    <n v="0"/>
    <s v="20 - 21"/>
    <d v="1899-12-30T00:50:00"/>
    <n v="17.43"/>
    <n v="30.780217447011015"/>
    <n v="8.91"/>
    <n v="10.69199999999997"/>
    <n v="1"/>
  </r>
  <r>
    <x v="149"/>
    <n v="0"/>
    <x v="22"/>
    <n v="5"/>
    <s v="MAI"/>
    <n v="0"/>
    <x v="22"/>
    <n v="0"/>
    <s v="21 - 22"/>
    <s v=""/>
    <n v="0"/>
    <n v="0"/>
    <n v="0"/>
    <n v="0"/>
    <n v="0"/>
  </r>
  <r>
    <x v="149"/>
    <n v="0"/>
    <x v="22"/>
    <n v="5"/>
    <s v="MAI"/>
    <n v="0"/>
    <x v="22"/>
    <n v="0"/>
    <e v="#N/A"/>
    <s v=""/>
    <n v="0"/>
    <n v="0"/>
    <n v="0"/>
    <n v="0"/>
    <n v="0"/>
  </r>
  <r>
    <x v="149"/>
    <n v="0"/>
    <x v="22"/>
    <n v="5"/>
    <s v="MAI"/>
    <n v="0"/>
    <x v="22"/>
    <n v="0"/>
    <e v="#N/A"/>
    <s v=""/>
    <n v="0"/>
    <n v="0"/>
    <n v="0"/>
    <n v="0"/>
    <n v="0"/>
  </r>
  <r>
    <x v="150"/>
    <s v="#LIUAHR5F1 "/>
    <x v="22"/>
    <n v="5"/>
    <s v="MAI"/>
    <n v="0"/>
    <x v="22"/>
    <n v="0"/>
    <s v="22 - 23"/>
    <d v="1899-12-30T00:10:00"/>
    <n v="2.92"/>
    <n v="5.1565252406926083"/>
    <n v="2.52"/>
    <n v="15.120000000000296"/>
    <n v="1"/>
  </r>
  <r>
    <x v="150"/>
    <n v="0"/>
    <x v="22"/>
    <n v="5"/>
    <s v="MAI"/>
    <n v="0"/>
    <x v="22"/>
    <n v="0"/>
    <s v="22 - 23"/>
    <s v=""/>
    <n v="0"/>
    <n v="0"/>
    <n v="0"/>
    <n v="0"/>
    <n v="0"/>
  </r>
  <r>
    <x v="150"/>
    <n v="0"/>
    <x v="22"/>
    <n v="5"/>
    <s v="MAI"/>
    <n v="0"/>
    <x v="22"/>
    <n v="0"/>
    <e v="#N/A"/>
    <s v=""/>
    <n v="0"/>
    <n v="0"/>
    <n v="0"/>
    <n v="0"/>
    <n v="0"/>
  </r>
  <r>
    <x v="150"/>
    <n v="0"/>
    <x v="22"/>
    <n v="5"/>
    <s v="MAI"/>
    <n v="0"/>
    <x v="22"/>
    <n v="0"/>
    <e v="#N/A"/>
    <s v=""/>
    <n v="0"/>
    <n v="0"/>
    <n v="0"/>
    <n v="0"/>
    <n v="0"/>
  </r>
  <r>
    <x v="151"/>
    <s v="#LIVFTHRQT "/>
    <x v="22"/>
    <n v="5"/>
    <s v="MAI"/>
    <n v="0"/>
    <x v="22"/>
    <n v="0"/>
    <s v="22 - 23"/>
    <d v="1899-12-30T00:36:00"/>
    <n v="11.11"/>
    <n v="19.619518980854412"/>
    <n v="6.46"/>
    <n v="10.766666666666609"/>
    <n v="1"/>
  </r>
  <r>
    <x v="151"/>
    <n v="0"/>
    <x v="22"/>
    <n v="5"/>
    <s v="MAI"/>
    <n v="0"/>
    <x v="22"/>
    <n v="0"/>
    <s v="22 - 23"/>
    <s v=""/>
    <n v="0"/>
    <n v="0"/>
    <n v="0"/>
    <n v="0"/>
    <n v="0"/>
  </r>
  <r>
    <x v="151"/>
    <n v="0"/>
    <x v="22"/>
    <n v="5"/>
    <s v="MAI"/>
    <n v="0"/>
    <x v="22"/>
    <n v="0"/>
    <e v="#N/A"/>
    <s v=""/>
    <n v="0"/>
    <n v="0"/>
    <n v="0"/>
    <n v="0"/>
    <n v="0"/>
  </r>
  <r>
    <x v="151"/>
    <n v="0"/>
    <x v="22"/>
    <n v="5"/>
    <s v="MAI"/>
    <n v="0"/>
    <x v="22"/>
    <n v="0"/>
    <e v="#N/A"/>
    <s v=""/>
    <n v="0"/>
    <n v="0"/>
    <n v="0"/>
    <n v="0"/>
    <n v="0"/>
  </r>
  <r>
    <x v="152"/>
    <s v="#LILK1C1J4 "/>
    <x v="22"/>
    <n v="5"/>
    <s v="MAI"/>
    <n v="0"/>
    <x v="22"/>
    <n v="0"/>
    <s v="22 - 23"/>
    <d v="1899-12-30T00:36:00"/>
    <n v="15.25"/>
    <n v="26.93048284950763"/>
    <n v="7.85"/>
    <n v="13.083333333333321"/>
    <n v="1"/>
  </r>
  <r>
    <x v="152"/>
    <n v="0"/>
    <x v="22"/>
    <n v="5"/>
    <s v="MAI"/>
    <n v="0"/>
    <x v="22"/>
    <n v="0"/>
    <s v="23 - 24"/>
    <s v=""/>
    <n v="0"/>
    <n v="0"/>
    <n v="0"/>
    <n v="0"/>
    <n v="0"/>
  </r>
  <r>
    <x v="152"/>
    <n v="0"/>
    <x v="22"/>
    <n v="5"/>
    <s v="MAI"/>
    <n v="0"/>
    <x v="22"/>
    <n v="0"/>
    <e v="#N/A"/>
    <s v=""/>
    <n v="0"/>
    <n v="0"/>
    <n v="0"/>
    <n v="0"/>
    <n v="0"/>
  </r>
  <r>
    <x v="153"/>
    <s v="#LIL47E3ZX "/>
    <x v="23"/>
    <n v="6"/>
    <s v="JUN"/>
    <s v="JUN"/>
    <x v="23"/>
    <n v="1"/>
    <s v="10 - 11"/>
    <d v="1899-12-30T00:48:00"/>
    <n v="3.87"/>
    <n v="6.834161877219314"/>
    <n v="3.32"/>
    <n v="4.1500000000000004"/>
    <n v="1"/>
  </r>
  <r>
    <x v="153"/>
    <n v="0"/>
    <x v="23"/>
    <n v="6"/>
    <s v="JUN"/>
    <n v="0"/>
    <x v="23"/>
    <n v="0"/>
    <s v="10 - 11"/>
    <s v=""/>
    <n v="0"/>
    <n v="0"/>
    <n v="0"/>
    <n v="0"/>
    <n v="0"/>
  </r>
  <r>
    <x v="153"/>
    <n v="0"/>
    <x v="23"/>
    <n v="6"/>
    <s v="JUN"/>
    <n v="0"/>
    <x v="23"/>
    <n v="0"/>
    <e v="#N/A"/>
    <s v=""/>
    <n v="0"/>
    <n v="0"/>
    <n v="0"/>
    <n v="0"/>
    <n v="0"/>
  </r>
  <r>
    <x v="153"/>
    <n v="0"/>
    <x v="23"/>
    <n v="6"/>
    <s v="JUN"/>
    <n v="0"/>
    <x v="23"/>
    <n v="0"/>
    <e v="#N/A"/>
    <s v=""/>
    <n v="0"/>
    <n v="0"/>
    <n v="0"/>
    <n v="0"/>
    <n v="0"/>
  </r>
  <r>
    <x v="154"/>
    <s v="#LIEL7LQAZ "/>
    <x v="23"/>
    <n v="6"/>
    <s v="JUN"/>
    <n v="0"/>
    <x v="23"/>
    <n v="0"/>
    <s v="12 - 13"/>
    <d v="1899-12-30T00:26:00"/>
    <n v="3.9"/>
    <n v="6.8871398762675247"/>
    <n v="2.93"/>
    <n v="6.7615384615384864"/>
    <n v="1"/>
  </r>
  <r>
    <x v="154"/>
    <n v="0"/>
    <x v="23"/>
    <n v="6"/>
    <s v="JUN"/>
    <n v="0"/>
    <x v="23"/>
    <n v="0"/>
    <s v="12 - 13"/>
    <s v=""/>
    <n v="0"/>
    <n v="0"/>
    <n v="0"/>
    <n v="0"/>
    <n v="0"/>
  </r>
  <r>
    <x v="154"/>
    <n v="0"/>
    <x v="23"/>
    <n v="6"/>
    <s v="JUN"/>
    <n v="0"/>
    <x v="23"/>
    <n v="0"/>
    <e v="#N/A"/>
    <s v=""/>
    <n v="0"/>
    <n v="0"/>
    <n v="0"/>
    <n v="0"/>
    <n v="0"/>
  </r>
  <r>
    <x v="154"/>
    <n v="0"/>
    <x v="23"/>
    <n v="6"/>
    <s v="JUN"/>
    <n v="0"/>
    <x v="23"/>
    <n v="0"/>
    <e v="#N/A"/>
    <s v=""/>
    <n v="0"/>
    <n v="0"/>
    <n v="0"/>
    <n v="0"/>
    <n v="0"/>
  </r>
  <r>
    <x v="155"/>
    <s v="#LIB3MBFVS "/>
    <x v="23"/>
    <n v="6"/>
    <s v="JUN"/>
    <n v="0"/>
    <x v="23"/>
    <n v="0"/>
    <s v="12 - 13"/>
    <d v="1899-12-30T00:51:00"/>
    <n v="7.98"/>
    <n v="14.092147746824322"/>
    <n v="5.05"/>
    <n v="5.9411764705882373"/>
    <n v="1"/>
  </r>
  <r>
    <x v="155"/>
    <n v="0"/>
    <x v="23"/>
    <n v="6"/>
    <s v="JUN"/>
    <n v="0"/>
    <x v="23"/>
    <n v="0"/>
    <s v="13 - 14"/>
    <s v=""/>
    <n v="0"/>
    <n v="0"/>
    <n v="0"/>
    <n v="0"/>
    <n v="0"/>
  </r>
  <r>
    <x v="155"/>
    <n v="0"/>
    <x v="23"/>
    <n v="6"/>
    <s v="JUN"/>
    <n v="0"/>
    <x v="23"/>
    <n v="0"/>
    <e v="#N/A"/>
    <s v=""/>
    <n v="0"/>
    <n v="0"/>
    <n v="0"/>
    <n v="0"/>
    <n v="0"/>
  </r>
  <r>
    <x v="155"/>
    <n v="0"/>
    <x v="23"/>
    <n v="6"/>
    <s v="JUN"/>
    <n v="0"/>
    <x v="23"/>
    <n v="0"/>
    <e v="#N/A"/>
    <s v=""/>
    <n v="0"/>
    <n v="0"/>
    <n v="0"/>
    <n v="0"/>
    <n v="0"/>
  </r>
  <r>
    <x v="156"/>
    <s v="#LIFR26H9Y "/>
    <x v="23"/>
    <n v="6"/>
    <s v="JUN"/>
    <n v="0"/>
    <x v="23"/>
    <n v="0"/>
    <s v="13 - 14"/>
    <d v="1899-12-30T00:42:00"/>
    <n v="5.66"/>
    <n v="9.9951824870959474"/>
    <n v="3.47"/>
    <n v="4.9571428571428573"/>
    <n v="1"/>
  </r>
  <r>
    <x v="156"/>
    <n v="0"/>
    <x v="23"/>
    <n v="6"/>
    <s v="JUN"/>
    <n v="0"/>
    <x v="23"/>
    <n v="0"/>
    <s v="14 - 15"/>
    <s v=""/>
    <n v="0"/>
    <n v="0"/>
    <n v="0"/>
    <n v="0"/>
    <n v="0"/>
  </r>
  <r>
    <x v="156"/>
    <n v="0"/>
    <x v="23"/>
    <n v="6"/>
    <s v="JUN"/>
    <n v="0"/>
    <x v="23"/>
    <n v="0"/>
    <e v="#N/A"/>
    <s v=""/>
    <n v="0"/>
    <n v="0"/>
    <n v="0"/>
    <n v="0"/>
    <n v="0"/>
  </r>
  <r>
    <x v="156"/>
    <n v="0"/>
    <x v="23"/>
    <n v="6"/>
    <s v="JUN"/>
    <n v="0"/>
    <x v="23"/>
    <n v="0"/>
    <e v="#N/A"/>
    <s v=""/>
    <n v="0"/>
    <n v="0"/>
    <n v="0"/>
    <n v="0"/>
    <n v="0"/>
  </r>
  <r>
    <x v="157"/>
    <s v="#LISVLV2VP "/>
    <x v="23"/>
    <n v="6"/>
    <s v="JUN"/>
    <n v="0"/>
    <x v="23"/>
    <n v="0"/>
    <s v="14 - 15"/>
    <d v="1899-12-30T00:29:00"/>
    <n v="1.61"/>
    <n v="2.8431526155873632"/>
    <n v="2.06"/>
    <n v="4.2620689655172335"/>
    <n v="1"/>
  </r>
  <r>
    <x v="157"/>
    <n v="0"/>
    <x v="23"/>
    <n v="6"/>
    <s v="JUN"/>
    <n v="0"/>
    <x v="23"/>
    <n v="0"/>
    <s v="14 - 15"/>
    <s v=""/>
    <n v="0"/>
    <n v="0"/>
    <n v="0"/>
    <n v="0"/>
    <n v="0"/>
  </r>
  <r>
    <x v="157"/>
    <n v="0"/>
    <x v="23"/>
    <n v="6"/>
    <s v="JUN"/>
    <n v="0"/>
    <x v="23"/>
    <n v="0"/>
    <e v="#N/A"/>
    <s v=""/>
    <n v="0"/>
    <n v="0"/>
    <n v="0"/>
    <n v="0"/>
    <n v="0"/>
  </r>
  <r>
    <x v="157"/>
    <n v="0"/>
    <x v="23"/>
    <n v="6"/>
    <s v="JUN"/>
    <n v="0"/>
    <x v="23"/>
    <n v="0"/>
    <e v="#N/A"/>
    <s v=""/>
    <n v="0"/>
    <n v="0"/>
    <n v="0"/>
    <n v="0"/>
    <n v="0"/>
  </r>
  <r>
    <x v="158"/>
    <s v="#LINVPVKD1 "/>
    <x v="23"/>
    <n v="6"/>
    <s v="JUN"/>
    <n v="0"/>
    <x v="23"/>
    <n v="0"/>
    <s v="14 - 15"/>
    <d v="1899-12-30T00:52:00"/>
    <n v="9.5"/>
    <n v="16.776366365267048"/>
    <n v="4.82"/>
    <n v="5.5615384615384471"/>
    <n v="1"/>
  </r>
  <r>
    <x v="158"/>
    <n v="0"/>
    <x v="23"/>
    <n v="6"/>
    <s v="JUN"/>
    <n v="0"/>
    <x v="23"/>
    <n v="0"/>
    <s v="15 - 16"/>
    <s v=""/>
    <n v="0"/>
    <n v="0"/>
    <n v="0"/>
    <n v="0"/>
    <n v="0"/>
  </r>
  <r>
    <x v="158"/>
    <n v="0"/>
    <x v="23"/>
    <n v="6"/>
    <s v="JUN"/>
    <n v="0"/>
    <x v="23"/>
    <n v="0"/>
    <e v="#N/A"/>
    <s v=""/>
    <n v="0"/>
    <n v="0"/>
    <n v="0"/>
    <n v="0"/>
    <n v="0"/>
  </r>
  <r>
    <x v="158"/>
    <n v="0"/>
    <x v="23"/>
    <n v="6"/>
    <s v="JUN"/>
    <n v="0"/>
    <x v="23"/>
    <n v="0"/>
    <e v="#N/A"/>
    <s v=""/>
    <n v="0"/>
    <n v="0"/>
    <n v="0"/>
    <n v="0"/>
    <n v="0"/>
  </r>
  <r>
    <x v="159"/>
    <s v="#LIQHJFXR6 "/>
    <x v="23"/>
    <n v="6"/>
    <s v="JUN"/>
    <n v="0"/>
    <x v="23"/>
    <n v="0"/>
    <s v="19 - 20"/>
    <d v="1899-12-30T00:30:00"/>
    <n v="7.65"/>
    <n v="13.509389757293992"/>
    <n v="4.17"/>
    <n v="8.3400000000000301"/>
    <n v="1"/>
  </r>
  <r>
    <x v="159"/>
    <n v="0"/>
    <x v="23"/>
    <n v="6"/>
    <s v="JUN"/>
    <n v="0"/>
    <x v="23"/>
    <n v="0"/>
    <s v="20 - 21"/>
    <s v=""/>
    <n v="0"/>
    <n v="0"/>
    <n v="0"/>
    <n v="0"/>
    <n v="0"/>
  </r>
  <r>
    <x v="159"/>
    <n v="0"/>
    <x v="23"/>
    <n v="6"/>
    <s v="JUN"/>
    <n v="0"/>
    <x v="23"/>
    <n v="0"/>
    <e v="#N/A"/>
    <s v=""/>
    <n v="0"/>
    <n v="0"/>
    <n v="0"/>
    <n v="0"/>
    <n v="0"/>
  </r>
  <r>
    <x v="159"/>
    <n v="0"/>
    <x v="23"/>
    <n v="6"/>
    <s v="JUN"/>
    <n v="0"/>
    <x v="23"/>
    <n v="0"/>
    <e v="#N/A"/>
    <s v=""/>
    <n v="0"/>
    <n v="0"/>
    <n v="0"/>
    <n v="0"/>
    <n v="0"/>
  </r>
  <r>
    <x v="160"/>
    <s v="#LIQG28ALL "/>
    <x v="23"/>
    <n v="6"/>
    <s v="JUN"/>
    <n v="0"/>
    <x v="23"/>
    <n v="0"/>
    <s v="20 - 21"/>
    <d v="1899-12-30T00:43:00"/>
    <n v="5.93"/>
    <n v="10.471984478529851"/>
    <n v="4.68"/>
    <n v="6.5302325581395095"/>
    <n v="1"/>
  </r>
  <r>
    <x v="160"/>
    <n v="0"/>
    <x v="23"/>
    <n v="6"/>
    <s v="JUN"/>
    <n v="0"/>
    <x v="23"/>
    <n v="0"/>
    <s v="21 - 22"/>
    <s v=""/>
    <n v="0"/>
    <n v="0"/>
    <n v="0"/>
    <n v="0"/>
    <n v="0"/>
  </r>
  <r>
    <x v="160"/>
    <n v="0"/>
    <x v="23"/>
    <n v="6"/>
    <s v="JUN"/>
    <n v="0"/>
    <x v="23"/>
    <n v="0"/>
    <e v="#N/A"/>
    <s v=""/>
    <n v="0"/>
    <n v="0"/>
    <n v="0"/>
    <n v="0"/>
    <n v="0"/>
  </r>
  <r>
    <x v="160"/>
    <n v="0"/>
    <x v="23"/>
    <n v="6"/>
    <s v="JUN"/>
    <n v="0"/>
    <x v="23"/>
    <n v="0"/>
    <e v="#N/A"/>
    <s v=""/>
    <n v="0"/>
    <n v="0"/>
    <n v="0"/>
    <n v="0"/>
    <n v="0"/>
  </r>
  <r>
    <x v="161"/>
    <s v="#LIAAWA9K2 "/>
    <x v="23"/>
    <n v="6"/>
    <s v="JUN"/>
    <n v="0"/>
    <x v="23"/>
    <n v="0"/>
    <s v="21 - 22"/>
    <d v="1899-12-30T00:17:00"/>
    <n v="3.65"/>
    <n v="6.4456565508657606"/>
    <n v="2.77"/>
    <n v="9.7764705882353287"/>
    <n v="1"/>
  </r>
  <r>
    <x v="161"/>
    <n v="0"/>
    <x v="23"/>
    <n v="6"/>
    <s v="JUN"/>
    <n v="0"/>
    <x v="23"/>
    <n v="0"/>
    <s v="21 - 22"/>
    <s v=""/>
    <n v="0"/>
    <n v="0"/>
    <n v="0"/>
    <n v="0"/>
    <n v="0"/>
  </r>
  <r>
    <x v="161"/>
    <n v="0"/>
    <x v="23"/>
    <n v="6"/>
    <s v="JUN"/>
    <n v="0"/>
    <x v="23"/>
    <n v="0"/>
    <e v="#N/A"/>
    <s v=""/>
    <n v="0"/>
    <n v="0"/>
    <n v="0"/>
    <n v="0"/>
    <n v="0"/>
  </r>
  <r>
    <x v="161"/>
    <n v="0"/>
    <x v="23"/>
    <n v="6"/>
    <s v="JUN"/>
    <n v="0"/>
    <x v="23"/>
    <n v="0"/>
    <e v="#N/A"/>
    <s v=""/>
    <n v="0"/>
    <n v="0"/>
    <n v="0"/>
    <n v="0"/>
    <n v="0"/>
  </r>
  <r>
    <x v="162"/>
    <s v="#LIB4EE11L "/>
    <x v="23"/>
    <n v="6"/>
    <s v="JUN"/>
    <n v="0"/>
    <x v="23"/>
    <n v="0"/>
    <s v="21 - 22"/>
    <d v="1899-12-30T00:30:00"/>
    <n v="5.44"/>
    <n v="9.6066771607423949"/>
    <n v="3.4"/>
    <n v="6.8000000000000238"/>
    <n v="1"/>
  </r>
  <r>
    <x v="162"/>
    <n v="0"/>
    <x v="23"/>
    <n v="6"/>
    <s v="JUN"/>
    <n v="0"/>
    <x v="23"/>
    <n v="0"/>
    <s v="22 - 23"/>
    <s v=""/>
    <n v="0"/>
    <n v="0"/>
    <n v="0"/>
    <n v="0"/>
    <n v="0"/>
  </r>
  <r>
    <x v="162"/>
    <n v="0"/>
    <x v="23"/>
    <n v="6"/>
    <s v="JUN"/>
    <n v="0"/>
    <x v="23"/>
    <n v="0"/>
    <e v="#N/A"/>
    <s v=""/>
    <n v="0"/>
    <n v="0"/>
    <n v="0"/>
    <n v="0"/>
    <n v="0"/>
  </r>
  <r>
    <x v="162"/>
    <n v="0"/>
    <x v="23"/>
    <n v="6"/>
    <s v="JUN"/>
    <n v="0"/>
    <x v="23"/>
    <n v="0"/>
    <e v="#N/A"/>
    <s v=""/>
    <n v="0"/>
    <n v="0"/>
    <n v="0"/>
    <n v="0"/>
    <n v="0"/>
  </r>
  <r>
    <x v="163"/>
    <s v="#LICCMWWWZ "/>
    <x v="23"/>
    <n v="6"/>
    <s v="JUN"/>
    <n v="0"/>
    <x v="23"/>
    <n v="0"/>
    <s v="22 - 23"/>
    <d v="1899-12-30T00:36:00"/>
    <n v="3.4"/>
    <n v="6.0041732254639966"/>
    <n v="2.68"/>
    <n v="4.4666666666666632"/>
    <n v="1"/>
  </r>
  <r>
    <x v="163"/>
    <n v="0"/>
    <x v="23"/>
    <n v="6"/>
    <s v="JUN"/>
    <n v="0"/>
    <x v="23"/>
    <n v="0"/>
    <s v="23 - 24"/>
    <s v=""/>
    <n v="0"/>
    <n v="0"/>
    <n v="0"/>
    <n v="0"/>
    <n v="0"/>
  </r>
  <r>
    <x v="163"/>
    <n v="0"/>
    <x v="23"/>
    <n v="6"/>
    <s v="JUN"/>
    <n v="0"/>
    <x v="23"/>
    <n v="0"/>
    <e v="#N/A"/>
    <s v=""/>
    <n v="0"/>
    <n v="0"/>
    <n v="0"/>
    <n v="0"/>
    <n v="0"/>
  </r>
  <r>
    <x v="163"/>
    <n v="0"/>
    <x v="23"/>
    <n v="6"/>
    <s v="JUN"/>
    <n v="0"/>
    <x v="23"/>
    <n v="0"/>
    <e v="#N/A"/>
    <s v=""/>
    <n v="0"/>
    <n v="0"/>
    <n v="0"/>
    <n v="0"/>
    <n v="0"/>
  </r>
  <r>
    <x v="164"/>
    <s v="#LIRTBPKJK "/>
    <x v="23"/>
    <n v="6"/>
    <s v="JUN"/>
    <n v="0"/>
    <x v="23"/>
    <n v="0"/>
    <s v="23 - 24"/>
    <d v="1899-12-30T00:31:00"/>
    <n v="3.82"/>
    <n v="6.74586521213896"/>
    <n v="2.83"/>
    <n v="5.4774193548387009"/>
    <n v="1"/>
  </r>
  <r>
    <x v="164"/>
    <n v="0"/>
    <x v="23"/>
    <n v="6"/>
    <s v="JUN"/>
    <n v="0"/>
    <x v="23"/>
    <n v="0"/>
    <s v="23 - 24"/>
    <s v=""/>
    <n v="0"/>
    <n v="0"/>
    <n v="0"/>
    <n v="0"/>
    <n v="0"/>
  </r>
  <r>
    <x v="164"/>
    <n v="0"/>
    <x v="23"/>
    <n v="6"/>
    <s v="JUN"/>
    <n v="0"/>
    <x v="23"/>
    <n v="0"/>
    <e v="#N/A"/>
    <s v=""/>
    <n v="0"/>
    <n v="0"/>
    <n v="0"/>
    <n v="0"/>
    <n v="0"/>
  </r>
  <r>
    <x v="165"/>
    <s v="#LISJHTJKW "/>
    <x v="24"/>
    <n v="6"/>
    <s v="JUN"/>
    <s v="JUN"/>
    <x v="24"/>
    <n v="2"/>
    <s v="11 - 12"/>
    <d v="1899-12-30T00:41:00"/>
    <n v="2.69"/>
    <n v="4.750360581322985"/>
    <n v="2.44"/>
    <n v="3.570731707317079"/>
    <n v="1"/>
  </r>
  <r>
    <x v="165"/>
    <n v="0"/>
    <x v="24"/>
    <n v="6"/>
    <s v="JUN"/>
    <n v="0"/>
    <x v="24"/>
    <n v="0"/>
    <s v="11 - 12"/>
    <s v=""/>
    <n v="0"/>
    <n v="0"/>
    <n v="0"/>
    <n v="0"/>
    <n v="0"/>
  </r>
  <r>
    <x v="165"/>
    <n v="0"/>
    <x v="24"/>
    <n v="6"/>
    <s v="JUN"/>
    <n v="0"/>
    <x v="24"/>
    <n v="0"/>
    <e v="#N/A"/>
    <s v=""/>
    <n v="0"/>
    <n v="0"/>
    <n v="0"/>
    <n v="0"/>
    <n v="0"/>
  </r>
  <r>
    <x v="165"/>
    <n v="0"/>
    <x v="24"/>
    <n v="6"/>
    <s v="JUN"/>
    <n v="0"/>
    <x v="24"/>
    <n v="0"/>
    <e v="#N/A"/>
    <s v=""/>
    <n v="0"/>
    <n v="0"/>
    <n v="0"/>
    <n v="0"/>
    <n v="0"/>
  </r>
  <r>
    <x v="166"/>
    <s v="#LIT81SXWM "/>
    <x v="24"/>
    <n v="6"/>
    <s v="JUN"/>
    <n v="0"/>
    <x v="24"/>
    <n v="0"/>
    <s v="11 - 12"/>
    <d v="1899-12-30T00:49:00"/>
    <n v="5.33"/>
    <n v="9.4124244975656186"/>
    <n v="3.36"/>
    <n v="4.1142857142857157"/>
    <n v="1"/>
  </r>
  <r>
    <x v="166"/>
    <n v="0"/>
    <x v="24"/>
    <n v="6"/>
    <s v="JUN"/>
    <n v="0"/>
    <x v="24"/>
    <n v="0"/>
    <s v="12 - 13"/>
    <s v=""/>
    <n v="0"/>
    <n v="0"/>
    <n v="0"/>
    <n v="0"/>
    <n v="0"/>
  </r>
  <r>
    <x v="166"/>
    <n v="0"/>
    <x v="24"/>
    <n v="6"/>
    <s v="JUN"/>
    <n v="0"/>
    <x v="24"/>
    <n v="0"/>
    <e v="#N/A"/>
    <s v=""/>
    <n v="0"/>
    <n v="0"/>
    <n v="0"/>
    <n v="0"/>
    <n v="0"/>
  </r>
  <r>
    <x v="166"/>
    <n v="0"/>
    <x v="24"/>
    <n v="6"/>
    <s v="JUN"/>
    <n v="0"/>
    <x v="24"/>
    <n v="0"/>
    <e v="#N/A"/>
    <s v=""/>
    <n v="0"/>
    <n v="0"/>
    <n v="0"/>
    <n v="0"/>
    <n v="0"/>
  </r>
  <r>
    <x v="167"/>
    <s v="#LIART713T "/>
    <x v="24"/>
    <n v="6"/>
    <s v="JUN"/>
    <n v="0"/>
    <x v="24"/>
    <n v="0"/>
    <s v="12 - 13"/>
    <d v="1899-12-30T00:53:00"/>
    <n v="5.24"/>
    <n v="9.2534905004209822"/>
    <n v="3.33"/>
    <n v="3.769811320754719"/>
    <n v="1"/>
  </r>
  <r>
    <x v="167"/>
    <n v="0"/>
    <x v="24"/>
    <n v="6"/>
    <s v="JUN"/>
    <n v="0"/>
    <x v="24"/>
    <n v="0"/>
    <s v="13 - 14"/>
    <s v=""/>
    <n v="0"/>
    <n v="0"/>
    <n v="0"/>
    <n v="0"/>
    <n v="0"/>
  </r>
  <r>
    <x v="167"/>
    <n v="0"/>
    <x v="24"/>
    <n v="6"/>
    <s v="JUN"/>
    <n v="0"/>
    <x v="24"/>
    <n v="0"/>
    <e v="#N/A"/>
    <s v=""/>
    <n v="0"/>
    <n v="0"/>
    <n v="0"/>
    <n v="0"/>
    <n v="0"/>
  </r>
  <r>
    <x v="167"/>
    <n v="0"/>
    <x v="24"/>
    <n v="6"/>
    <s v="JUN"/>
    <n v="0"/>
    <x v="24"/>
    <n v="0"/>
    <e v="#N/A"/>
    <s v=""/>
    <n v="0"/>
    <n v="0"/>
    <n v="0"/>
    <n v="0"/>
    <n v="0"/>
  </r>
  <r>
    <x v="168"/>
    <s v="#LIJ5DHYF4 "/>
    <x v="24"/>
    <n v="6"/>
    <s v="JUN"/>
    <n v="0"/>
    <x v="24"/>
    <n v="0"/>
    <s v="13 - 14"/>
    <d v="1899-12-30T00:22:00"/>
    <n v="8.9"/>
    <n v="15.716806384302815"/>
    <n v="4.6100000000000003"/>
    <n v="12.572727272727224"/>
    <n v="1"/>
  </r>
  <r>
    <x v="168"/>
    <n v="0"/>
    <x v="24"/>
    <n v="6"/>
    <s v="JUN"/>
    <n v="0"/>
    <x v="24"/>
    <n v="0"/>
    <s v="13 - 14"/>
    <s v=""/>
    <n v="0"/>
    <n v="0"/>
    <n v="0"/>
    <n v="0"/>
    <n v="0"/>
  </r>
  <r>
    <x v="168"/>
    <n v="0"/>
    <x v="24"/>
    <n v="6"/>
    <s v="JUN"/>
    <n v="0"/>
    <x v="24"/>
    <n v="0"/>
    <e v="#N/A"/>
    <s v=""/>
    <n v="0"/>
    <n v="0"/>
    <n v="0"/>
    <n v="0"/>
    <n v="0"/>
  </r>
  <r>
    <x v="168"/>
    <n v="0"/>
    <x v="24"/>
    <n v="6"/>
    <s v="JUN"/>
    <n v="0"/>
    <x v="24"/>
    <n v="0"/>
    <e v="#N/A"/>
    <s v=""/>
    <n v="0"/>
    <n v="0"/>
    <n v="0"/>
    <n v="0"/>
    <n v="0"/>
  </r>
  <r>
    <x v="169"/>
    <s v="#LIACWA1ZL "/>
    <x v="24"/>
    <n v="6"/>
    <s v="JUN"/>
    <n v="0"/>
    <x v="24"/>
    <n v="0"/>
    <s v="13 - 14"/>
    <d v="1899-12-30T00:21:00"/>
    <n v="5.38"/>
    <n v="9.50072116264597"/>
    <n v="3.38"/>
    <n v="9.6571428571428903"/>
    <n v="1"/>
  </r>
  <r>
    <x v="169"/>
    <n v="0"/>
    <x v="24"/>
    <n v="6"/>
    <s v="JUN"/>
    <n v="0"/>
    <x v="24"/>
    <n v="0"/>
    <s v="14 - 15"/>
    <s v=""/>
    <n v="0"/>
    <n v="0"/>
    <n v="0"/>
    <n v="0"/>
    <n v="0"/>
  </r>
  <r>
    <x v="169"/>
    <n v="0"/>
    <x v="24"/>
    <n v="6"/>
    <s v="JUN"/>
    <n v="0"/>
    <x v="24"/>
    <n v="0"/>
    <e v="#N/A"/>
    <s v=""/>
    <n v="0"/>
    <n v="0"/>
    <n v="0"/>
    <n v="0"/>
    <n v="0"/>
  </r>
  <r>
    <x v="169"/>
    <n v="0"/>
    <x v="24"/>
    <n v="6"/>
    <s v="JUN"/>
    <n v="0"/>
    <x v="24"/>
    <n v="0"/>
    <e v="#N/A"/>
    <s v=""/>
    <n v="0"/>
    <n v="0"/>
    <n v="0"/>
    <n v="0"/>
    <n v="0"/>
  </r>
  <r>
    <x v="170"/>
    <s v="#LI2XL9EGD "/>
    <x v="24"/>
    <n v="6"/>
    <s v="JUN"/>
    <n v="0"/>
    <x v="24"/>
    <n v="0"/>
    <s v="14 - 15"/>
    <d v="1899-12-30T00:33:00"/>
    <n v="2.11"/>
    <n v="3.7261192663908917"/>
    <n v="2.5499999999999998"/>
    <n v="4.6363636363636305"/>
    <n v="1"/>
  </r>
  <r>
    <x v="170"/>
    <n v="0"/>
    <x v="24"/>
    <n v="6"/>
    <s v="JUN"/>
    <n v="0"/>
    <x v="24"/>
    <n v="0"/>
    <s v="15 - 16"/>
    <s v=""/>
    <n v="0"/>
    <n v="0"/>
    <n v="0"/>
    <n v="0"/>
    <n v="0"/>
  </r>
  <r>
    <x v="170"/>
    <n v="0"/>
    <x v="24"/>
    <n v="6"/>
    <s v="JUN"/>
    <n v="0"/>
    <x v="24"/>
    <n v="0"/>
    <e v="#N/A"/>
    <s v=""/>
    <n v="0"/>
    <n v="0"/>
    <n v="0"/>
    <n v="0"/>
    <n v="0"/>
  </r>
  <r>
    <x v="170"/>
    <n v="0"/>
    <x v="24"/>
    <n v="6"/>
    <s v="JUN"/>
    <n v="0"/>
    <x v="24"/>
    <n v="0"/>
    <e v="#N/A"/>
    <s v=""/>
    <n v="0"/>
    <n v="0"/>
    <n v="0"/>
    <n v="0"/>
    <n v="0"/>
  </r>
  <r>
    <x v="171"/>
    <s v="#LI2VF1TTS "/>
    <x v="24"/>
    <n v="6"/>
    <s v="JUN"/>
    <n v="0"/>
    <x v="24"/>
    <n v="0"/>
    <s v="17 - 18"/>
    <d v="1899-12-30T01:10:00"/>
    <n v="15.39"/>
    <n v="27.17771351173262"/>
    <n v="6.88"/>
    <n v="5.8971428571428515"/>
    <n v="1"/>
  </r>
  <r>
    <x v="171"/>
    <n v="0"/>
    <x v="24"/>
    <n v="6"/>
    <s v="JUN"/>
    <n v="0"/>
    <x v="24"/>
    <n v="0"/>
    <s v="18 - 19"/>
    <s v=""/>
    <n v="0"/>
    <n v="0"/>
    <n v="0"/>
    <n v="0"/>
    <n v="0"/>
  </r>
  <r>
    <x v="171"/>
    <n v="0"/>
    <x v="24"/>
    <n v="6"/>
    <s v="JUN"/>
    <n v="0"/>
    <x v="24"/>
    <n v="0"/>
    <e v="#N/A"/>
    <s v=""/>
    <n v="0"/>
    <n v="0"/>
    <n v="0"/>
    <n v="0"/>
    <n v="0"/>
  </r>
  <r>
    <x v="171"/>
    <n v="0"/>
    <x v="24"/>
    <n v="6"/>
    <s v="JUN"/>
    <n v="0"/>
    <x v="24"/>
    <n v="0"/>
    <e v="#N/A"/>
    <s v=""/>
    <n v="0"/>
    <n v="0"/>
    <n v="0"/>
    <n v="0"/>
    <n v="0"/>
  </r>
  <r>
    <x v="172"/>
    <s v="#LI5DDAW9J "/>
    <x v="24"/>
    <n v="6"/>
    <s v="JUN"/>
    <n v="0"/>
    <x v="24"/>
    <n v="0"/>
    <s v="20 - 21"/>
    <d v="1899-12-30T00:47:00"/>
    <n v="14.74"/>
    <n v="26.029856865688032"/>
    <n v="8.08"/>
    <n v="10.314893617021243"/>
    <n v="1"/>
  </r>
  <r>
    <x v="172"/>
    <n v="0"/>
    <x v="24"/>
    <n v="6"/>
    <s v="JUN"/>
    <n v="0"/>
    <x v="24"/>
    <n v="0"/>
    <s v="20 - 21"/>
    <s v=""/>
    <n v="0"/>
    <n v="0"/>
    <n v="0"/>
    <n v="0"/>
    <n v="0"/>
  </r>
  <r>
    <x v="172"/>
    <n v="0"/>
    <x v="24"/>
    <n v="6"/>
    <s v="JUN"/>
    <n v="0"/>
    <x v="24"/>
    <n v="0"/>
    <e v="#N/A"/>
    <s v=""/>
    <n v="0"/>
    <n v="0"/>
    <n v="0"/>
    <n v="0"/>
    <n v="0"/>
  </r>
  <r>
    <x v="172"/>
    <n v="0"/>
    <x v="24"/>
    <n v="6"/>
    <s v="JUN"/>
    <n v="0"/>
    <x v="24"/>
    <n v="0"/>
    <e v="#N/A"/>
    <s v=""/>
    <n v="0"/>
    <n v="0"/>
    <n v="0"/>
    <n v="0"/>
    <n v="0"/>
  </r>
  <r>
    <x v="173"/>
    <s v="#LIAGR4DUE "/>
    <x v="24"/>
    <n v="6"/>
    <s v="JUN"/>
    <n v="0"/>
    <x v="24"/>
    <n v="0"/>
    <s v="21 - 22"/>
    <d v="1899-12-30T00:44:00"/>
    <n v="10.45"/>
    <n v="18.454003001793751"/>
    <n v="5.38"/>
    <n v="7.3363636363636369"/>
    <n v="1"/>
  </r>
  <r>
    <x v="173"/>
    <n v="0"/>
    <x v="24"/>
    <n v="6"/>
    <s v="JUN"/>
    <n v="0"/>
    <x v="24"/>
    <n v="0"/>
    <s v="22 - 23"/>
    <s v=""/>
    <n v="0"/>
    <n v="0"/>
    <n v="0"/>
    <n v="0"/>
    <n v="0"/>
  </r>
  <r>
    <x v="173"/>
    <n v="0"/>
    <x v="24"/>
    <n v="6"/>
    <s v="JUN"/>
    <n v="0"/>
    <x v="24"/>
    <n v="0"/>
    <e v="#N/A"/>
    <s v=""/>
    <n v="0"/>
    <n v="0"/>
    <n v="0"/>
    <n v="0"/>
    <n v="0"/>
  </r>
  <r>
    <x v="174"/>
    <s v="#LIGAE7B2R "/>
    <x v="25"/>
    <n v="6"/>
    <s v="JUN"/>
    <s v="JUN"/>
    <x v="25"/>
    <n v="3"/>
    <s v="11 - 12"/>
    <d v="1899-12-30T00:33:00"/>
    <n v="4.37"/>
    <n v="7.7171285280228421"/>
    <n v="3.02"/>
    <n v="5.4909090909090841"/>
    <n v="1"/>
  </r>
  <r>
    <x v="174"/>
    <n v="0"/>
    <x v="25"/>
    <n v="6"/>
    <s v="JUN"/>
    <n v="0"/>
    <x v="25"/>
    <n v="0"/>
    <s v="11 - 12"/>
    <s v=""/>
    <n v="0"/>
    <n v="0"/>
    <n v="0"/>
    <n v="0"/>
    <n v="0"/>
  </r>
  <r>
    <x v="174"/>
    <n v="0"/>
    <x v="25"/>
    <n v="6"/>
    <s v="JUN"/>
    <n v="0"/>
    <x v="25"/>
    <n v="0"/>
    <e v="#N/A"/>
    <s v=""/>
    <n v="0"/>
    <n v="0"/>
    <n v="0"/>
    <n v="0"/>
    <n v="0"/>
  </r>
  <r>
    <x v="174"/>
    <n v="0"/>
    <x v="25"/>
    <n v="6"/>
    <s v="JUN"/>
    <n v="0"/>
    <x v="25"/>
    <n v="0"/>
    <e v="#N/A"/>
    <s v=""/>
    <n v="0"/>
    <n v="0"/>
    <n v="0"/>
    <n v="0"/>
    <n v="0"/>
  </r>
  <r>
    <x v="175"/>
    <s v="#LIAFFLYLA "/>
    <x v="25"/>
    <n v="6"/>
    <s v="JUN"/>
    <n v="0"/>
    <x v="25"/>
    <n v="0"/>
    <s v="11 - 12"/>
    <d v="1899-12-30T00:27:00"/>
    <n v="2.73"/>
    <n v="4.8209979133872674"/>
    <n v="2.48"/>
    <n v="5.5111111111111306"/>
    <n v="1"/>
  </r>
  <r>
    <x v="175"/>
    <n v="0"/>
    <x v="25"/>
    <n v="6"/>
    <s v="JUN"/>
    <n v="0"/>
    <x v="25"/>
    <n v="0"/>
    <s v="12 - 13"/>
    <s v=""/>
    <n v="0"/>
    <n v="0"/>
    <n v="0"/>
    <n v="0"/>
    <n v="0"/>
  </r>
  <r>
    <x v="175"/>
    <n v="0"/>
    <x v="25"/>
    <n v="6"/>
    <s v="JUN"/>
    <n v="0"/>
    <x v="25"/>
    <n v="0"/>
    <e v="#N/A"/>
    <s v=""/>
    <n v="0"/>
    <n v="0"/>
    <n v="0"/>
    <n v="0"/>
    <n v="0"/>
  </r>
  <r>
    <x v="175"/>
    <n v="0"/>
    <x v="25"/>
    <n v="6"/>
    <s v="JUN"/>
    <n v="0"/>
    <x v="25"/>
    <n v="0"/>
    <e v="#N/A"/>
    <s v=""/>
    <n v="0"/>
    <n v="0"/>
    <n v="0"/>
    <n v="0"/>
    <n v="0"/>
  </r>
  <r>
    <x v="176"/>
    <s v="#LIPVZX9VQ "/>
    <x v="25"/>
    <n v="6"/>
    <s v="JUN"/>
    <n v="0"/>
    <x v="25"/>
    <n v="0"/>
    <s v="12 - 13"/>
    <d v="1899-12-30T00:34:00"/>
    <n v="2.78"/>
    <n v="4.9092945784676205"/>
    <n v="2.4700000000000002"/>
    <n v="4.3588235294117803"/>
    <n v="1"/>
  </r>
  <r>
    <x v="176"/>
    <n v="0"/>
    <x v="25"/>
    <n v="6"/>
    <s v="JUN"/>
    <n v="0"/>
    <x v="25"/>
    <n v="0"/>
    <s v="13 - 14"/>
    <s v=""/>
    <n v="0"/>
    <n v="0"/>
    <n v="0"/>
    <n v="0"/>
    <n v="0"/>
  </r>
  <r>
    <x v="176"/>
    <n v="0"/>
    <x v="25"/>
    <n v="6"/>
    <s v="JUN"/>
    <n v="0"/>
    <x v="25"/>
    <n v="0"/>
    <e v="#N/A"/>
    <s v=""/>
    <n v="0"/>
    <n v="0"/>
    <n v="0"/>
    <n v="0"/>
    <n v="0"/>
  </r>
  <r>
    <x v="176"/>
    <n v="0"/>
    <x v="25"/>
    <n v="6"/>
    <s v="JUN"/>
    <n v="0"/>
    <x v="25"/>
    <n v="0"/>
    <e v="#N/A"/>
    <s v=""/>
    <n v="0"/>
    <n v="0"/>
    <n v="0"/>
    <n v="0"/>
    <n v="0"/>
  </r>
  <r>
    <x v="177"/>
    <s v="#LIP4LJKF6 "/>
    <x v="25"/>
    <n v="6"/>
    <s v="JUN"/>
    <n v="0"/>
    <x v="25"/>
    <n v="0"/>
    <s v="13 - 14"/>
    <d v="1899-12-30T00:24:00"/>
    <n v="4.5199999999999996"/>
    <n v="7.9820185232639007"/>
    <n v="3.08"/>
    <n v="7.7000000000000268"/>
    <n v="1"/>
  </r>
  <r>
    <x v="177"/>
    <n v="0"/>
    <x v="25"/>
    <n v="6"/>
    <s v="JUN"/>
    <n v="0"/>
    <x v="25"/>
    <n v="0"/>
    <s v="13 - 14"/>
    <s v=""/>
    <n v="0"/>
    <n v="0"/>
    <n v="0"/>
    <n v="0"/>
    <n v="0"/>
  </r>
  <r>
    <x v="177"/>
    <n v="0"/>
    <x v="25"/>
    <n v="6"/>
    <s v="JUN"/>
    <n v="0"/>
    <x v="25"/>
    <n v="0"/>
    <e v="#N/A"/>
    <s v=""/>
    <n v="0"/>
    <n v="0"/>
    <n v="0"/>
    <n v="0"/>
    <n v="0"/>
  </r>
  <r>
    <x v="177"/>
    <n v="0"/>
    <x v="25"/>
    <n v="6"/>
    <s v="JUN"/>
    <n v="0"/>
    <x v="25"/>
    <n v="0"/>
    <e v="#N/A"/>
    <s v=""/>
    <n v="0"/>
    <n v="0"/>
    <n v="0"/>
    <n v="0"/>
    <n v="0"/>
  </r>
  <r>
    <x v="178"/>
    <s v="#LI2LKLXBA "/>
    <x v="25"/>
    <n v="6"/>
    <s v="JUN"/>
    <n v="0"/>
    <x v="25"/>
    <n v="0"/>
    <s v="13 - 14"/>
    <d v="1899-12-30T00:22:00"/>
    <n v="2.83"/>
    <n v="4.9975912435479737"/>
    <n v="2.48"/>
    <n v="6.763636363636337"/>
    <n v="1"/>
  </r>
  <r>
    <x v="178"/>
    <n v="0"/>
    <x v="25"/>
    <n v="6"/>
    <s v="JUN"/>
    <n v="0"/>
    <x v="25"/>
    <n v="0"/>
    <s v="14 - 15"/>
    <s v=""/>
    <n v="0"/>
    <n v="0"/>
    <n v="0"/>
    <n v="0"/>
    <n v="0"/>
  </r>
  <r>
    <x v="178"/>
    <n v="0"/>
    <x v="25"/>
    <n v="6"/>
    <s v="JUN"/>
    <n v="0"/>
    <x v="25"/>
    <n v="0"/>
    <e v="#N/A"/>
    <s v=""/>
    <n v="0"/>
    <n v="0"/>
    <n v="0"/>
    <n v="0"/>
    <n v="0"/>
  </r>
  <r>
    <x v="178"/>
    <n v="0"/>
    <x v="25"/>
    <n v="6"/>
    <s v="JUN"/>
    <n v="0"/>
    <x v="25"/>
    <n v="0"/>
    <e v="#N/A"/>
    <s v=""/>
    <n v="0"/>
    <n v="0"/>
    <n v="0"/>
    <n v="0"/>
    <n v="0"/>
  </r>
  <r>
    <x v="179"/>
    <s v="#LIRVHA7W1 "/>
    <x v="25"/>
    <n v="6"/>
    <s v="JUN"/>
    <n v="0"/>
    <x v="25"/>
    <n v="0"/>
    <s v="14 - 15"/>
    <d v="1899-12-30T00:33:00"/>
    <n v="6.2"/>
    <n v="10.948786469963759"/>
    <n v="3.69"/>
    <n v="6.7090909090909001"/>
    <n v="1"/>
  </r>
  <r>
    <x v="179"/>
    <n v="0"/>
    <x v="25"/>
    <n v="6"/>
    <s v="JUN"/>
    <n v="0"/>
    <x v="25"/>
    <n v="0"/>
    <s v="14 - 15"/>
    <s v=""/>
    <n v="0"/>
    <n v="0"/>
    <n v="0"/>
    <n v="0"/>
    <n v="0"/>
  </r>
  <r>
    <x v="179"/>
    <n v="0"/>
    <x v="25"/>
    <n v="6"/>
    <s v="JUN"/>
    <n v="0"/>
    <x v="25"/>
    <n v="0"/>
    <e v="#N/A"/>
    <s v=""/>
    <n v="0"/>
    <n v="0"/>
    <n v="0"/>
    <n v="0"/>
    <n v="0"/>
  </r>
  <r>
    <x v="179"/>
    <n v="0"/>
    <x v="25"/>
    <n v="6"/>
    <s v="JUN"/>
    <n v="0"/>
    <x v="25"/>
    <n v="0"/>
    <e v="#N/A"/>
    <s v=""/>
    <n v="0"/>
    <n v="0"/>
    <n v="0"/>
    <n v="0"/>
    <n v="0"/>
  </r>
  <r>
    <x v="180"/>
    <s v="#LIZSURSAP "/>
    <x v="25"/>
    <n v="6"/>
    <s v="JUN"/>
    <n v="0"/>
    <x v="25"/>
    <n v="0"/>
    <s v="14 - 15"/>
    <d v="1899-12-30T00:39:00"/>
    <n v="6.06"/>
    <n v="10.701555807738769"/>
    <n v="3.8"/>
    <n v="5.8461538461538423"/>
    <n v="1"/>
  </r>
  <r>
    <x v="180"/>
    <n v="0"/>
    <x v="25"/>
    <n v="6"/>
    <s v="JUN"/>
    <n v="0"/>
    <x v="25"/>
    <n v="0"/>
    <s v="15 - 16"/>
    <s v=""/>
    <n v="0"/>
    <n v="0"/>
    <n v="0"/>
    <n v="0"/>
    <n v="0"/>
  </r>
  <r>
    <x v="180"/>
    <n v="0"/>
    <x v="25"/>
    <n v="6"/>
    <s v="JUN"/>
    <n v="0"/>
    <x v="25"/>
    <n v="0"/>
    <e v="#N/A"/>
    <s v=""/>
    <n v="0"/>
    <n v="0"/>
    <n v="0"/>
    <n v="0"/>
    <n v="0"/>
  </r>
  <r>
    <x v="180"/>
    <n v="0"/>
    <x v="25"/>
    <n v="6"/>
    <s v="JUN"/>
    <n v="0"/>
    <x v="25"/>
    <n v="0"/>
    <e v="#N/A"/>
    <s v=""/>
    <n v="0"/>
    <n v="0"/>
    <n v="0"/>
    <n v="0"/>
    <n v="0"/>
  </r>
  <r>
    <x v="181"/>
    <s v="#LIW6MJNPB "/>
    <x v="25"/>
    <n v="6"/>
    <s v="JUN"/>
    <n v="0"/>
    <x v="25"/>
    <n v="0"/>
    <s v="15 - 16"/>
    <d v="1899-12-30T00:33:00"/>
    <n v="4.38"/>
    <n v="7.7347878610389129"/>
    <n v="3.09"/>
    <n v="5.6181818181818111"/>
    <n v="1"/>
  </r>
  <r>
    <x v="181"/>
    <n v="0"/>
    <x v="25"/>
    <n v="6"/>
    <s v="JUN"/>
    <n v="0"/>
    <x v="25"/>
    <n v="0"/>
    <s v="16 - 17"/>
    <s v=""/>
    <n v="0"/>
    <n v="0"/>
    <n v="0"/>
    <n v="0"/>
    <n v="0"/>
  </r>
  <r>
    <x v="181"/>
    <n v="0"/>
    <x v="25"/>
    <n v="6"/>
    <s v="JUN"/>
    <n v="0"/>
    <x v="25"/>
    <n v="0"/>
    <e v="#N/A"/>
    <s v=""/>
    <n v="0"/>
    <n v="0"/>
    <n v="0"/>
    <n v="0"/>
    <n v="0"/>
  </r>
  <r>
    <x v="181"/>
    <n v="0"/>
    <x v="25"/>
    <n v="6"/>
    <s v="JUN"/>
    <n v="0"/>
    <x v="25"/>
    <n v="0"/>
    <e v="#N/A"/>
    <s v=""/>
    <n v="0"/>
    <n v="0"/>
    <n v="0"/>
    <n v="0"/>
    <n v="0"/>
  </r>
  <r>
    <x v="182"/>
    <s v="#LIEWNZE5L "/>
    <x v="25"/>
    <n v="6"/>
    <s v="JUN"/>
    <n v="0"/>
    <x v="25"/>
    <n v="0"/>
    <s v="18 - 19"/>
    <d v="1899-12-30T00:23:00"/>
    <n v="3.48"/>
    <n v="6.1454478895925613"/>
    <n v="2.71"/>
    <n v="7.0695652173913306"/>
    <n v="1"/>
  </r>
  <r>
    <x v="182"/>
    <n v="0"/>
    <x v="25"/>
    <n v="6"/>
    <s v="JUN"/>
    <n v="0"/>
    <x v="25"/>
    <n v="0"/>
    <s v="18 - 19"/>
    <s v=""/>
    <n v="0"/>
    <n v="0"/>
    <n v="0"/>
    <n v="0"/>
    <n v="0"/>
  </r>
  <r>
    <x v="182"/>
    <n v="0"/>
    <x v="25"/>
    <n v="6"/>
    <s v="JUN"/>
    <n v="0"/>
    <x v="25"/>
    <n v="0"/>
    <e v="#N/A"/>
    <s v=""/>
    <n v="0"/>
    <n v="0"/>
    <n v="0"/>
    <n v="0"/>
    <n v="0"/>
  </r>
  <r>
    <x v="182"/>
    <n v="0"/>
    <x v="25"/>
    <n v="6"/>
    <s v="JUN"/>
    <n v="0"/>
    <x v="25"/>
    <n v="0"/>
    <e v="#N/A"/>
    <s v=""/>
    <n v="0"/>
    <n v="0"/>
    <n v="0"/>
    <n v="0"/>
    <n v="0"/>
  </r>
  <r>
    <x v="183"/>
    <s v="#LI11LRZL3 "/>
    <x v="25"/>
    <n v="6"/>
    <s v="JUN"/>
    <n v="0"/>
    <x v="25"/>
    <n v="0"/>
    <s v="18 - 19"/>
    <d v="1899-12-30T00:36:00"/>
    <n v="5.72"/>
    <n v="10.10113848519237"/>
    <n v="3.5"/>
    <n v="5.8333333333333544"/>
    <n v="1"/>
  </r>
  <r>
    <x v="183"/>
    <n v="0"/>
    <x v="25"/>
    <n v="6"/>
    <s v="JUN"/>
    <n v="0"/>
    <x v="25"/>
    <n v="0"/>
    <s v="19 - 20"/>
    <s v=""/>
    <n v="0"/>
    <n v="0"/>
    <n v="0"/>
    <n v="0"/>
    <n v="0"/>
  </r>
  <r>
    <x v="183"/>
    <n v="0"/>
    <x v="25"/>
    <n v="6"/>
    <s v="JUN"/>
    <n v="0"/>
    <x v="25"/>
    <n v="0"/>
    <e v="#N/A"/>
    <s v=""/>
    <n v="0"/>
    <n v="0"/>
    <n v="0"/>
    <n v="0"/>
    <n v="0"/>
  </r>
  <r>
    <x v="183"/>
    <n v="0"/>
    <x v="25"/>
    <n v="6"/>
    <s v="JUN"/>
    <n v="0"/>
    <x v="25"/>
    <n v="0"/>
    <e v="#N/A"/>
    <s v=""/>
    <n v="0"/>
    <n v="0"/>
    <n v="0"/>
    <n v="0"/>
    <n v="0"/>
  </r>
  <r>
    <x v="184"/>
    <s v="#LIFXU96EG "/>
    <x v="25"/>
    <n v="6"/>
    <s v="JUN"/>
    <n v="0"/>
    <x v="25"/>
    <n v="0"/>
    <s v="19 - 20"/>
    <d v="1899-12-30T00:28:00"/>
    <n v="4.9400000000000004"/>
    <n v="8.7237105099388668"/>
    <n v="3.22"/>
    <n v="6.8999999999999853"/>
    <n v="1"/>
  </r>
  <r>
    <x v="184"/>
    <n v="0"/>
    <x v="25"/>
    <n v="6"/>
    <s v="JUN"/>
    <n v="0"/>
    <x v="25"/>
    <n v="0"/>
    <s v="19 - 20"/>
    <s v=""/>
    <n v="0"/>
    <n v="0"/>
    <n v="0"/>
    <n v="0"/>
    <n v="0"/>
  </r>
  <r>
    <x v="184"/>
    <n v="0"/>
    <x v="25"/>
    <n v="6"/>
    <s v="JUN"/>
    <n v="0"/>
    <x v="25"/>
    <n v="0"/>
    <e v="#N/A"/>
    <s v=""/>
    <n v="0"/>
    <n v="0"/>
    <n v="0"/>
    <n v="0"/>
    <n v="0"/>
  </r>
  <r>
    <x v="184"/>
    <n v="0"/>
    <x v="25"/>
    <n v="6"/>
    <s v="JUN"/>
    <n v="0"/>
    <x v="25"/>
    <n v="0"/>
    <e v="#N/A"/>
    <s v=""/>
    <n v="0"/>
    <n v="0"/>
    <n v="0"/>
    <n v="0"/>
    <n v="0"/>
  </r>
  <r>
    <x v="185"/>
    <s v="#LIQL1JYJZ "/>
    <x v="25"/>
    <n v="6"/>
    <s v="JUN"/>
    <n v="0"/>
    <x v="25"/>
    <n v="0"/>
    <s v="20 - 21"/>
    <d v="1899-12-30T01:40:00"/>
    <n v="8.5"/>
    <n v="15.01043306365999"/>
    <n v="1.95"/>
    <n v="1.1700000000000004"/>
    <n v="1"/>
  </r>
  <r>
    <x v="185"/>
    <n v="0"/>
    <x v="25"/>
    <n v="6"/>
    <s v="JUN"/>
    <n v="0"/>
    <x v="25"/>
    <n v="0"/>
    <s v="21 - 22"/>
    <s v=""/>
    <n v="0"/>
    <n v="0"/>
    <n v="0"/>
    <n v="0"/>
    <n v="0"/>
  </r>
  <r>
    <x v="185"/>
    <n v="0"/>
    <x v="25"/>
    <n v="6"/>
    <s v="JUN"/>
    <n v="0"/>
    <x v="25"/>
    <n v="0"/>
    <e v="#N/A"/>
    <s v=""/>
    <n v="0"/>
    <n v="0"/>
    <n v="0"/>
    <n v="0"/>
    <n v="0"/>
  </r>
  <r>
    <x v="186"/>
    <s v="#LIWGSXK3N "/>
    <x v="26"/>
    <n v="6"/>
    <s v="JUN"/>
    <s v="JUN"/>
    <x v="26"/>
    <n v="4"/>
    <s v="12 - 13"/>
    <d v="1899-12-30T00:45:00"/>
    <n v="7.75"/>
    <n v="13.685983087454698"/>
    <n v="4.21"/>
    <n v="5.6133333333333333"/>
    <n v="1"/>
  </r>
  <r>
    <x v="186"/>
    <n v="0"/>
    <x v="26"/>
    <n v="6"/>
    <s v="JUN"/>
    <n v="0"/>
    <x v="26"/>
    <n v="0"/>
    <s v="13 - 14"/>
    <s v=""/>
    <n v="0"/>
    <n v="0"/>
    <n v="0"/>
    <n v="0"/>
    <n v="0"/>
  </r>
  <r>
    <x v="186"/>
    <n v="0"/>
    <x v="26"/>
    <n v="6"/>
    <s v="JUN"/>
    <n v="0"/>
    <x v="26"/>
    <n v="0"/>
    <e v="#N/A"/>
    <s v=""/>
    <n v="0"/>
    <n v="0"/>
    <n v="0"/>
    <n v="0"/>
    <n v="0"/>
  </r>
  <r>
    <x v="186"/>
    <n v="0"/>
    <x v="26"/>
    <n v="6"/>
    <s v="JUN"/>
    <n v="0"/>
    <x v="26"/>
    <n v="0"/>
    <e v="#N/A"/>
    <s v=""/>
    <n v="0"/>
    <n v="0"/>
    <n v="0"/>
    <n v="0"/>
    <n v="0"/>
  </r>
  <r>
    <x v="187"/>
    <s v="#LIVVV6G5V "/>
    <x v="26"/>
    <n v="6"/>
    <s v="JUN"/>
    <n v="0"/>
    <x v="26"/>
    <n v="0"/>
    <s v="13 - 14"/>
    <d v="1899-12-30T00:33:00"/>
    <n v="10.95"/>
    <n v="19.336969652597283"/>
    <n v="6.23"/>
    <n v="11.327272727272714"/>
    <n v="1"/>
  </r>
  <r>
    <x v="187"/>
    <n v="0"/>
    <x v="26"/>
    <n v="6"/>
    <s v="JUN"/>
    <n v="0"/>
    <x v="26"/>
    <n v="0"/>
    <s v="13 - 14"/>
    <s v=""/>
    <n v="0"/>
    <n v="0"/>
    <n v="0"/>
    <n v="0"/>
    <n v="0"/>
  </r>
  <r>
    <x v="187"/>
    <n v="0"/>
    <x v="26"/>
    <n v="6"/>
    <s v="JUN"/>
    <n v="0"/>
    <x v="26"/>
    <n v="0"/>
    <e v="#N/A"/>
    <s v=""/>
    <n v="0"/>
    <n v="0"/>
    <n v="0"/>
    <n v="0"/>
    <n v="0"/>
  </r>
  <r>
    <x v="187"/>
    <n v="0"/>
    <x v="26"/>
    <n v="6"/>
    <s v="JUN"/>
    <n v="0"/>
    <x v="26"/>
    <n v="0"/>
    <e v="#N/A"/>
    <s v=""/>
    <n v="0"/>
    <n v="0"/>
    <n v="0"/>
    <n v="0"/>
    <n v="0"/>
  </r>
  <r>
    <x v="188"/>
    <s v="#LIMHRMT2Y "/>
    <x v="26"/>
    <n v="6"/>
    <s v="JUN"/>
    <n v="0"/>
    <x v="26"/>
    <n v="0"/>
    <s v="13 - 14"/>
    <d v="1899-12-30T00:37:00"/>
    <n v="10.11"/>
    <n v="17.853585679247352"/>
    <n v="6.53"/>
    <n v="10.589189189189181"/>
    <n v="1"/>
  </r>
  <r>
    <x v="188"/>
    <n v="0"/>
    <x v="26"/>
    <n v="6"/>
    <s v="JUN"/>
    <n v="0"/>
    <x v="26"/>
    <n v="0"/>
    <s v="14 - 15"/>
    <s v=""/>
    <n v="0"/>
    <n v="0"/>
    <n v="0"/>
    <n v="0"/>
    <n v="0"/>
  </r>
  <r>
    <x v="188"/>
    <n v="0"/>
    <x v="26"/>
    <n v="6"/>
    <s v="JUN"/>
    <n v="0"/>
    <x v="26"/>
    <n v="0"/>
    <e v="#N/A"/>
    <s v=""/>
    <n v="0"/>
    <n v="0"/>
    <n v="0"/>
    <n v="0"/>
    <n v="0"/>
  </r>
  <r>
    <x v="188"/>
    <n v="0"/>
    <x v="26"/>
    <n v="6"/>
    <s v="JUN"/>
    <n v="0"/>
    <x v="26"/>
    <n v="0"/>
    <e v="#N/A"/>
    <s v=""/>
    <n v="0"/>
    <n v="0"/>
    <n v="0"/>
    <n v="0"/>
    <n v="0"/>
  </r>
  <r>
    <x v="189"/>
    <s v="#LILTKETTX "/>
    <x v="26"/>
    <n v="6"/>
    <s v="JUN"/>
    <n v="0"/>
    <x v="26"/>
    <n v="0"/>
    <s v="14 - 15"/>
    <d v="1899-12-30T00:26:00"/>
    <n v="3.4"/>
    <n v="6.0041732254639966"/>
    <n v="2.68"/>
    <n v="6.1846153846153689"/>
    <n v="1"/>
  </r>
  <r>
    <x v="189"/>
    <n v="0"/>
    <x v="26"/>
    <n v="6"/>
    <s v="JUN"/>
    <n v="0"/>
    <x v="26"/>
    <n v="0"/>
    <s v="14 - 15"/>
    <s v=""/>
    <n v="0"/>
    <n v="0"/>
    <n v="0"/>
    <n v="0"/>
    <n v="0"/>
  </r>
  <r>
    <x v="189"/>
    <n v="0"/>
    <x v="26"/>
    <n v="6"/>
    <s v="JUN"/>
    <n v="0"/>
    <x v="26"/>
    <n v="0"/>
    <e v="#N/A"/>
    <s v=""/>
    <n v="0"/>
    <n v="0"/>
    <n v="0"/>
    <n v="0"/>
    <n v="0"/>
  </r>
  <r>
    <x v="189"/>
    <n v="0"/>
    <x v="26"/>
    <n v="6"/>
    <s v="JUN"/>
    <n v="0"/>
    <x v="26"/>
    <n v="0"/>
    <e v="#N/A"/>
    <s v=""/>
    <n v="0"/>
    <n v="0"/>
    <n v="0"/>
    <n v="0"/>
    <n v="0"/>
  </r>
  <r>
    <x v="190"/>
    <s v="#LISTUETWJ "/>
    <x v="26"/>
    <n v="6"/>
    <s v="JUN"/>
    <n v="0"/>
    <x v="26"/>
    <n v="0"/>
    <s v="19 - 20"/>
    <d v="1899-12-30T00:51:00"/>
    <n v="8.4600000000000009"/>
    <n v="14.93979573159571"/>
    <n v="4.45"/>
    <n v="5.2352941176470775"/>
    <n v="1"/>
  </r>
  <r>
    <x v="190"/>
    <n v="0"/>
    <x v="26"/>
    <n v="6"/>
    <s v="JUN"/>
    <n v="0"/>
    <x v="26"/>
    <n v="0"/>
    <s v="20 - 21"/>
    <s v=""/>
    <n v="0"/>
    <n v="0"/>
    <n v="0"/>
    <n v="0"/>
    <n v="0"/>
  </r>
  <r>
    <x v="190"/>
    <n v="0"/>
    <x v="26"/>
    <n v="6"/>
    <s v="JUN"/>
    <n v="0"/>
    <x v="26"/>
    <n v="0"/>
    <e v="#N/A"/>
    <s v=""/>
    <n v="0"/>
    <n v="0"/>
    <n v="0"/>
    <n v="0"/>
    <n v="0"/>
  </r>
  <r>
    <x v="190"/>
    <n v="0"/>
    <x v="26"/>
    <n v="6"/>
    <s v="JUN"/>
    <n v="0"/>
    <x v="26"/>
    <n v="0"/>
    <e v="#N/A"/>
    <s v=""/>
    <n v="0"/>
    <n v="0"/>
    <n v="0"/>
    <n v="0"/>
    <n v="0"/>
  </r>
  <r>
    <x v="191"/>
    <s v="#LILDLMHSL "/>
    <x v="26"/>
    <n v="6"/>
    <s v="JUN"/>
    <n v="0"/>
    <x v="26"/>
    <n v="0"/>
    <s v="20 - 21"/>
    <d v="1899-12-30T00:52:00"/>
    <n v="9.85"/>
    <n v="17.394443020829517"/>
    <n v="6.44"/>
    <n v="7.4307692307692346"/>
    <n v="1"/>
  </r>
  <r>
    <x v="191"/>
    <n v="0"/>
    <x v="26"/>
    <n v="6"/>
    <s v="JUN"/>
    <n v="0"/>
    <x v="26"/>
    <n v="0"/>
    <s v="21 - 22"/>
    <s v=""/>
    <n v="0"/>
    <n v="0"/>
    <n v="0"/>
    <n v="0"/>
    <n v="0"/>
  </r>
  <r>
    <x v="191"/>
    <n v="0"/>
    <x v="26"/>
    <n v="6"/>
    <s v="JUN"/>
    <n v="0"/>
    <x v="26"/>
    <n v="0"/>
    <e v="#N/A"/>
    <s v=""/>
    <n v="0"/>
    <n v="0"/>
    <n v="0"/>
    <n v="0"/>
    <n v="0"/>
  </r>
  <r>
    <x v="191"/>
    <n v="0"/>
    <x v="26"/>
    <n v="6"/>
    <s v="JUN"/>
    <n v="0"/>
    <x v="26"/>
    <n v="0"/>
    <e v="#N/A"/>
    <s v=""/>
    <n v="0"/>
    <n v="0"/>
    <n v="0"/>
    <n v="0"/>
    <n v="0"/>
  </r>
  <r>
    <x v="192"/>
    <s v="#LIDJ2ATFF "/>
    <x v="26"/>
    <n v="6"/>
    <s v="JUN"/>
    <n v="0"/>
    <x v="26"/>
    <n v="0"/>
    <s v="21 - 22"/>
    <d v="1899-12-30T00:31:00"/>
    <n v="10.35"/>
    <n v="18.277409671633048"/>
    <n v="1.95"/>
    <n v="3.7741935483870908"/>
    <n v="1"/>
  </r>
  <r>
    <x v="192"/>
    <n v="0"/>
    <x v="26"/>
    <n v="6"/>
    <s v="JUN"/>
    <n v="0"/>
    <x v="26"/>
    <n v="0"/>
    <s v="22 - 23"/>
    <s v=""/>
    <n v="0"/>
    <n v="0"/>
    <n v="0"/>
    <n v="0"/>
    <n v="0"/>
  </r>
  <r>
    <x v="192"/>
    <n v="0"/>
    <x v="26"/>
    <n v="6"/>
    <s v="JUN"/>
    <n v="0"/>
    <x v="26"/>
    <n v="0"/>
    <e v="#N/A"/>
    <s v=""/>
    <n v="0"/>
    <n v="0"/>
    <n v="0"/>
    <n v="0"/>
    <n v="0"/>
  </r>
  <r>
    <x v="192"/>
    <n v="0"/>
    <x v="26"/>
    <n v="6"/>
    <s v="JUN"/>
    <n v="0"/>
    <x v="26"/>
    <n v="0"/>
    <e v="#N/A"/>
    <s v=""/>
    <n v="0"/>
    <n v="0"/>
    <n v="0"/>
    <n v="0"/>
    <n v="0"/>
  </r>
  <r>
    <x v="193"/>
    <s v="#LI6UWWQAP "/>
    <x v="26"/>
    <n v="6"/>
    <s v="JUN"/>
    <n v="0"/>
    <x v="26"/>
    <n v="0"/>
    <s v="22 - 23"/>
    <d v="1899-12-30T00:34:00"/>
    <n v="4.1500000000000004"/>
    <n v="7.3286232016692905"/>
    <n v="4.7"/>
    <n v="8.2941176470588136"/>
    <n v="1"/>
  </r>
  <r>
    <x v="193"/>
    <n v="0"/>
    <x v="26"/>
    <n v="6"/>
    <s v="JUN"/>
    <n v="0"/>
    <x v="26"/>
    <n v="0"/>
    <s v="23 - 24"/>
    <s v=""/>
    <n v="0"/>
    <n v="0"/>
    <n v="0"/>
    <n v="0"/>
    <n v="0"/>
  </r>
  <r>
    <x v="193"/>
    <n v="0"/>
    <x v="26"/>
    <n v="6"/>
    <s v="JUN"/>
    <n v="0"/>
    <x v="26"/>
    <n v="0"/>
    <e v="#N/A"/>
    <s v=""/>
    <n v="0"/>
    <n v="0"/>
    <n v="0"/>
    <n v="0"/>
    <n v="0"/>
  </r>
  <r>
    <x v="194"/>
    <s v="#LIR6CCDCZ "/>
    <x v="27"/>
    <n v="6"/>
    <s v="JUN"/>
    <s v="JUN"/>
    <x v="27"/>
    <n v="5"/>
    <s v="12 - 13"/>
    <d v="1899-12-30T00:46:00"/>
    <n v="5.7"/>
    <n v="10.065819819160229"/>
    <n v="3.49"/>
    <n v="4.552173913043478"/>
    <n v="1"/>
  </r>
  <r>
    <x v="194"/>
    <n v="0"/>
    <x v="27"/>
    <n v="6"/>
    <s v="JUN"/>
    <n v="0"/>
    <x v="27"/>
    <n v="0"/>
    <s v="12 - 13"/>
    <s v=""/>
    <n v="0"/>
    <n v="0"/>
    <n v="0"/>
    <n v="0"/>
    <n v="0"/>
  </r>
  <r>
    <x v="194"/>
    <n v="0"/>
    <x v="27"/>
    <n v="6"/>
    <s v="JUN"/>
    <n v="0"/>
    <x v="27"/>
    <n v="0"/>
    <e v="#N/A"/>
    <s v=""/>
    <n v="0"/>
    <n v="0"/>
    <n v="0"/>
    <n v="0"/>
    <n v="0"/>
  </r>
  <r>
    <x v="194"/>
    <n v="0"/>
    <x v="27"/>
    <n v="6"/>
    <s v="JUN"/>
    <n v="0"/>
    <x v="27"/>
    <n v="0"/>
    <e v="#N/A"/>
    <s v=""/>
    <n v="0"/>
    <n v="0"/>
    <n v="0"/>
    <n v="0"/>
    <n v="0"/>
  </r>
  <r>
    <x v="195"/>
    <s v="#LI9TBUANM "/>
    <x v="27"/>
    <n v="6"/>
    <s v="JUN"/>
    <n v="0"/>
    <x v="27"/>
    <n v="0"/>
    <s v="13 - 14"/>
    <d v="1899-12-30T00:25:00"/>
    <n v="6.62"/>
    <n v="11.690478456638722"/>
    <n v="3.83"/>
    <n v="9.1920000000000321"/>
    <n v="1"/>
  </r>
  <r>
    <x v="195"/>
    <n v="0"/>
    <x v="27"/>
    <n v="6"/>
    <s v="JUN"/>
    <n v="0"/>
    <x v="27"/>
    <n v="0"/>
    <s v="13 - 14"/>
    <s v=""/>
    <n v="0"/>
    <n v="0"/>
    <n v="0"/>
    <n v="0"/>
    <n v="0"/>
  </r>
  <r>
    <x v="195"/>
    <n v="0"/>
    <x v="27"/>
    <n v="6"/>
    <s v="JUN"/>
    <n v="0"/>
    <x v="27"/>
    <n v="0"/>
    <e v="#N/A"/>
    <s v=""/>
    <n v="0"/>
    <n v="0"/>
    <n v="0"/>
    <n v="0"/>
    <n v="0"/>
  </r>
  <r>
    <x v="195"/>
    <n v="0"/>
    <x v="27"/>
    <n v="6"/>
    <s v="JUN"/>
    <n v="0"/>
    <x v="27"/>
    <n v="0"/>
    <e v="#N/A"/>
    <s v=""/>
    <n v="0"/>
    <n v="0"/>
    <n v="0"/>
    <n v="0"/>
    <n v="0"/>
  </r>
  <r>
    <x v="196"/>
    <s v="#LI1ZBXKSU "/>
    <x v="27"/>
    <n v="6"/>
    <s v="JUN"/>
    <n v="0"/>
    <x v="27"/>
    <n v="0"/>
    <s v="14 - 15"/>
    <d v="1899-12-30T00:52:00"/>
    <n v="3.93"/>
    <n v="6.9401178753157371"/>
    <n v="2.87"/>
    <n v="3.3115384615384631"/>
    <n v="1"/>
  </r>
  <r>
    <x v="196"/>
    <n v="0"/>
    <x v="27"/>
    <n v="6"/>
    <s v="JUN"/>
    <n v="0"/>
    <x v="27"/>
    <n v="0"/>
    <s v="14 - 15"/>
    <s v=""/>
    <n v="0"/>
    <n v="0"/>
    <n v="0"/>
    <n v="0"/>
    <n v="0"/>
  </r>
  <r>
    <x v="196"/>
    <n v="0"/>
    <x v="27"/>
    <n v="6"/>
    <s v="JUN"/>
    <n v="0"/>
    <x v="27"/>
    <n v="0"/>
    <e v="#N/A"/>
    <s v=""/>
    <n v="0"/>
    <n v="0"/>
    <n v="0"/>
    <n v="0"/>
    <n v="0"/>
  </r>
  <r>
    <x v="196"/>
    <n v="0"/>
    <x v="27"/>
    <n v="6"/>
    <s v="JUN"/>
    <n v="0"/>
    <x v="27"/>
    <n v="0"/>
    <e v="#N/A"/>
    <s v=""/>
    <n v="0"/>
    <n v="0"/>
    <n v="0"/>
    <n v="0"/>
    <n v="0"/>
  </r>
  <r>
    <x v="197"/>
    <s v="#LIVKKH2GC "/>
    <x v="27"/>
    <n v="6"/>
    <s v="JUN"/>
    <n v="0"/>
    <x v="27"/>
    <n v="0"/>
    <s v="19 - 20"/>
    <d v="1899-12-30T00:38:00"/>
    <n v="2.74"/>
    <n v="4.8386572464033382"/>
    <n v="2.5499999999999998"/>
    <n v="4.0263157894736983"/>
    <n v="1"/>
  </r>
  <r>
    <x v="197"/>
    <n v="0"/>
    <x v="27"/>
    <n v="6"/>
    <s v="JUN"/>
    <n v="0"/>
    <x v="27"/>
    <n v="0"/>
    <s v="20 - 21"/>
    <s v=""/>
    <n v="0"/>
    <n v="0"/>
    <n v="0"/>
    <n v="0"/>
    <n v="0"/>
  </r>
  <r>
    <x v="197"/>
    <n v="0"/>
    <x v="27"/>
    <n v="6"/>
    <s v="JUN"/>
    <n v="0"/>
    <x v="27"/>
    <n v="0"/>
    <e v="#N/A"/>
    <s v=""/>
    <n v="0"/>
    <n v="0"/>
    <n v="0"/>
    <n v="0"/>
    <n v="0"/>
  </r>
  <r>
    <x v="197"/>
    <n v="0"/>
    <x v="27"/>
    <n v="6"/>
    <s v="JUN"/>
    <n v="0"/>
    <x v="27"/>
    <n v="0"/>
    <e v="#N/A"/>
    <s v=""/>
    <n v="0"/>
    <n v="0"/>
    <n v="0"/>
    <n v="0"/>
    <n v="0"/>
  </r>
  <r>
    <x v="198"/>
    <s v="#LISBD2LS1 "/>
    <x v="27"/>
    <n v="6"/>
    <s v="JUN"/>
    <n v="0"/>
    <x v="27"/>
    <n v="0"/>
    <s v="20 - 21"/>
    <d v="1899-12-30T00:41:00"/>
    <n v="4.04"/>
    <n v="7.1343705384925133"/>
    <n v="3.78"/>
    <n v="5.5317073170731685"/>
    <n v="1"/>
  </r>
  <r>
    <x v="198"/>
    <n v="0"/>
    <x v="27"/>
    <n v="6"/>
    <s v="JUN"/>
    <n v="0"/>
    <x v="27"/>
    <n v="0"/>
    <s v="20 - 21"/>
    <s v=""/>
    <n v="0"/>
    <n v="0"/>
    <n v="0"/>
    <n v="0"/>
    <n v="0"/>
  </r>
  <r>
    <x v="198"/>
    <n v="0"/>
    <x v="27"/>
    <n v="6"/>
    <s v="JUN"/>
    <n v="0"/>
    <x v="27"/>
    <n v="0"/>
    <e v="#N/A"/>
    <s v=""/>
    <n v="0"/>
    <n v="0"/>
    <n v="0"/>
    <n v="0"/>
    <n v="0"/>
  </r>
  <r>
    <x v="198"/>
    <n v="0"/>
    <x v="27"/>
    <n v="6"/>
    <s v="JUN"/>
    <n v="0"/>
    <x v="27"/>
    <n v="0"/>
    <e v="#N/A"/>
    <s v=""/>
    <n v="0"/>
    <n v="0"/>
    <n v="0"/>
    <n v="0"/>
    <n v="0"/>
  </r>
  <r>
    <x v="199"/>
    <s v="#LICH6JS1G "/>
    <x v="27"/>
    <n v="6"/>
    <s v="JUN"/>
    <n v="0"/>
    <x v="27"/>
    <n v="0"/>
    <s v="20 - 21"/>
    <d v="1899-12-30T00:36:00"/>
    <n v="8.2899999999999991"/>
    <n v="14.639587070322508"/>
    <n v="5.72"/>
    <n v="9.533333333333367"/>
    <n v="1"/>
  </r>
  <r>
    <x v="199"/>
    <n v="0"/>
    <x v="27"/>
    <n v="6"/>
    <s v="JUN"/>
    <n v="0"/>
    <x v="27"/>
    <n v="0"/>
    <s v="21 - 22"/>
    <s v=""/>
    <n v="0"/>
    <n v="0"/>
    <n v="0"/>
    <n v="0"/>
    <n v="0"/>
  </r>
  <r>
    <x v="199"/>
    <n v="0"/>
    <x v="27"/>
    <n v="6"/>
    <s v="JUN"/>
    <n v="0"/>
    <x v="27"/>
    <n v="0"/>
    <e v="#N/A"/>
    <s v=""/>
    <n v="0"/>
    <n v="0"/>
    <n v="0"/>
    <n v="0"/>
    <n v="0"/>
  </r>
  <r>
    <x v="200"/>
    <s v="#LIJP3CKZP "/>
    <x v="28"/>
    <n v="6"/>
    <s v="JUN"/>
    <s v="JUN"/>
    <x v="28"/>
    <n v="6"/>
    <s v="12 - 13"/>
    <d v="1899-12-30T00:56:00"/>
    <n v="7.18"/>
    <n v="12.679401105538673"/>
    <n v="4.01"/>
    <n v="4.2964285714285744"/>
    <n v="1"/>
  </r>
  <r>
    <x v="200"/>
    <n v="0"/>
    <x v="28"/>
    <n v="6"/>
    <s v="JUN"/>
    <n v="0"/>
    <x v="28"/>
    <n v="0"/>
    <s v="13 - 14"/>
    <s v=""/>
    <n v="0"/>
    <n v="0"/>
    <n v="0"/>
    <n v="0"/>
    <n v="0"/>
  </r>
  <r>
    <x v="200"/>
    <n v="0"/>
    <x v="28"/>
    <n v="6"/>
    <s v="JUN"/>
    <n v="0"/>
    <x v="28"/>
    <n v="0"/>
    <e v="#N/A"/>
    <s v=""/>
    <n v="0"/>
    <n v="0"/>
    <n v="0"/>
    <n v="0"/>
    <n v="0"/>
  </r>
  <r>
    <x v="200"/>
    <n v="0"/>
    <x v="28"/>
    <n v="6"/>
    <s v="JUN"/>
    <n v="0"/>
    <x v="28"/>
    <n v="0"/>
    <e v="#N/A"/>
    <s v=""/>
    <n v="0"/>
    <n v="0"/>
    <n v="0"/>
    <n v="0"/>
    <n v="0"/>
  </r>
  <r>
    <x v="201"/>
    <s v="#LIUYCYB3Y "/>
    <x v="28"/>
    <n v="6"/>
    <s v="JUN"/>
    <n v="0"/>
    <x v="28"/>
    <n v="0"/>
    <s v="19 - 20"/>
    <d v="1899-12-30T00:35:00"/>
    <n v="6.23"/>
    <n v="11.00176446901197"/>
    <n v="3.68"/>
    <n v="6.30857142857145"/>
    <n v="1"/>
  </r>
  <r>
    <x v="201"/>
    <n v="0"/>
    <x v="28"/>
    <n v="6"/>
    <s v="JUN"/>
    <n v="0"/>
    <x v="28"/>
    <n v="0"/>
    <s v="20 - 21"/>
    <s v=""/>
    <n v="0"/>
    <n v="0"/>
    <n v="0"/>
    <n v="0"/>
    <n v="0"/>
  </r>
  <r>
    <x v="201"/>
    <n v="0"/>
    <x v="28"/>
    <n v="6"/>
    <s v="JUN"/>
    <n v="0"/>
    <x v="28"/>
    <n v="0"/>
    <e v="#N/A"/>
    <s v=""/>
    <n v="0"/>
    <n v="0"/>
    <n v="0"/>
    <n v="0"/>
    <n v="0"/>
  </r>
  <r>
    <x v="201"/>
    <n v="0"/>
    <x v="28"/>
    <n v="6"/>
    <s v="JUN"/>
    <n v="0"/>
    <x v="28"/>
    <n v="0"/>
    <e v="#N/A"/>
    <s v=""/>
    <n v="0"/>
    <n v="0"/>
    <n v="0"/>
    <n v="0"/>
    <n v="0"/>
  </r>
  <r>
    <x v="202"/>
    <s v="#LIWVBTKSQ "/>
    <x v="28"/>
    <n v="6"/>
    <s v="JUN"/>
    <n v="0"/>
    <x v="28"/>
    <n v="0"/>
    <s v="20 - 21"/>
    <d v="1899-12-30T00:47:00"/>
    <n v="3.68"/>
    <n v="6.498634549913973"/>
    <n v="2.78"/>
    <n v="3.548936170212754"/>
    <n v="1"/>
  </r>
  <r>
    <x v="202"/>
    <n v="0"/>
    <x v="28"/>
    <n v="6"/>
    <s v="JUN"/>
    <n v="0"/>
    <x v="28"/>
    <n v="0"/>
    <s v="21 - 22"/>
    <s v=""/>
    <n v="0"/>
    <n v="0"/>
    <n v="0"/>
    <n v="0"/>
    <n v="0"/>
  </r>
  <r>
    <x v="202"/>
    <n v="0"/>
    <x v="28"/>
    <n v="6"/>
    <s v="JUN"/>
    <n v="0"/>
    <x v="28"/>
    <n v="0"/>
    <e v="#N/A"/>
    <s v=""/>
    <n v="0"/>
    <n v="0"/>
    <n v="0"/>
    <n v="0"/>
    <n v="0"/>
  </r>
  <r>
    <x v="202"/>
    <n v="0"/>
    <x v="28"/>
    <n v="6"/>
    <s v="JUN"/>
    <n v="0"/>
    <x v="28"/>
    <n v="0"/>
    <e v="#N/A"/>
    <s v=""/>
    <n v="0"/>
    <n v="0"/>
    <n v="0"/>
    <n v="0"/>
    <n v="0"/>
  </r>
  <r>
    <x v="203"/>
    <s v="#LIRZ1U33E "/>
    <x v="28"/>
    <n v="6"/>
    <s v="JUN"/>
    <n v="0"/>
    <x v="28"/>
    <n v="0"/>
    <s v="21 - 22"/>
    <d v="1899-12-30T00:33:00"/>
    <n v="4.87"/>
    <n v="8.600095178826372"/>
    <n v="3.62"/>
    <n v="6.5818181818182371"/>
    <n v="1"/>
  </r>
  <r>
    <x v="203"/>
    <n v="0"/>
    <x v="28"/>
    <n v="6"/>
    <s v="JUN"/>
    <n v="0"/>
    <x v="28"/>
    <n v="0"/>
    <s v="21 - 22"/>
    <s v=""/>
    <n v="0"/>
    <n v="0"/>
    <n v="0"/>
    <n v="0"/>
    <n v="0"/>
  </r>
  <r>
    <x v="203"/>
    <n v="0"/>
    <x v="28"/>
    <n v="6"/>
    <s v="JUN"/>
    <n v="0"/>
    <x v="28"/>
    <n v="0"/>
    <e v="#N/A"/>
    <s v=""/>
    <n v="0"/>
    <n v="0"/>
    <n v="0"/>
    <n v="0"/>
    <n v="0"/>
  </r>
  <r>
    <x v="203"/>
    <n v="0"/>
    <x v="28"/>
    <n v="6"/>
    <s v="JUN"/>
    <n v="0"/>
    <x v="28"/>
    <n v="0"/>
    <e v="#N/A"/>
    <s v=""/>
    <n v="0"/>
    <n v="0"/>
    <n v="0"/>
    <n v="0"/>
    <n v="0"/>
  </r>
  <r>
    <x v="204"/>
    <s v="#LITKYA1WA "/>
    <x v="28"/>
    <n v="6"/>
    <s v="JUN"/>
    <n v="0"/>
    <x v="28"/>
    <n v="0"/>
    <s v="21 - 22"/>
    <d v="1899-12-30T00:50:00"/>
    <n v="5.73"/>
    <n v="10.118797818208442"/>
    <n v="4.74"/>
    <n v="5.6880000000000024"/>
    <n v="1"/>
  </r>
  <r>
    <x v="204"/>
    <n v="0"/>
    <x v="28"/>
    <n v="6"/>
    <s v="JUN"/>
    <n v="0"/>
    <x v="28"/>
    <n v="0"/>
    <s v="22 - 23"/>
    <s v=""/>
    <n v="0"/>
    <n v="0"/>
    <n v="0"/>
    <n v="0"/>
    <n v="0"/>
  </r>
  <r>
    <x v="204"/>
    <n v="0"/>
    <x v="28"/>
    <n v="6"/>
    <s v="JUN"/>
    <n v="0"/>
    <x v="28"/>
    <n v="0"/>
    <e v="#N/A"/>
    <s v=""/>
    <n v="0"/>
    <n v="0"/>
    <n v="0"/>
    <n v="0"/>
    <n v="0"/>
  </r>
  <r>
    <x v="205"/>
    <s v="#LIVFRMREH "/>
    <x v="29"/>
    <n v="6"/>
    <s v="JUN"/>
    <s v="JUN"/>
    <x v="0"/>
    <n v="7"/>
    <s v="12 - 13"/>
    <d v="1899-12-30T01:09:00"/>
    <n v="6.41"/>
    <n v="11.319632463301241"/>
    <n v="4.96"/>
    <n v="4.3130434782608651"/>
    <n v="1"/>
  </r>
  <r>
    <x v="205"/>
    <n v="0"/>
    <x v="29"/>
    <n v="6"/>
    <s v="JUN"/>
    <n v="0"/>
    <x v="0"/>
    <n v="0"/>
    <s v="13 - 14"/>
    <s v=""/>
    <n v="0"/>
    <n v="0"/>
    <n v="0"/>
    <n v="0"/>
    <n v="0"/>
  </r>
  <r>
    <x v="205"/>
    <n v="0"/>
    <x v="29"/>
    <n v="6"/>
    <s v="JUN"/>
    <n v="0"/>
    <x v="0"/>
    <n v="0"/>
    <e v="#N/A"/>
    <s v=""/>
    <n v="0"/>
    <n v="0"/>
    <n v="0"/>
    <n v="0"/>
    <n v="0"/>
  </r>
  <r>
    <x v="205"/>
    <n v="0"/>
    <x v="29"/>
    <n v="6"/>
    <s v="JUN"/>
    <n v="0"/>
    <x v="0"/>
    <n v="0"/>
    <e v="#N/A"/>
    <s v=""/>
    <n v="0"/>
    <n v="0"/>
    <n v="0"/>
    <n v="0"/>
    <n v="0"/>
  </r>
  <r>
    <x v="206"/>
    <s v="#LI1EE6BDY "/>
    <x v="29"/>
    <n v="6"/>
    <s v="JUN"/>
    <n v="0"/>
    <x v="0"/>
    <n v="0"/>
    <s v="13 - 14"/>
    <d v="1899-12-30T00:23:00"/>
    <n v="4.7"/>
    <n v="8.2998865175531709"/>
    <n v="4.08"/>
    <n v="10.643478260869605"/>
    <n v="1"/>
  </r>
  <r>
    <x v="206"/>
    <n v="0"/>
    <x v="29"/>
    <n v="6"/>
    <s v="JUN"/>
    <n v="0"/>
    <x v="0"/>
    <n v="0"/>
    <s v="13 - 14"/>
    <s v=""/>
    <n v="0"/>
    <n v="0"/>
    <n v="0"/>
    <n v="0"/>
    <n v="0"/>
  </r>
  <r>
    <x v="206"/>
    <n v="0"/>
    <x v="29"/>
    <n v="6"/>
    <s v="JUN"/>
    <n v="0"/>
    <x v="0"/>
    <n v="0"/>
    <e v="#N/A"/>
    <s v=""/>
    <n v="0"/>
    <n v="0"/>
    <n v="0"/>
    <n v="0"/>
    <n v="0"/>
  </r>
  <r>
    <x v="206"/>
    <n v="0"/>
    <x v="29"/>
    <n v="6"/>
    <s v="JUN"/>
    <n v="0"/>
    <x v="0"/>
    <n v="0"/>
    <e v="#N/A"/>
    <s v=""/>
    <n v="0"/>
    <n v="0"/>
    <n v="0"/>
    <n v="0"/>
    <n v="0"/>
  </r>
  <r>
    <x v="207"/>
    <s v="#LIFSJE8JA "/>
    <x v="29"/>
    <n v="6"/>
    <s v="JUN"/>
    <n v="0"/>
    <x v="0"/>
    <n v="0"/>
    <s v="19 - 20"/>
    <d v="1899-12-30T00:44:00"/>
    <n v="5.92"/>
    <n v="10.454325145513781"/>
    <n v="4.6500000000000004"/>
    <n v="6.3409090909091148"/>
    <n v="1"/>
  </r>
  <r>
    <x v="207"/>
    <n v="0"/>
    <x v="29"/>
    <n v="6"/>
    <s v="JUN"/>
    <n v="0"/>
    <x v="0"/>
    <n v="0"/>
    <s v="20 - 21"/>
    <s v=""/>
    <n v="0"/>
    <n v="0"/>
    <n v="0"/>
    <n v="0"/>
    <n v="0"/>
  </r>
  <r>
    <x v="207"/>
    <n v="0"/>
    <x v="29"/>
    <n v="6"/>
    <s v="JUN"/>
    <n v="0"/>
    <x v="0"/>
    <n v="0"/>
    <e v="#N/A"/>
    <s v=""/>
    <n v="0"/>
    <n v="0"/>
    <n v="0"/>
    <n v="0"/>
    <n v="0"/>
  </r>
  <r>
    <x v="207"/>
    <n v="0"/>
    <x v="29"/>
    <n v="6"/>
    <s v="JUN"/>
    <n v="0"/>
    <x v="0"/>
    <n v="0"/>
    <e v="#N/A"/>
    <s v=""/>
    <n v="0"/>
    <n v="0"/>
    <n v="0"/>
    <n v="0"/>
    <n v="0"/>
  </r>
  <r>
    <x v="208"/>
    <s v="#LIGA7C6AH "/>
    <x v="29"/>
    <n v="6"/>
    <s v="JUN"/>
    <n v="0"/>
    <x v="0"/>
    <n v="0"/>
    <s v="20 - 21"/>
    <d v="1899-12-30T00:28:00"/>
    <n v="11.59"/>
    <n v="20.4671669656258"/>
    <n v="7.21"/>
    <n v="15.449999999999967"/>
    <n v="1"/>
  </r>
  <r>
    <x v="208"/>
    <n v="0"/>
    <x v="29"/>
    <n v="6"/>
    <s v="JUN"/>
    <n v="0"/>
    <x v="0"/>
    <n v="0"/>
    <s v="20 - 21"/>
    <s v=""/>
    <n v="0"/>
    <n v="0"/>
    <n v="0"/>
    <n v="0"/>
    <n v="0"/>
  </r>
  <r>
    <x v="208"/>
    <n v="0"/>
    <x v="29"/>
    <n v="6"/>
    <s v="JUN"/>
    <n v="0"/>
    <x v="0"/>
    <n v="0"/>
    <e v="#N/A"/>
    <s v=""/>
    <n v="0"/>
    <n v="0"/>
    <n v="0"/>
    <n v="0"/>
    <n v="0"/>
  </r>
  <r>
    <x v="208"/>
    <n v="0"/>
    <x v="29"/>
    <n v="6"/>
    <s v="JUN"/>
    <n v="0"/>
    <x v="0"/>
    <n v="0"/>
    <e v="#N/A"/>
    <s v=""/>
    <n v="0"/>
    <n v="0"/>
    <n v="0"/>
    <n v="0"/>
    <n v="0"/>
  </r>
  <r>
    <x v="209"/>
    <s v="#LIWLMBDMZ "/>
    <x v="29"/>
    <n v="6"/>
    <s v="JUN"/>
    <n v="0"/>
    <x v="0"/>
    <n v="0"/>
    <s v="21 - 22"/>
    <d v="1899-12-30T02:02:00"/>
    <n v="9.3000000000000007"/>
    <n v="16.423179704945639"/>
    <n v="6.17"/>
    <n v="3.0344262295081954"/>
    <n v="1"/>
  </r>
  <r>
    <x v="209"/>
    <n v="0"/>
    <x v="29"/>
    <n v="6"/>
    <s v="JUN"/>
    <n v="0"/>
    <x v="0"/>
    <n v="0"/>
    <s v="23 - 24"/>
    <s v=""/>
    <n v="0"/>
    <n v="0"/>
    <n v="0"/>
    <n v="0"/>
    <n v="0"/>
  </r>
  <r>
    <x v="209"/>
    <n v="0"/>
    <x v="29"/>
    <n v="6"/>
    <s v="JUN"/>
    <n v="0"/>
    <x v="0"/>
    <n v="0"/>
    <e v="#N/A"/>
    <s v=""/>
    <n v="0"/>
    <n v="0"/>
    <n v="0"/>
    <n v="0"/>
    <n v="0"/>
  </r>
  <r>
    <x v="209"/>
    <n v="0"/>
    <x v="29"/>
    <n v="6"/>
    <s v="JUN"/>
    <n v="0"/>
    <x v="0"/>
    <n v="0"/>
    <e v="#N/A"/>
    <s v=""/>
    <n v="0"/>
    <n v="0"/>
    <n v="0"/>
    <n v="0"/>
    <n v="0"/>
  </r>
  <r>
    <x v="210"/>
    <s v="#LI2NSU1XL "/>
    <x v="29"/>
    <n v="6"/>
    <s v="JUN"/>
    <n v="0"/>
    <x v="0"/>
    <n v="0"/>
    <s v="20 - 21"/>
    <d v="1899-12-30T00:36:00"/>
    <n v="2.82"/>
    <n v="4.9799319105319029"/>
    <n v="4.2300000000000004"/>
    <n v="7.0500000000000256"/>
    <n v="1"/>
  </r>
  <r>
    <x v="210"/>
    <n v="0"/>
    <x v="29"/>
    <n v="6"/>
    <s v="JUN"/>
    <n v="0"/>
    <x v="0"/>
    <n v="0"/>
    <s v="21 - 22"/>
    <s v=""/>
    <n v="0"/>
    <n v="0"/>
    <n v="0"/>
    <n v="0"/>
    <n v="0"/>
  </r>
  <r>
    <x v="210"/>
    <n v="0"/>
    <x v="29"/>
    <n v="6"/>
    <s v="JUN"/>
    <n v="0"/>
    <x v="0"/>
    <n v="0"/>
    <e v="#N/A"/>
    <s v=""/>
    <n v="0"/>
    <n v="0"/>
    <n v="0"/>
    <n v="0"/>
    <n v="0"/>
  </r>
  <r>
    <x v="210"/>
    <n v="0"/>
    <x v="29"/>
    <n v="6"/>
    <s v="JUN"/>
    <n v="0"/>
    <x v="0"/>
    <n v="0"/>
    <e v="#N/A"/>
    <s v=""/>
    <n v="0"/>
    <n v="0"/>
    <n v="0"/>
    <n v="0"/>
    <n v="0"/>
  </r>
  <r>
    <x v="211"/>
    <s v="#LILL3CYAX "/>
    <x v="29"/>
    <n v="6"/>
    <s v="JUN"/>
    <n v="0"/>
    <x v="0"/>
    <n v="0"/>
    <s v="21 - 22"/>
    <d v="1899-12-30T00:54:00"/>
    <n v="13.01"/>
    <n v="22.974792253907822"/>
    <n v="9.7799999999999994"/>
    <n v="10.86666666666664"/>
    <n v="1"/>
  </r>
  <r>
    <x v="211"/>
    <n v="0"/>
    <x v="29"/>
    <n v="6"/>
    <s v="JUN"/>
    <n v="0"/>
    <x v="0"/>
    <n v="0"/>
    <s v="22 - 23"/>
    <s v=""/>
    <n v="0"/>
    <n v="0"/>
    <n v="0"/>
    <n v="0"/>
    <n v="0"/>
  </r>
  <r>
    <x v="211"/>
    <n v="0"/>
    <x v="29"/>
    <n v="6"/>
    <s v="JUN"/>
    <n v="0"/>
    <x v="0"/>
    <n v="0"/>
    <e v="#N/A"/>
    <s v=""/>
    <n v="0"/>
    <n v="0"/>
    <n v="0"/>
    <n v="0"/>
    <n v="0"/>
  </r>
  <r>
    <x v="211"/>
    <n v="0"/>
    <x v="29"/>
    <n v="6"/>
    <s v="JUN"/>
    <n v="0"/>
    <x v="0"/>
    <n v="0"/>
    <e v="#N/A"/>
    <s v=""/>
    <n v="0"/>
    <n v="0"/>
    <n v="0"/>
    <n v="0"/>
    <n v="0"/>
  </r>
  <r>
    <x v="212"/>
    <s v="#LIPRQ97NR "/>
    <x v="29"/>
    <n v="6"/>
    <s v="JUN"/>
    <n v="0"/>
    <x v="0"/>
    <n v="0"/>
    <e v="#N/A"/>
    <d v="1899-12-30T00:00:00"/>
    <n v="6.22"/>
    <n v="10.984105135995899"/>
    <n v="6.36"/>
    <n v="0"/>
    <n v="1"/>
  </r>
  <r>
    <x v="212"/>
    <n v="0"/>
    <x v="29"/>
    <n v="6"/>
    <s v="JUN"/>
    <n v="0"/>
    <x v="0"/>
    <n v="0"/>
    <e v="#N/A"/>
    <s v=""/>
    <n v="0"/>
    <n v="0"/>
    <n v="0"/>
    <n v="0"/>
    <n v="0"/>
  </r>
  <r>
    <x v="212"/>
    <n v="0"/>
    <x v="29"/>
    <n v="6"/>
    <s v="JUN"/>
    <n v="0"/>
    <x v="0"/>
    <n v="0"/>
    <e v="#N/A"/>
    <s v=""/>
    <n v="0"/>
    <n v="0"/>
    <n v="0"/>
    <n v="0"/>
    <n v="0"/>
  </r>
  <r>
    <x v="212"/>
    <n v="0"/>
    <x v="29"/>
    <n v="6"/>
    <s v="JUN"/>
    <n v="0"/>
    <x v="0"/>
    <n v="0"/>
    <e v="#N/A"/>
    <s v=""/>
    <n v="0"/>
    <n v="0"/>
    <n v="0"/>
    <n v="0"/>
    <n v="0"/>
  </r>
  <r>
    <x v="213"/>
    <s v="#LIKJBFDY1 "/>
    <x v="29"/>
    <n v="6"/>
    <s v="JUN"/>
    <n v="0"/>
    <x v="0"/>
    <n v="0"/>
    <s v="22 - 23"/>
    <d v="1899-12-30T00:17:00"/>
    <n v="5.62"/>
    <n v="9.9245451550316641"/>
    <n v="4.6500000000000004"/>
    <n v="16.411764705882412"/>
    <n v="1"/>
  </r>
  <r>
    <x v="213"/>
    <n v="0"/>
    <x v="29"/>
    <n v="6"/>
    <s v="JUN"/>
    <n v="0"/>
    <x v="0"/>
    <n v="0"/>
    <s v="22 - 23"/>
    <s v=""/>
    <n v="0"/>
    <n v="0"/>
    <n v="0"/>
    <n v="0"/>
    <n v="0"/>
  </r>
  <r>
    <x v="213"/>
    <n v="0"/>
    <x v="29"/>
    <n v="6"/>
    <s v="JUN"/>
    <n v="0"/>
    <x v="0"/>
    <n v="0"/>
    <e v="#N/A"/>
    <s v=""/>
    <n v="0"/>
    <n v="0"/>
    <n v="0"/>
    <n v="0"/>
    <n v="0"/>
  </r>
  <r>
    <x v="213"/>
    <n v="0"/>
    <x v="29"/>
    <n v="6"/>
    <s v="JUN"/>
    <n v="0"/>
    <x v="0"/>
    <n v="0"/>
    <e v="#N/A"/>
    <s v=""/>
    <n v="0"/>
    <n v="0"/>
    <n v="0"/>
    <n v="0"/>
    <n v="0"/>
  </r>
  <r>
    <x v="214"/>
    <s v="#LILQYWHPP "/>
    <x v="29"/>
    <n v="6"/>
    <s v="JUN"/>
    <n v="0"/>
    <x v="0"/>
    <n v="0"/>
    <s v="22 - 23"/>
    <d v="1899-12-30T01:21:00"/>
    <n v="13.89"/>
    <n v="24.528813559322032"/>
    <n v="1.95"/>
    <n v="1.4444444444444438"/>
    <n v="1"/>
  </r>
  <r>
    <x v="214"/>
    <n v="0"/>
    <x v="29"/>
    <n v="6"/>
    <s v="JUN"/>
    <n v="0"/>
    <x v="0"/>
    <n v="0"/>
    <s v="23 - 24"/>
    <s v=""/>
    <n v="0"/>
    <n v="0"/>
    <n v="0"/>
    <n v="0"/>
    <n v="0"/>
  </r>
  <r>
    <x v="214"/>
    <n v="0"/>
    <x v="29"/>
    <n v="6"/>
    <s v="JUN"/>
    <n v="0"/>
    <x v="0"/>
    <n v="0"/>
    <e v="#N/A"/>
    <s v=""/>
    <n v="0"/>
    <n v="0"/>
    <n v="0"/>
    <n v="0"/>
    <n v="0"/>
  </r>
  <r>
    <x v="214"/>
    <n v="0"/>
    <x v="29"/>
    <n v="6"/>
    <s v="JUN"/>
    <n v="0"/>
    <x v="0"/>
    <n v="0"/>
    <e v="#N/A"/>
    <s v=""/>
    <n v="0"/>
    <n v="0"/>
    <n v="0"/>
    <n v="0"/>
    <n v="0"/>
  </r>
  <r>
    <x v="215"/>
    <s v="#LIBU2YDEF "/>
    <x v="29"/>
    <n v="6"/>
    <s v="JUN"/>
    <n v="0"/>
    <x v="0"/>
    <n v="0"/>
    <s v="23 - 24"/>
    <d v="1899-12-30T00:10:00"/>
    <n v="5.27"/>
    <n v="9.3064684994691937"/>
    <n v="4.34"/>
    <n v="26.040000000000092"/>
    <n v="1"/>
  </r>
  <r>
    <x v="215"/>
    <n v="0"/>
    <x v="29"/>
    <n v="6"/>
    <s v="JUN"/>
    <n v="0"/>
    <x v="0"/>
    <n v="0"/>
    <s v="23 - 24"/>
    <s v=""/>
    <n v="0"/>
    <n v="0"/>
    <n v="0"/>
    <n v="0"/>
    <n v="0"/>
  </r>
  <r>
    <x v="215"/>
    <n v="0"/>
    <x v="29"/>
    <n v="6"/>
    <s v="JUN"/>
    <n v="0"/>
    <x v="0"/>
    <n v="0"/>
    <e v="#N/A"/>
    <s v=""/>
    <n v="0"/>
    <n v="0"/>
    <n v="0"/>
    <n v="0"/>
    <n v="0"/>
  </r>
  <r>
    <x v="216"/>
    <s v="#LI1LDFBRE "/>
    <x v="30"/>
    <n v="6"/>
    <s v="JUN"/>
    <s v="JUN"/>
    <x v="1"/>
    <n v="8"/>
    <s v="19 - 20"/>
    <d v="1899-12-30T00:48:00"/>
    <n v="3.32"/>
    <n v="5.8628985613354319"/>
    <n v="2.66"/>
    <n v="3.3250000000000117"/>
    <n v="1"/>
  </r>
  <r>
    <x v="216"/>
    <n v="0"/>
    <x v="30"/>
    <n v="6"/>
    <s v="JUN"/>
    <n v="0"/>
    <x v="1"/>
    <n v="0"/>
    <s v="20 - 21"/>
    <s v=""/>
    <n v="0"/>
    <n v="0"/>
    <n v="0"/>
    <n v="0"/>
    <n v="0"/>
  </r>
  <r>
    <x v="216"/>
    <n v="0"/>
    <x v="30"/>
    <n v="6"/>
    <s v="JUN"/>
    <n v="0"/>
    <x v="1"/>
    <n v="0"/>
    <e v="#N/A"/>
    <s v=""/>
    <n v="0"/>
    <n v="0"/>
    <n v="0"/>
    <n v="0"/>
    <n v="0"/>
  </r>
  <r>
    <x v="216"/>
    <n v="0"/>
    <x v="30"/>
    <n v="6"/>
    <s v="JUN"/>
    <n v="0"/>
    <x v="1"/>
    <n v="0"/>
    <e v="#N/A"/>
    <s v=""/>
    <n v="0"/>
    <n v="0"/>
    <n v="0"/>
    <n v="0"/>
    <n v="0"/>
  </r>
  <r>
    <x v="217"/>
    <s v="#LIYRVLZUF "/>
    <x v="30"/>
    <n v="6"/>
    <s v="JUN"/>
    <n v="0"/>
    <x v="1"/>
    <n v="0"/>
    <s v="20 - 21"/>
    <d v="1899-12-30T00:36:00"/>
    <n v="2.57"/>
    <n v="4.5384485851301379"/>
    <n v="3.61"/>
    <n v="6.0166666666666613"/>
    <n v="1"/>
  </r>
  <r>
    <x v="217"/>
    <n v="0"/>
    <x v="30"/>
    <n v="6"/>
    <s v="JUN"/>
    <n v="0"/>
    <x v="1"/>
    <n v="0"/>
    <s v="21 - 22"/>
    <s v=""/>
    <n v="0"/>
    <n v="0"/>
    <n v="0"/>
    <n v="0"/>
    <n v="0"/>
  </r>
  <r>
    <x v="217"/>
    <n v="0"/>
    <x v="30"/>
    <n v="6"/>
    <s v="JUN"/>
    <n v="0"/>
    <x v="1"/>
    <n v="0"/>
    <e v="#N/A"/>
    <s v=""/>
    <n v="0"/>
    <n v="0"/>
    <n v="0"/>
    <n v="0"/>
    <n v="0"/>
  </r>
  <r>
    <x v="217"/>
    <n v="0"/>
    <x v="30"/>
    <n v="6"/>
    <s v="JUN"/>
    <n v="0"/>
    <x v="1"/>
    <n v="0"/>
    <e v="#N/A"/>
    <s v=""/>
    <n v="0"/>
    <n v="0"/>
    <n v="0"/>
    <n v="0"/>
    <n v="0"/>
  </r>
  <r>
    <x v="218"/>
    <s v="#LIXHTWQVZ "/>
    <x v="30"/>
    <n v="6"/>
    <s v="JUN"/>
    <n v="0"/>
    <x v="1"/>
    <n v="0"/>
    <s v="21 - 22"/>
    <d v="1899-12-30T00:36:00"/>
    <n v="3.21"/>
    <n v="5.6686458981586556"/>
    <n v="3.19"/>
    <n v="5.316666666666638"/>
    <n v="1"/>
  </r>
  <r>
    <x v="218"/>
    <n v="0"/>
    <x v="30"/>
    <n v="6"/>
    <s v="JUN"/>
    <n v="0"/>
    <x v="1"/>
    <n v="0"/>
    <s v="21 - 22"/>
    <s v=""/>
    <n v="0"/>
    <n v="0"/>
    <n v="0"/>
    <n v="0"/>
    <n v="0"/>
  </r>
  <r>
    <x v="218"/>
    <n v="0"/>
    <x v="30"/>
    <n v="6"/>
    <s v="JUN"/>
    <n v="0"/>
    <x v="1"/>
    <n v="0"/>
    <e v="#N/A"/>
    <s v=""/>
    <n v="0"/>
    <n v="0"/>
    <n v="0"/>
    <n v="0"/>
    <n v="0"/>
  </r>
  <r>
    <x v="218"/>
    <n v="0"/>
    <x v="30"/>
    <n v="6"/>
    <s v="JUN"/>
    <n v="0"/>
    <x v="1"/>
    <n v="0"/>
    <e v="#N/A"/>
    <s v=""/>
    <n v="0"/>
    <n v="0"/>
    <n v="0"/>
    <n v="0"/>
    <n v="0"/>
  </r>
  <r>
    <x v="219"/>
    <s v="#LISJZXNNK "/>
    <x v="30"/>
    <n v="6"/>
    <s v="JUN"/>
    <n v="0"/>
    <x v="1"/>
    <n v="0"/>
    <s v="21 - 22"/>
    <d v="1899-12-30T00:37:00"/>
    <n v="5.13"/>
    <n v="9.0592378372442059"/>
    <n v="3.29"/>
    <n v="5.3351351351351308"/>
    <n v="1"/>
  </r>
  <r>
    <x v="219"/>
    <n v="0"/>
    <x v="30"/>
    <n v="6"/>
    <s v="JUN"/>
    <n v="0"/>
    <x v="1"/>
    <n v="0"/>
    <s v="22 - 23"/>
    <s v=""/>
    <n v="0"/>
    <n v="0"/>
    <n v="0"/>
    <n v="0"/>
    <n v="0"/>
  </r>
  <r>
    <x v="219"/>
    <n v="0"/>
    <x v="30"/>
    <n v="6"/>
    <s v="JUN"/>
    <n v="0"/>
    <x v="1"/>
    <n v="0"/>
    <e v="#N/A"/>
    <s v=""/>
    <n v="0"/>
    <n v="0"/>
    <n v="0"/>
    <n v="0"/>
    <n v="0"/>
  </r>
  <r>
    <x v="219"/>
    <n v="0"/>
    <x v="30"/>
    <n v="6"/>
    <s v="JUN"/>
    <n v="0"/>
    <x v="1"/>
    <n v="0"/>
    <e v="#N/A"/>
    <s v=""/>
    <n v="0"/>
    <n v="0"/>
    <n v="0"/>
    <n v="0"/>
    <n v="0"/>
  </r>
  <r>
    <x v="220"/>
    <s v="#LIA1Z7Q2L "/>
    <x v="30"/>
    <n v="6"/>
    <s v="JUN"/>
    <n v="0"/>
    <x v="1"/>
    <n v="0"/>
    <s v="22 - 23"/>
    <d v="1899-12-30T00:30:00"/>
    <n v="3.68"/>
    <n v="6.498634549913973"/>
    <n v="2.78"/>
    <n v="5.5599999999999898"/>
    <n v="1"/>
  </r>
  <r>
    <x v="220"/>
    <n v="0"/>
    <x v="30"/>
    <n v="6"/>
    <s v="JUN"/>
    <n v="0"/>
    <x v="1"/>
    <n v="0"/>
    <s v="23 - 24"/>
    <s v=""/>
    <n v="0"/>
    <n v="0"/>
    <n v="0"/>
    <n v="0"/>
    <n v="0"/>
  </r>
  <r>
    <x v="220"/>
    <n v="0"/>
    <x v="30"/>
    <n v="6"/>
    <s v="JUN"/>
    <n v="0"/>
    <x v="1"/>
    <n v="0"/>
    <e v="#N/A"/>
    <s v=""/>
    <n v="0"/>
    <n v="0"/>
    <n v="0"/>
    <n v="0"/>
    <n v="0"/>
  </r>
  <r>
    <x v="221"/>
    <s v="#LIT9YFULG "/>
    <x v="31"/>
    <n v="6"/>
    <s v="JUN"/>
    <s v="JUN"/>
    <x v="2"/>
    <n v="9"/>
    <s v="17 - 18"/>
    <d v="1899-12-30T02:32:00"/>
    <n v="6.58"/>
    <n v="11.619841124574441"/>
    <n v="1.5"/>
    <n v="0.59210526315789436"/>
    <n v="1"/>
  </r>
  <r>
    <x v="221"/>
    <n v="0"/>
    <x v="31"/>
    <n v="6"/>
    <s v="JUN"/>
    <n v="0"/>
    <x v="2"/>
    <n v="0"/>
    <s v="19 - 20"/>
    <s v=""/>
    <n v="0"/>
    <n v="0"/>
    <n v="0"/>
    <n v="0"/>
    <n v="0"/>
  </r>
  <r>
    <x v="221"/>
    <n v="0"/>
    <x v="31"/>
    <n v="6"/>
    <s v="JUN"/>
    <n v="0"/>
    <x v="2"/>
    <n v="0"/>
    <e v="#N/A"/>
    <s v=""/>
    <n v="0"/>
    <n v="0"/>
    <n v="0"/>
    <n v="0"/>
    <n v="0"/>
  </r>
  <r>
    <x v="221"/>
    <n v="0"/>
    <x v="31"/>
    <n v="6"/>
    <s v="JUN"/>
    <n v="0"/>
    <x v="2"/>
    <n v="0"/>
    <e v="#N/A"/>
    <s v=""/>
    <n v="0"/>
    <n v="0"/>
    <n v="0"/>
    <n v="0"/>
    <n v="0"/>
  </r>
  <r>
    <x v="222"/>
    <s v="#LIM1M171B "/>
    <x v="31"/>
    <n v="6"/>
    <s v="JUN"/>
    <n v="0"/>
    <x v="2"/>
    <n v="0"/>
    <s v="20 - 21"/>
    <d v="1899-12-30T00:43:00"/>
    <n v="7.04"/>
    <n v="12.432170443313687"/>
    <n v="3.96"/>
    <n v="5.5255813953488566"/>
    <n v="1"/>
  </r>
  <r>
    <x v="222"/>
    <n v="0"/>
    <x v="31"/>
    <n v="6"/>
    <s v="JUN"/>
    <n v="0"/>
    <x v="2"/>
    <n v="0"/>
    <s v="21 - 22"/>
    <s v=""/>
    <n v="0"/>
    <n v="0"/>
    <n v="0"/>
    <n v="0"/>
    <n v="0"/>
  </r>
  <r>
    <x v="222"/>
    <n v="0"/>
    <x v="31"/>
    <n v="6"/>
    <s v="JUN"/>
    <n v="0"/>
    <x v="2"/>
    <n v="0"/>
    <e v="#N/A"/>
    <s v=""/>
    <n v="0"/>
    <n v="0"/>
    <n v="0"/>
    <n v="0"/>
    <n v="0"/>
  </r>
  <r>
    <x v="222"/>
    <n v="0"/>
    <x v="31"/>
    <n v="6"/>
    <s v="JUN"/>
    <n v="0"/>
    <x v="2"/>
    <n v="0"/>
    <e v="#N/A"/>
    <s v=""/>
    <n v="0"/>
    <n v="0"/>
    <n v="0"/>
    <n v="0"/>
    <n v="0"/>
  </r>
  <r>
    <x v="223"/>
    <s v="#LIRLMPAFB "/>
    <x v="31"/>
    <n v="6"/>
    <s v="JUN"/>
    <n v="0"/>
    <x v="2"/>
    <n v="0"/>
    <s v="21 - 22"/>
    <d v="1899-12-30T00:28:00"/>
    <n v="8.58"/>
    <n v="15.151707727788555"/>
    <n v="4.59"/>
    <n v="9.8357142857143209"/>
    <n v="1"/>
  </r>
  <r>
    <x v="223"/>
    <n v="0"/>
    <x v="31"/>
    <n v="6"/>
    <s v="JUN"/>
    <n v="0"/>
    <x v="2"/>
    <n v="0"/>
    <s v="22 - 23"/>
    <s v=""/>
    <n v="0"/>
    <n v="0"/>
    <n v="0"/>
    <n v="0"/>
    <n v="0"/>
  </r>
  <r>
    <x v="223"/>
    <n v="0"/>
    <x v="31"/>
    <n v="6"/>
    <s v="JUN"/>
    <n v="0"/>
    <x v="2"/>
    <n v="0"/>
    <e v="#N/A"/>
    <s v=""/>
    <n v="0"/>
    <n v="0"/>
    <n v="0"/>
    <n v="0"/>
    <n v="0"/>
  </r>
  <r>
    <x v="223"/>
    <n v="0"/>
    <x v="31"/>
    <n v="6"/>
    <s v="JUN"/>
    <n v="0"/>
    <x v="2"/>
    <n v="0"/>
    <e v="#N/A"/>
    <s v=""/>
    <n v="0"/>
    <n v="0"/>
    <n v="0"/>
    <n v="0"/>
    <n v="0"/>
  </r>
  <r>
    <x v="224"/>
    <s v="#LIQZXV4DU "/>
    <x v="31"/>
    <n v="6"/>
    <s v="JUN"/>
    <n v="0"/>
    <x v="2"/>
    <n v="0"/>
    <s v="21 - 22"/>
    <d v="1899-12-30T00:34:00"/>
    <n v="11.15"/>
    <n v="19.690156312918695"/>
    <n v="5.78"/>
    <n v="10.200000000000037"/>
    <n v="1"/>
  </r>
  <r>
    <x v="224"/>
    <n v="0"/>
    <x v="31"/>
    <n v="6"/>
    <s v="JUN"/>
    <n v="0"/>
    <x v="2"/>
    <n v="0"/>
    <s v="21 - 22"/>
    <s v=""/>
    <n v="0"/>
    <n v="0"/>
    <n v="0"/>
    <n v="0"/>
    <n v="0"/>
  </r>
  <r>
    <x v="224"/>
    <n v="0"/>
    <x v="31"/>
    <n v="6"/>
    <s v="JUN"/>
    <n v="0"/>
    <x v="2"/>
    <n v="0"/>
    <e v="#N/A"/>
    <s v=""/>
    <n v="0"/>
    <n v="0"/>
    <n v="0"/>
    <n v="0"/>
    <n v="0"/>
  </r>
  <r>
    <x v="224"/>
    <n v="0"/>
    <x v="31"/>
    <n v="6"/>
    <s v="JUN"/>
    <n v="0"/>
    <x v="2"/>
    <n v="0"/>
    <e v="#N/A"/>
    <s v=""/>
    <n v="0"/>
    <n v="0"/>
    <n v="0"/>
    <n v="0"/>
    <n v="0"/>
  </r>
  <r>
    <x v="225"/>
    <s v="#LI1369WZW "/>
    <x v="31"/>
    <n v="6"/>
    <s v="JUN"/>
    <n v="0"/>
    <x v="2"/>
    <n v="0"/>
    <s v="22 - 23"/>
    <d v="1899-12-30T00:25:00"/>
    <n v="7.7"/>
    <n v="13.597686422374345"/>
    <n v="4.28"/>
    <n v="10.271999999999972"/>
    <n v="1"/>
  </r>
  <r>
    <x v="225"/>
    <n v="0"/>
    <x v="31"/>
    <n v="6"/>
    <s v="JUN"/>
    <n v="0"/>
    <x v="2"/>
    <n v="0"/>
    <s v="22 - 23"/>
    <s v=""/>
    <n v="0"/>
    <n v="0"/>
    <n v="0"/>
    <n v="0"/>
    <n v="0"/>
  </r>
  <r>
    <x v="225"/>
    <n v="0"/>
    <x v="31"/>
    <n v="6"/>
    <s v="JUN"/>
    <n v="0"/>
    <x v="2"/>
    <n v="0"/>
    <e v="#N/A"/>
    <s v=""/>
    <n v="0"/>
    <n v="0"/>
    <n v="0"/>
    <n v="0"/>
    <n v="0"/>
  </r>
  <r>
    <x v="225"/>
    <n v="0"/>
    <x v="31"/>
    <n v="6"/>
    <s v="JUN"/>
    <n v="0"/>
    <x v="2"/>
    <n v="0"/>
    <e v="#N/A"/>
    <s v=""/>
    <n v="0"/>
    <n v="0"/>
    <n v="0"/>
    <n v="0"/>
    <n v="0"/>
  </r>
  <r>
    <x v="226"/>
    <s v="#LIDVTT61Y "/>
    <x v="31"/>
    <n v="6"/>
    <s v="JUN"/>
    <n v="0"/>
    <x v="2"/>
    <n v="0"/>
    <s v="23 - 24"/>
    <d v="1899-12-30T00:39:00"/>
    <n v="15.32"/>
    <n v="27.054098180620127"/>
    <n v="6.92"/>
    <n v="10.646153846153796"/>
    <n v="1"/>
  </r>
  <r>
    <x v="226"/>
    <n v="0"/>
    <x v="31"/>
    <n v="6"/>
    <s v="JUN"/>
    <n v="0"/>
    <x v="2"/>
    <n v="0"/>
    <s v="23 - 24"/>
    <s v=""/>
    <n v="0"/>
    <n v="0"/>
    <n v="0"/>
    <n v="0"/>
    <n v="0"/>
  </r>
  <r>
    <x v="226"/>
    <n v="0"/>
    <x v="31"/>
    <n v="6"/>
    <s v="JUN"/>
    <n v="0"/>
    <x v="2"/>
    <n v="0"/>
    <e v="#N/A"/>
    <s v=""/>
    <n v="0"/>
    <n v="0"/>
    <n v="0"/>
    <n v="0"/>
    <n v="0"/>
  </r>
  <r>
    <x v="227"/>
    <s v="#LISZ1PJGS "/>
    <x v="32"/>
    <n v="6"/>
    <s v="JUN"/>
    <s v="JUN"/>
    <x v="3"/>
    <n v="10"/>
    <s v="10 - 11"/>
    <d v="1899-12-30T00:36:00"/>
    <n v="2.44"/>
    <n v="4.308877255921221"/>
    <n v="2.35"/>
    <n v="3.9166666666666718"/>
    <n v="1"/>
  </r>
  <r>
    <x v="227"/>
    <n v="0"/>
    <x v="32"/>
    <n v="6"/>
    <s v="JUN"/>
    <n v="0"/>
    <x v="3"/>
    <n v="0"/>
    <s v="10 - 11"/>
    <s v=""/>
    <n v="0"/>
    <n v="0"/>
    <n v="0"/>
    <n v="0"/>
    <n v="0"/>
  </r>
  <r>
    <x v="227"/>
    <n v="0"/>
    <x v="32"/>
    <n v="6"/>
    <s v="JUN"/>
    <n v="0"/>
    <x v="3"/>
    <n v="0"/>
    <e v="#N/A"/>
    <s v=""/>
    <n v="0"/>
    <n v="0"/>
    <n v="0"/>
    <n v="0"/>
    <n v="0"/>
  </r>
  <r>
    <x v="227"/>
    <n v="0"/>
    <x v="32"/>
    <n v="6"/>
    <s v="JUN"/>
    <n v="0"/>
    <x v="3"/>
    <n v="0"/>
    <e v="#N/A"/>
    <s v=""/>
    <n v="0"/>
    <n v="0"/>
    <n v="0"/>
    <n v="0"/>
    <n v="0"/>
  </r>
  <r>
    <x v="228"/>
    <s v="#LIJX1LUBX "/>
    <x v="32"/>
    <n v="6"/>
    <s v="JUN"/>
    <n v="0"/>
    <x v="3"/>
    <n v="0"/>
    <s v="10 - 11"/>
    <d v="1899-12-30T00:28:00"/>
    <n v="4.08"/>
    <n v="7.2050078705567957"/>
    <n v="3.04"/>
    <n v="6.5142857142857187"/>
    <n v="1"/>
  </r>
  <r>
    <x v="228"/>
    <n v="0"/>
    <x v="32"/>
    <n v="6"/>
    <s v="JUN"/>
    <n v="0"/>
    <x v="3"/>
    <n v="0"/>
    <s v="11 - 12"/>
    <s v=""/>
    <n v="0"/>
    <n v="0"/>
    <n v="0"/>
    <n v="0"/>
    <n v="0"/>
  </r>
  <r>
    <x v="228"/>
    <n v="0"/>
    <x v="32"/>
    <n v="6"/>
    <s v="JUN"/>
    <n v="0"/>
    <x v="3"/>
    <n v="0"/>
    <e v="#N/A"/>
    <s v=""/>
    <n v="0"/>
    <n v="0"/>
    <n v="0"/>
    <n v="0"/>
    <n v="0"/>
  </r>
  <r>
    <x v="228"/>
    <n v="0"/>
    <x v="32"/>
    <n v="6"/>
    <s v="JUN"/>
    <n v="0"/>
    <x v="3"/>
    <n v="0"/>
    <e v="#N/A"/>
    <s v=""/>
    <n v="0"/>
    <n v="0"/>
    <n v="0"/>
    <n v="0"/>
    <n v="0"/>
  </r>
  <r>
    <x v="229"/>
    <s v="#LIJ1RSW4X "/>
    <x v="32"/>
    <n v="6"/>
    <s v="JUN"/>
    <n v="0"/>
    <x v="3"/>
    <n v="0"/>
    <s v="11 - 12"/>
    <d v="1899-12-30T00:56:00"/>
    <n v="5.59"/>
    <n v="9.8715671559834526"/>
    <n v="4.22"/>
    <n v="4.521428571428574"/>
    <n v="1"/>
  </r>
  <r>
    <x v="229"/>
    <n v="0"/>
    <x v="32"/>
    <n v="6"/>
    <s v="JUN"/>
    <n v="0"/>
    <x v="3"/>
    <n v="0"/>
    <s v="12 - 13"/>
    <s v=""/>
    <n v="0"/>
    <n v="0"/>
    <n v="0"/>
    <n v="0"/>
    <n v="0"/>
  </r>
  <r>
    <x v="229"/>
    <n v="0"/>
    <x v="32"/>
    <n v="6"/>
    <s v="JUN"/>
    <n v="0"/>
    <x v="3"/>
    <n v="0"/>
    <e v="#N/A"/>
    <s v=""/>
    <n v="0"/>
    <n v="0"/>
    <n v="0"/>
    <n v="0"/>
    <n v="0"/>
  </r>
  <r>
    <x v="229"/>
    <n v="0"/>
    <x v="32"/>
    <n v="6"/>
    <s v="JUN"/>
    <n v="0"/>
    <x v="3"/>
    <n v="0"/>
    <e v="#N/A"/>
    <s v=""/>
    <n v="0"/>
    <n v="0"/>
    <n v="0"/>
    <n v="0"/>
    <n v="0"/>
  </r>
  <r>
    <x v="229"/>
    <n v="0"/>
    <x v="32"/>
    <n v="6"/>
    <s v="JUN"/>
    <n v="0"/>
    <x v="3"/>
    <n v="0"/>
    <e v="#N/A"/>
    <s v=""/>
    <n v="0"/>
    <n v="0"/>
    <n v="0"/>
    <n v="0"/>
    <n v="0"/>
  </r>
  <r>
    <x v="230"/>
    <s v="#LINFHGRHR "/>
    <x v="32"/>
    <n v="6"/>
    <s v="JUN"/>
    <n v="0"/>
    <x v="3"/>
    <n v="0"/>
    <s v="12 - 13"/>
    <d v="1899-12-30T00:35:00"/>
    <n v="10.16"/>
    <n v="17.941882344327706"/>
    <n v="5.19"/>
    <n v="8.8971428571428479"/>
    <n v="1"/>
  </r>
  <r>
    <x v="230"/>
    <n v="0"/>
    <x v="32"/>
    <n v="6"/>
    <s v="JUN"/>
    <n v="0"/>
    <x v="3"/>
    <n v="0"/>
    <s v="12 - 13"/>
    <s v=""/>
    <n v="0"/>
    <n v="0"/>
    <n v="0"/>
    <n v="0"/>
    <n v="0"/>
  </r>
  <r>
    <x v="230"/>
    <n v="0"/>
    <x v="32"/>
    <n v="6"/>
    <s v="JUN"/>
    <n v="0"/>
    <x v="3"/>
    <n v="0"/>
    <e v="#N/A"/>
    <s v=""/>
    <n v="0"/>
    <n v="0"/>
    <n v="0"/>
    <n v="0"/>
    <n v="0"/>
  </r>
  <r>
    <x v="230"/>
    <n v="0"/>
    <x v="32"/>
    <n v="6"/>
    <s v="JUN"/>
    <n v="0"/>
    <x v="3"/>
    <n v="0"/>
    <e v="#N/A"/>
    <s v=""/>
    <n v="0"/>
    <n v="0"/>
    <n v="0"/>
    <n v="0"/>
    <n v="0"/>
  </r>
  <r>
    <x v="231"/>
    <s v="#LI1TRCDNR "/>
    <x v="32"/>
    <n v="6"/>
    <s v="JUN"/>
    <n v="0"/>
    <x v="3"/>
    <n v="0"/>
    <s v="13 - 14"/>
    <d v="1899-12-30T00:51:00"/>
    <n v="1.62"/>
    <n v="2.8608119486034336"/>
    <n v="2.4900000000000002"/>
    <n v="2.9294117647058839"/>
    <n v="1"/>
  </r>
  <r>
    <x v="231"/>
    <n v="0"/>
    <x v="32"/>
    <n v="6"/>
    <s v="JUN"/>
    <n v="0"/>
    <x v="3"/>
    <n v="0"/>
    <s v="13 - 14"/>
    <s v=""/>
    <n v="0"/>
    <n v="0"/>
    <n v="0"/>
    <n v="0"/>
    <n v="0"/>
  </r>
  <r>
    <x v="231"/>
    <n v="0"/>
    <x v="32"/>
    <n v="6"/>
    <s v="JUN"/>
    <n v="0"/>
    <x v="3"/>
    <n v="0"/>
    <e v="#N/A"/>
    <s v=""/>
    <n v="0"/>
    <n v="0"/>
    <n v="0"/>
    <n v="0"/>
    <n v="0"/>
  </r>
  <r>
    <x v="231"/>
    <n v="0"/>
    <x v="32"/>
    <n v="6"/>
    <s v="JUN"/>
    <n v="0"/>
    <x v="3"/>
    <n v="0"/>
    <e v="#N/A"/>
    <s v=""/>
    <n v="0"/>
    <n v="0"/>
    <n v="0"/>
    <n v="0"/>
    <n v="0"/>
  </r>
  <r>
    <x v="232"/>
    <s v="#LIVBUHBTE "/>
    <x v="32"/>
    <n v="6"/>
    <s v="JUN"/>
    <n v="0"/>
    <x v="3"/>
    <n v="0"/>
    <s v="13 - 14"/>
    <d v="1899-12-30T00:52:00"/>
    <n v="6.85"/>
    <n v="12.096643116008345"/>
    <n v="3.89"/>
    <n v="4.4884615384615412"/>
    <n v="1"/>
  </r>
  <r>
    <x v="232"/>
    <n v="0"/>
    <x v="32"/>
    <n v="6"/>
    <s v="JUN"/>
    <n v="0"/>
    <x v="3"/>
    <n v="0"/>
    <s v="14 - 15"/>
    <s v=""/>
    <n v="0"/>
    <n v="0"/>
    <n v="0"/>
    <n v="0"/>
    <n v="0"/>
  </r>
  <r>
    <x v="232"/>
    <n v="0"/>
    <x v="32"/>
    <n v="6"/>
    <s v="JUN"/>
    <n v="0"/>
    <x v="3"/>
    <n v="0"/>
    <e v="#N/A"/>
    <s v=""/>
    <n v="0"/>
    <n v="0"/>
    <n v="0"/>
    <n v="0"/>
    <n v="0"/>
  </r>
  <r>
    <x v="232"/>
    <n v="0"/>
    <x v="32"/>
    <n v="6"/>
    <s v="JUN"/>
    <n v="0"/>
    <x v="3"/>
    <n v="0"/>
    <e v="#N/A"/>
    <s v=""/>
    <n v="0"/>
    <n v="0"/>
    <n v="0"/>
    <n v="0"/>
    <n v="0"/>
  </r>
  <r>
    <x v="233"/>
    <s v="#LI1WTMGAE "/>
    <x v="32"/>
    <n v="6"/>
    <s v="JUN"/>
    <n v="0"/>
    <x v="3"/>
    <n v="0"/>
    <s v="14 - 15"/>
    <d v="1899-12-30T00:45:00"/>
    <n v="9.61"/>
    <n v="16.970619028443824"/>
    <n v="5.35"/>
    <n v="7.1333333333333329"/>
    <n v="1"/>
  </r>
  <r>
    <x v="233"/>
    <n v="0"/>
    <x v="32"/>
    <n v="6"/>
    <s v="JUN"/>
    <n v="0"/>
    <x v="3"/>
    <n v="0"/>
    <s v="15 - 16"/>
    <s v=""/>
    <n v="0"/>
    <n v="0"/>
    <n v="0"/>
    <n v="0"/>
    <n v="0"/>
  </r>
  <r>
    <x v="233"/>
    <n v="0"/>
    <x v="32"/>
    <n v="6"/>
    <s v="JUN"/>
    <n v="0"/>
    <x v="3"/>
    <n v="0"/>
    <e v="#N/A"/>
    <s v=""/>
    <n v="0"/>
    <n v="0"/>
    <n v="0"/>
    <n v="0"/>
    <n v="0"/>
  </r>
  <r>
    <x v="233"/>
    <n v="0"/>
    <x v="32"/>
    <n v="6"/>
    <s v="JUN"/>
    <n v="0"/>
    <x v="3"/>
    <n v="0"/>
    <e v="#N/A"/>
    <s v=""/>
    <n v="0"/>
    <n v="0"/>
    <n v="0"/>
    <n v="0"/>
    <n v="0"/>
  </r>
  <r>
    <x v="234"/>
    <s v="#LIBCCVURP "/>
    <x v="32"/>
    <n v="6"/>
    <s v="JUN"/>
    <n v="0"/>
    <x v="3"/>
    <n v="0"/>
    <s v="15 - 16"/>
    <d v="1899-12-30T00:58:00"/>
    <n v="11.67"/>
    <n v="20.608441629754363"/>
    <n v="5.97"/>
    <n v="6.1758620689655217"/>
    <n v="1"/>
  </r>
  <r>
    <x v="234"/>
    <n v="0"/>
    <x v="32"/>
    <n v="6"/>
    <s v="JUN"/>
    <n v="0"/>
    <x v="3"/>
    <n v="0"/>
    <s v="16 - 17"/>
    <s v=""/>
    <n v="0"/>
    <n v="0"/>
    <n v="0"/>
    <n v="0"/>
    <n v="0"/>
  </r>
  <r>
    <x v="234"/>
    <n v="0"/>
    <x v="32"/>
    <n v="6"/>
    <s v="JUN"/>
    <n v="0"/>
    <x v="3"/>
    <n v="0"/>
    <e v="#N/A"/>
    <s v=""/>
    <n v="0"/>
    <n v="0"/>
    <n v="0"/>
    <n v="0"/>
    <n v="0"/>
  </r>
  <r>
    <x v="234"/>
    <n v="0"/>
    <x v="32"/>
    <n v="6"/>
    <s v="JUN"/>
    <n v="0"/>
    <x v="3"/>
    <n v="0"/>
    <e v="#N/A"/>
    <s v=""/>
    <n v="0"/>
    <n v="0"/>
    <n v="0"/>
    <n v="0"/>
    <n v="0"/>
  </r>
  <r>
    <x v="235"/>
    <s v="#LIRLNLFEC "/>
    <x v="32"/>
    <n v="6"/>
    <s v="JUN"/>
    <n v="0"/>
    <x v="3"/>
    <n v="0"/>
    <s v="16 - 17"/>
    <d v="1899-12-30T00:33:00"/>
    <n v="10.1"/>
    <n v="17.835926346231282"/>
    <n v="6.66"/>
    <n v="12.109090909090893"/>
    <n v="1"/>
  </r>
  <r>
    <x v="235"/>
    <n v="0"/>
    <x v="32"/>
    <n v="6"/>
    <s v="JUN"/>
    <n v="0"/>
    <x v="3"/>
    <n v="0"/>
    <s v="16 - 17"/>
    <s v=""/>
    <n v="0"/>
    <n v="0"/>
    <n v="0"/>
    <n v="0"/>
    <n v="0"/>
  </r>
  <r>
    <x v="235"/>
    <n v="0"/>
    <x v="32"/>
    <n v="6"/>
    <s v="JUN"/>
    <n v="0"/>
    <x v="3"/>
    <n v="0"/>
    <e v="#N/A"/>
    <s v=""/>
    <n v="0"/>
    <n v="0"/>
    <n v="0"/>
    <n v="0"/>
    <n v="0"/>
  </r>
  <r>
    <x v="235"/>
    <n v="0"/>
    <x v="32"/>
    <n v="6"/>
    <s v="JUN"/>
    <n v="0"/>
    <x v="3"/>
    <n v="0"/>
    <e v="#N/A"/>
    <s v=""/>
    <n v="0"/>
    <n v="0"/>
    <n v="0"/>
    <n v="0"/>
    <n v="0"/>
  </r>
  <r>
    <x v="236"/>
    <s v="#LIYEMWUGX "/>
    <x v="32"/>
    <n v="6"/>
    <s v="JUN"/>
    <n v="0"/>
    <x v="3"/>
    <n v="0"/>
    <s v="17 - 18"/>
    <d v="1899-12-30T01:14:00"/>
    <n v="13.24"/>
    <n v="23.380956913277444"/>
    <n v="6.13"/>
    <n v="4.9702702702702775"/>
    <n v="1"/>
  </r>
  <r>
    <x v="236"/>
    <n v="0"/>
    <x v="32"/>
    <n v="6"/>
    <s v="JUN"/>
    <n v="0"/>
    <x v="3"/>
    <n v="0"/>
    <s v="18 - 19"/>
    <s v=""/>
    <n v="0"/>
    <n v="0"/>
    <n v="0"/>
    <n v="0"/>
    <n v="0"/>
  </r>
  <r>
    <x v="236"/>
    <n v="0"/>
    <x v="32"/>
    <n v="6"/>
    <s v="JUN"/>
    <n v="0"/>
    <x v="3"/>
    <n v="0"/>
    <e v="#N/A"/>
    <s v=""/>
    <n v="0"/>
    <n v="0"/>
    <n v="0"/>
    <n v="0"/>
    <n v="0"/>
  </r>
  <r>
    <x v="236"/>
    <n v="0"/>
    <x v="32"/>
    <n v="6"/>
    <s v="JUN"/>
    <n v="0"/>
    <x v="3"/>
    <n v="0"/>
    <e v="#N/A"/>
    <s v=""/>
    <n v="0"/>
    <n v="0"/>
    <n v="0"/>
    <n v="0"/>
    <n v="0"/>
  </r>
  <r>
    <x v="237"/>
    <s v="#LIGPNJ2LK "/>
    <x v="32"/>
    <n v="6"/>
    <s v="JUN"/>
    <n v="0"/>
    <x v="3"/>
    <n v="0"/>
    <s v="19 - 20"/>
    <d v="1899-12-30T00:54:00"/>
    <n v="6.44"/>
    <n v="11.372610462349453"/>
    <n v="3.96"/>
    <n v="4.4000000000000155"/>
    <n v="1"/>
  </r>
  <r>
    <x v="237"/>
    <n v="0"/>
    <x v="32"/>
    <n v="6"/>
    <s v="JUN"/>
    <n v="0"/>
    <x v="3"/>
    <n v="0"/>
    <s v="20 - 21"/>
    <s v=""/>
    <n v="0"/>
    <n v="0"/>
    <n v="0"/>
    <n v="0"/>
    <n v="0"/>
  </r>
  <r>
    <x v="237"/>
    <n v="0"/>
    <x v="32"/>
    <n v="6"/>
    <s v="JUN"/>
    <n v="0"/>
    <x v="3"/>
    <n v="0"/>
    <e v="#N/A"/>
    <s v=""/>
    <n v="0"/>
    <n v="0"/>
    <n v="0"/>
    <n v="0"/>
    <n v="0"/>
  </r>
  <r>
    <x v="237"/>
    <n v="0"/>
    <x v="32"/>
    <n v="6"/>
    <s v="JUN"/>
    <n v="0"/>
    <x v="3"/>
    <n v="0"/>
    <e v="#N/A"/>
    <s v=""/>
    <n v="0"/>
    <n v="0"/>
    <n v="0"/>
    <n v="0"/>
    <n v="0"/>
  </r>
  <r>
    <x v="238"/>
    <s v="#LIE1PML1X "/>
    <x v="32"/>
    <n v="6"/>
    <s v="JUN"/>
    <n v="0"/>
    <x v="3"/>
    <n v="0"/>
    <s v="20 - 21"/>
    <d v="1899-12-30T00:26:00"/>
    <n v="7.73"/>
    <n v="13.650664421422556"/>
    <n v="5.04"/>
    <n v="11.6307692307692"/>
    <n v="1"/>
  </r>
  <r>
    <x v="238"/>
    <n v="0"/>
    <x v="32"/>
    <n v="6"/>
    <s v="JUN"/>
    <n v="0"/>
    <x v="3"/>
    <n v="0"/>
    <s v="21 - 22"/>
    <s v=""/>
    <n v="0"/>
    <n v="0"/>
    <n v="0"/>
    <n v="0"/>
    <n v="0"/>
  </r>
  <r>
    <x v="238"/>
    <n v="0"/>
    <x v="32"/>
    <n v="6"/>
    <s v="JUN"/>
    <n v="0"/>
    <x v="3"/>
    <n v="0"/>
    <e v="#N/A"/>
    <s v=""/>
    <n v="0"/>
    <n v="0"/>
    <n v="0"/>
    <n v="0"/>
    <n v="0"/>
  </r>
  <r>
    <x v="238"/>
    <n v="0"/>
    <x v="32"/>
    <n v="6"/>
    <s v="JUN"/>
    <n v="0"/>
    <x v="3"/>
    <n v="0"/>
    <e v="#N/A"/>
    <s v=""/>
    <n v="0"/>
    <n v="0"/>
    <n v="0"/>
    <n v="0"/>
    <n v="0"/>
  </r>
  <r>
    <x v="239"/>
    <s v="#LIR8GYC3F "/>
    <x v="32"/>
    <n v="6"/>
    <s v="JUN"/>
    <n v="0"/>
    <x v="3"/>
    <n v="0"/>
    <s v="21 - 22"/>
    <d v="1899-12-30T00:38:00"/>
    <n v="4.92"/>
    <n v="8.6883918439067234"/>
    <n v="3.34"/>
    <n v="5.2736842105263122"/>
    <n v="1"/>
  </r>
  <r>
    <x v="239"/>
    <n v="0"/>
    <x v="32"/>
    <n v="6"/>
    <s v="JUN"/>
    <n v="0"/>
    <x v="3"/>
    <n v="0"/>
    <s v="21 - 22"/>
    <s v=""/>
    <n v="0"/>
    <n v="0"/>
    <n v="0"/>
    <n v="0"/>
    <n v="0"/>
  </r>
  <r>
    <x v="239"/>
    <n v="0"/>
    <x v="32"/>
    <n v="6"/>
    <s v="JUN"/>
    <n v="0"/>
    <x v="3"/>
    <n v="0"/>
    <e v="#N/A"/>
    <s v=""/>
    <n v="0"/>
    <n v="0"/>
    <n v="0"/>
    <n v="0"/>
    <n v="0"/>
  </r>
  <r>
    <x v="239"/>
    <n v="0"/>
    <x v="32"/>
    <n v="6"/>
    <s v="JUN"/>
    <n v="0"/>
    <x v="3"/>
    <n v="0"/>
    <e v="#N/A"/>
    <s v=""/>
    <n v="0"/>
    <n v="0"/>
    <n v="0"/>
    <n v="0"/>
    <n v="0"/>
  </r>
  <r>
    <x v="240"/>
    <s v="#LI4DPSDXD "/>
    <x v="32"/>
    <n v="6"/>
    <s v="JUN"/>
    <n v="0"/>
    <x v="3"/>
    <n v="0"/>
    <s v="21 - 22"/>
    <d v="1899-12-30T00:31:00"/>
    <n v="6.03"/>
    <n v="10.648577808690559"/>
    <n v="3.67"/>
    <n v="7.103225806451638"/>
    <n v="1"/>
  </r>
  <r>
    <x v="240"/>
    <n v="0"/>
    <x v="32"/>
    <n v="6"/>
    <s v="JUN"/>
    <n v="0"/>
    <x v="3"/>
    <n v="0"/>
    <s v="22 - 23"/>
    <s v=""/>
    <n v="0"/>
    <n v="0"/>
    <n v="0"/>
    <n v="0"/>
    <n v="0"/>
  </r>
  <r>
    <x v="240"/>
    <n v="0"/>
    <x v="32"/>
    <n v="6"/>
    <s v="JUN"/>
    <n v="0"/>
    <x v="3"/>
    <n v="0"/>
    <e v="#N/A"/>
    <s v=""/>
    <n v="0"/>
    <n v="0"/>
    <n v="0"/>
    <n v="0"/>
    <n v="0"/>
  </r>
  <r>
    <x v="240"/>
    <n v="0"/>
    <x v="32"/>
    <n v="6"/>
    <s v="JUN"/>
    <n v="0"/>
    <x v="3"/>
    <n v="0"/>
    <e v="#N/A"/>
    <s v=""/>
    <n v="0"/>
    <n v="0"/>
    <n v="0"/>
    <n v="0"/>
    <n v="0"/>
  </r>
  <r>
    <x v="241"/>
    <s v="#LIJHKCDZC "/>
    <x v="32"/>
    <n v="6"/>
    <s v="JUN"/>
    <n v="0"/>
    <x v="3"/>
    <n v="0"/>
    <s v="22 - 23"/>
    <d v="1899-12-30T00:30:00"/>
    <n v="5.48"/>
    <n v="9.6773144928066763"/>
    <n v="4.09"/>
    <n v="8.1799999999999855"/>
    <n v="1"/>
  </r>
  <r>
    <x v="241"/>
    <n v="0"/>
    <x v="32"/>
    <n v="6"/>
    <s v="JUN"/>
    <n v="0"/>
    <x v="3"/>
    <n v="0"/>
    <s v="22 - 23"/>
    <s v=""/>
    <n v="0"/>
    <n v="0"/>
    <n v="0"/>
    <n v="0"/>
    <n v="0"/>
  </r>
  <r>
    <x v="242"/>
    <m/>
    <x v="33"/>
    <m/>
    <m/>
    <m/>
    <x v="29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1">
  <r>
    <x v="0"/>
    <s v="#LIVEFZCFA"/>
    <x v="0"/>
    <n v="5"/>
    <s v="MAI"/>
    <s v="MAI"/>
    <x v="0"/>
    <n v="7"/>
    <x v="0"/>
    <d v="1899-12-30T00:42:00"/>
    <n v="5.73"/>
    <n v="10.118797818208442"/>
    <n v="4.55"/>
    <n v="6.4999999999999742"/>
    <n v="1"/>
    <n v="2.9809243875379972"/>
    <n v="3.6116154876452988"/>
    <n v="4.2821257112824815"/>
    <x v="0"/>
  </r>
  <r>
    <x v="0"/>
    <n v="0"/>
    <x v="0"/>
    <n v="5"/>
    <s v="MAI"/>
    <n v="0"/>
    <x v="0"/>
    <n v="0"/>
    <x v="1"/>
    <m/>
    <n v="0"/>
    <n v="0"/>
    <n v="0"/>
    <n v="0"/>
    <n v="0"/>
    <n v="0"/>
    <n v="0"/>
    <n v="0"/>
    <x v="0"/>
  </r>
  <r>
    <x v="0"/>
    <n v="0"/>
    <x v="0"/>
    <n v="5"/>
    <s v="MAI"/>
    <n v="0"/>
    <x v="0"/>
    <n v="0"/>
    <x v="2"/>
    <s v=""/>
    <n v="0"/>
    <n v="0"/>
    <n v="0"/>
    <n v="0"/>
    <n v="0"/>
    <n v="0"/>
    <n v="0"/>
    <n v="0"/>
    <x v="0"/>
  </r>
  <r>
    <x v="0"/>
    <n v="0"/>
    <x v="0"/>
    <n v="5"/>
    <s v="MAI"/>
    <n v="0"/>
    <x v="0"/>
    <n v="0"/>
    <x v="2"/>
    <s v=""/>
    <n v="0"/>
    <n v="0"/>
    <n v="0"/>
    <n v="0"/>
    <n v="0"/>
    <n v="0"/>
    <n v="0"/>
    <n v="0"/>
    <x v="0"/>
  </r>
  <r>
    <x v="1"/>
    <s v="#LIVB495VL"/>
    <x v="0"/>
    <n v="5"/>
    <s v="MAI"/>
    <n v="0"/>
    <x v="0"/>
    <n v="0"/>
    <x v="1"/>
    <d v="1899-12-30T01:09:00"/>
    <n v="5.61"/>
    <n v="9.9068858220155942"/>
    <n v="4.6900000000000004"/>
    <n v="4.0782608695652236"/>
    <n v="1"/>
    <n v="3.0726451379237822"/>
    <n v="3.7227421180343856"/>
    <n v="4.413883425475789"/>
    <x v="0"/>
  </r>
  <r>
    <x v="1"/>
    <n v="0"/>
    <x v="0"/>
    <n v="5"/>
    <s v="MAI"/>
    <n v="0"/>
    <x v="0"/>
    <n v="0"/>
    <x v="3"/>
    <s v=""/>
    <n v="0"/>
    <n v="0"/>
    <n v="0"/>
    <n v="0"/>
    <n v="0"/>
    <n v="0"/>
    <n v="0"/>
    <n v="0"/>
    <x v="0"/>
  </r>
  <r>
    <x v="1"/>
    <n v="0"/>
    <x v="0"/>
    <n v="5"/>
    <s v="MAI"/>
    <n v="0"/>
    <x v="0"/>
    <n v="0"/>
    <x v="2"/>
    <s v=""/>
    <n v="0"/>
    <n v="0"/>
    <n v="0"/>
    <n v="0"/>
    <n v="0"/>
    <n v="0"/>
    <n v="0"/>
    <n v="0"/>
    <x v="0"/>
  </r>
  <r>
    <x v="2"/>
    <s v="#LIZXTQ1UU"/>
    <x v="1"/>
    <n v="5"/>
    <s v="MAI"/>
    <s v="MAI"/>
    <x v="1"/>
    <n v="8"/>
    <x v="0"/>
    <d v="1899-12-30T00:12:00"/>
    <n v="10.65"/>
    <n v="18.807189662115167"/>
    <n v="5.22"/>
    <n v="26.099999999999742"/>
    <n v="1"/>
    <n v="3.4198736929556803"/>
    <n v="4.1434357902216394"/>
    <n v="4.9126804863504505"/>
    <x v="1"/>
  </r>
  <r>
    <x v="2"/>
    <n v="0"/>
    <x v="1"/>
    <n v="5"/>
    <s v="MAI"/>
    <n v="0"/>
    <x v="1"/>
    <n v="0"/>
    <x v="0"/>
    <s v=""/>
    <n v="0"/>
    <n v="0"/>
    <n v="0"/>
    <n v="0"/>
    <n v="0"/>
    <n v="0"/>
    <n v="0"/>
    <n v="0"/>
    <x v="1"/>
  </r>
  <r>
    <x v="2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2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3"/>
    <s v="#LIRP7TY1K"/>
    <x v="1"/>
    <n v="5"/>
    <s v="MAI"/>
    <n v="0"/>
    <x v="1"/>
    <n v="0"/>
    <x v="0"/>
    <d v="1899-12-30T00:49:00"/>
    <n v="10.029999999999999"/>
    <n v="17.712311015118789"/>
    <n v="5.01"/>
    <n v="6.134693877551002"/>
    <n v="1"/>
    <n v="3.2822925673770036"/>
    <n v="3.9767458446380104"/>
    <n v="4.7150439150604901"/>
    <x v="1"/>
  </r>
  <r>
    <x v="3"/>
    <n v="0"/>
    <x v="1"/>
    <n v="5"/>
    <s v="MAI"/>
    <n v="0"/>
    <x v="1"/>
    <n v="0"/>
    <x v="1"/>
    <s v=""/>
    <n v="0"/>
    <n v="0"/>
    <n v="0"/>
    <n v="0"/>
    <n v="0"/>
    <n v="0"/>
    <n v="0"/>
    <n v="0"/>
    <x v="1"/>
  </r>
  <r>
    <x v="3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3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4"/>
    <s v="#LIL4LBFYX"/>
    <x v="1"/>
    <n v="5"/>
    <s v="MAI"/>
    <n v="0"/>
    <x v="1"/>
    <n v="0"/>
    <x v="1"/>
    <d v="1899-12-30T00:32:00"/>
    <n v="7.11"/>
    <n v="12.55578577442618"/>
    <n v="3.98"/>
    <n v="7.4625000000000261"/>
    <n v="1"/>
    <n v="2.6074899038244461"/>
    <n v="3.1591713496325911"/>
    <n v="3.7456835892097309"/>
    <x v="1"/>
  </r>
  <r>
    <x v="4"/>
    <n v="0"/>
    <x v="1"/>
    <n v="5"/>
    <s v="MAI"/>
    <n v="0"/>
    <x v="1"/>
    <n v="0"/>
    <x v="1"/>
    <s v=""/>
    <n v="0"/>
    <n v="0"/>
    <n v="0"/>
    <n v="0"/>
    <n v="0"/>
    <n v="0"/>
    <n v="0"/>
    <n v="0"/>
    <x v="1"/>
  </r>
  <r>
    <x v="4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4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5"/>
    <s v="#LIYNQ1UUZ"/>
    <x v="1"/>
    <n v="5"/>
    <s v="MAI"/>
    <n v="0"/>
    <x v="1"/>
    <n v="0"/>
    <x v="1"/>
    <d v="1899-12-30T00:21:00"/>
    <n v="3.81"/>
    <n v="6.72820587912289"/>
    <n v="2.83"/>
    <n v="8.0857142857143138"/>
    <n v="1"/>
    <n v="1.8540694542269303"/>
    <n v="2.2463454571508126"/>
    <n v="2.663388079764708"/>
    <x v="1"/>
  </r>
  <r>
    <x v="5"/>
    <n v="0"/>
    <x v="1"/>
    <n v="5"/>
    <s v="MAI"/>
    <n v="0"/>
    <x v="1"/>
    <n v="0"/>
    <x v="3"/>
    <s v=""/>
    <n v="0"/>
    <n v="0"/>
    <n v="0"/>
    <n v="0"/>
    <n v="0"/>
    <n v="0"/>
    <n v="0"/>
    <n v="0"/>
    <x v="1"/>
  </r>
  <r>
    <x v="5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5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6"/>
    <s v="#LI9MLCHF8"/>
    <x v="1"/>
    <n v="5"/>
    <s v="MAI"/>
    <n v="0"/>
    <x v="1"/>
    <n v="0"/>
    <x v="4"/>
    <d v="1899-12-30T00:28:00"/>
    <n v="2.73"/>
    <n v="4.8209979133872674"/>
    <n v="2.4500000000000002"/>
    <n v="5.2499999999999893"/>
    <n v="1"/>
    <n v="1.6051131317512295"/>
    <n v="1.9447160318090073"/>
    <n v="2.3057599983828747"/>
    <x v="1"/>
  </r>
  <r>
    <x v="6"/>
    <n v="0"/>
    <x v="1"/>
    <n v="5"/>
    <s v="MAI"/>
    <n v="0"/>
    <x v="1"/>
    <n v="0"/>
    <x v="4"/>
    <s v=""/>
    <n v="0"/>
    <n v="0"/>
    <n v="0"/>
    <n v="0"/>
    <n v="0"/>
    <n v="0"/>
    <n v="0"/>
    <n v="0"/>
    <x v="1"/>
  </r>
  <r>
    <x v="6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6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7"/>
    <s v="#LIRVJFLLW"/>
    <x v="1"/>
    <n v="5"/>
    <s v="MAI"/>
    <n v="0"/>
    <x v="1"/>
    <n v="0"/>
    <x v="5"/>
    <d v="1899-12-30T00:47:00"/>
    <n v="11.78"/>
    <n v="20.80269429293114"/>
    <n v="5.93"/>
    <n v="7.5702127659574217"/>
    <n v="1"/>
    <n v="3.885028927055016"/>
    <n v="4.7070065586234335"/>
    <n v="5.5808803226165082"/>
    <x v="1"/>
  </r>
  <r>
    <x v="7"/>
    <n v="0"/>
    <x v="1"/>
    <n v="5"/>
    <s v="MAI"/>
    <n v="0"/>
    <x v="1"/>
    <n v="0"/>
    <x v="4"/>
    <s v=""/>
    <n v="0"/>
    <n v="0"/>
    <n v="0"/>
    <n v="0"/>
    <n v="0"/>
    <n v="0"/>
    <n v="0"/>
    <n v="0"/>
    <x v="1"/>
  </r>
  <r>
    <x v="7"/>
    <n v="0"/>
    <x v="1"/>
    <n v="5"/>
    <s v="MAI"/>
    <n v="0"/>
    <x v="1"/>
    <n v="0"/>
    <x v="5"/>
    <s v=""/>
    <n v="0"/>
    <n v="0"/>
    <n v="0.31"/>
    <n v="0"/>
    <n v="0"/>
    <n v="0.20309594728280861"/>
    <n v="0.24606611014726212"/>
    <n v="0.29174922428518002"/>
    <x v="1"/>
  </r>
  <r>
    <x v="7"/>
    <n v="0"/>
    <x v="1"/>
    <n v="5"/>
    <s v="MAI"/>
    <n v="0"/>
    <x v="1"/>
    <n v="0"/>
    <x v="2"/>
    <s v=""/>
    <n v="0"/>
    <n v="0"/>
    <n v="0"/>
    <n v="0"/>
    <n v="0"/>
    <n v="0"/>
    <n v="0"/>
    <n v="0"/>
    <x v="1"/>
  </r>
  <r>
    <x v="8"/>
    <s v="#LILGPHUM5"/>
    <x v="2"/>
    <n v="5"/>
    <s v="MAI"/>
    <s v="MAI"/>
    <x v="2"/>
    <n v="9"/>
    <x v="6"/>
    <d v="1899-12-30T00:39:00"/>
    <n v="12.46"/>
    <n v="22.00352893802394"/>
    <n v="5.86"/>
    <n v="9.015384615384594"/>
    <n v="1"/>
    <n v="3.8391685518621244"/>
    <n v="4.6514432434288908"/>
    <n v="5.5150014655198554"/>
    <x v="2"/>
  </r>
  <r>
    <x v="8"/>
    <n v="0"/>
    <x v="2"/>
    <n v="5"/>
    <s v="MAI"/>
    <n v="0"/>
    <x v="2"/>
    <n v="0"/>
    <x v="7"/>
    <s v=""/>
    <n v="0"/>
    <n v="0"/>
    <n v="0"/>
    <n v="0"/>
    <n v="0"/>
    <n v="0"/>
    <n v="0"/>
    <n v="0"/>
    <x v="2"/>
  </r>
  <r>
    <x v="8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8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9"/>
    <s v="#LIHYJKK5P"/>
    <x v="2"/>
    <n v="5"/>
    <s v="MAI"/>
    <n v="0"/>
    <x v="2"/>
    <n v="0"/>
    <x v="0"/>
    <d v="1899-12-30T00:35:00"/>
    <n v="1.94"/>
    <n v="3.425910605117692"/>
    <n v="2.17"/>
    <n v="3.7199999999999962"/>
    <n v="1"/>
    <n v="1.4216716309796602"/>
    <n v="1.7224627710308349"/>
    <n v="2.0422445699962601"/>
    <x v="2"/>
  </r>
  <r>
    <x v="9"/>
    <n v="0"/>
    <x v="2"/>
    <n v="5"/>
    <s v="MAI"/>
    <n v="0"/>
    <x v="2"/>
    <n v="0"/>
    <x v="1"/>
    <s v=""/>
    <n v="0"/>
    <n v="0"/>
    <n v="0"/>
    <n v="0"/>
    <n v="0"/>
    <n v="0"/>
    <n v="0"/>
    <n v="0"/>
    <x v="2"/>
  </r>
  <r>
    <x v="9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9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10"/>
    <s v="#LIFWMQBHA"/>
    <x v="2"/>
    <n v="5"/>
    <s v="MAI"/>
    <n v="0"/>
    <x v="2"/>
    <n v="0"/>
    <x v="1"/>
    <d v="1899-12-30T00:29:00"/>
    <n v="4.68"/>
    <n v="8.2645678515210292"/>
    <n v="3.13"/>
    <n v="6.4758620689655046"/>
    <n v="1"/>
    <n v="2.0506139193393254"/>
    <n v="2.4844739508417111"/>
    <n v="2.9457260387503661"/>
    <x v="2"/>
  </r>
  <r>
    <x v="10"/>
    <n v="0"/>
    <x v="2"/>
    <n v="5"/>
    <s v="MAI"/>
    <n v="0"/>
    <x v="2"/>
    <n v="0"/>
    <x v="1"/>
    <s v=""/>
    <n v="0"/>
    <n v="0"/>
    <n v="0"/>
    <n v="0"/>
    <n v="0"/>
    <n v="0"/>
    <n v="0"/>
    <n v="0"/>
    <x v="2"/>
  </r>
  <r>
    <x v="10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10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11"/>
    <s v="#LIL6LXRH8"/>
    <x v="2"/>
    <n v="5"/>
    <s v="MAI"/>
    <n v="0"/>
    <x v="2"/>
    <n v="0"/>
    <x v="3"/>
    <d v="1899-12-30T00:24:00"/>
    <n v="5.76"/>
    <n v="10.171775817256652"/>
    <n v="3.51"/>
    <n v="8.7749999999999719"/>
    <n v="1"/>
    <n v="2.2995702418150263"/>
    <n v="2.7861033761835161"/>
    <n v="3.3033541201321999"/>
    <x v="2"/>
  </r>
  <r>
    <x v="11"/>
    <n v="0"/>
    <x v="2"/>
    <n v="5"/>
    <s v="MAI"/>
    <n v="0"/>
    <x v="2"/>
    <n v="0"/>
    <x v="3"/>
    <s v=""/>
    <n v="0"/>
    <n v="0"/>
    <n v="0"/>
    <n v="0"/>
    <n v="0"/>
    <n v="0"/>
    <n v="0"/>
    <n v="0"/>
    <x v="2"/>
  </r>
  <r>
    <x v="11"/>
    <n v="0"/>
    <x v="2"/>
    <n v="5"/>
    <s v="MAI"/>
    <n v="0"/>
    <x v="2"/>
    <n v="0"/>
    <x v="3"/>
    <s v=""/>
    <n v="0"/>
    <n v="0"/>
    <n v="1.72"/>
    <n v="0"/>
    <n v="0"/>
    <n v="1.1268549333110671"/>
    <n v="1.3652700304944867"/>
    <n v="1.6187376315177731"/>
    <x v="2"/>
  </r>
  <r>
    <x v="11"/>
    <n v="0"/>
    <x v="2"/>
    <n v="5"/>
    <s v="MAI"/>
    <n v="0"/>
    <x v="2"/>
    <n v="0"/>
    <x v="2"/>
    <s v=""/>
    <n v="0"/>
    <n v="0"/>
    <n v="0"/>
    <n v="0"/>
    <n v="0"/>
    <n v="0"/>
    <n v="0"/>
    <n v="0"/>
    <x v="2"/>
  </r>
  <r>
    <x v="12"/>
    <s v="#LIDXWRDWZ"/>
    <x v="3"/>
    <n v="5"/>
    <s v="MAI"/>
    <s v="MAI"/>
    <x v="3"/>
    <n v="10"/>
    <x v="7"/>
    <d v="1899-12-30T00:38:00"/>
    <n v="3.99"/>
    <n v="7.0460738734121611"/>
    <n v="2.96"/>
    <n v="4.6736842105263321"/>
    <n v="1"/>
    <n v="1.9392387224423016"/>
    <n v="2.3495344710835351"/>
    <n v="2.7857345286584931"/>
    <x v="3"/>
  </r>
  <r>
    <x v="12"/>
    <n v="0"/>
    <x v="3"/>
    <n v="5"/>
    <s v="MAI"/>
    <n v="0"/>
    <x v="3"/>
    <n v="0"/>
    <x v="8"/>
    <s v=""/>
    <n v="0"/>
    <n v="0"/>
    <n v="0"/>
    <n v="0"/>
    <n v="0"/>
    <n v="0"/>
    <n v="0"/>
    <n v="0"/>
    <x v="3"/>
  </r>
  <r>
    <x v="12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2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3"/>
    <s v="#LITKZZ6CP"/>
    <x v="3"/>
    <n v="5"/>
    <s v="MAI"/>
    <n v="0"/>
    <x v="3"/>
    <n v="0"/>
    <x v="1"/>
    <d v="1899-12-30T00:46:00"/>
    <n v="4.66"/>
    <n v="8.2292491854888894"/>
    <n v="4.07"/>
    <n v="5.3086956521739133"/>
    <n v="1"/>
    <n v="2.6664532433581649"/>
    <n v="3.230609897739861"/>
    <n v="3.8303849769054286"/>
    <x v="3"/>
  </r>
  <r>
    <x v="13"/>
    <n v="0"/>
    <x v="3"/>
    <n v="5"/>
    <s v="MAI"/>
    <n v="0"/>
    <x v="3"/>
    <n v="0"/>
    <x v="3"/>
    <s v=""/>
    <n v="0"/>
    <n v="0"/>
    <n v="0"/>
    <n v="0"/>
    <n v="0"/>
    <n v="0"/>
    <n v="0"/>
    <n v="0"/>
    <x v="3"/>
  </r>
  <r>
    <x v="13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3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4"/>
    <s v="#LIBE1R3U1"/>
    <x v="3"/>
    <n v="5"/>
    <s v="MAI"/>
    <n v="0"/>
    <x v="3"/>
    <n v="0"/>
    <x v="3"/>
    <d v="1899-12-30T00:55:00"/>
    <n v="4.4000000000000004"/>
    <n v="7.7701065270710545"/>
    <n v="3.04"/>
    <n v="3.3163636363636386"/>
    <n v="1"/>
    <n v="1.991650579805607"/>
    <n v="2.4130354027344416"/>
    <n v="2.8610246510546689"/>
    <x v="3"/>
  </r>
  <r>
    <x v="14"/>
    <n v="0"/>
    <x v="3"/>
    <n v="5"/>
    <s v="MAI"/>
    <n v="0"/>
    <x v="3"/>
    <n v="0"/>
    <x v="5"/>
    <s v=""/>
    <n v="0"/>
    <n v="0"/>
    <n v="0"/>
    <n v="0"/>
    <n v="0"/>
    <n v="0"/>
    <n v="0"/>
    <n v="0"/>
    <x v="3"/>
  </r>
  <r>
    <x v="14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4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5"/>
    <s v="#LI4JL72LL"/>
    <x v="3"/>
    <n v="5"/>
    <s v="MAI"/>
    <n v="0"/>
    <x v="3"/>
    <n v="0"/>
    <x v="5"/>
    <d v="1899-12-30T00:33:00"/>
    <n v="5.32"/>
    <n v="9.3947651645495469"/>
    <n v="3.36"/>
    <n v="6.1090909090909014"/>
    <n v="1"/>
    <n v="2.2012980092588288"/>
    <n v="2.6670391293380669"/>
    <n v="3.1621851406393708"/>
    <x v="3"/>
  </r>
  <r>
    <x v="15"/>
    <n v="0"/>
    <x v="3"/>
    <n v="5"/>
    <s v="MAI"/>
    <n v="0"/>
    <x v="3"/>
    <n v="0"/>
    <x v="5"/>
    <s v=""/>
    <n v="0"/>
    <n v="0"/>
    <n v="0"/>
    <n v="0"/>
    <n v="0"/>
    <n v="0"/>
    <n v="0"/>
    <n v="0"/>
    <x v="3"/>
  </r>
  <r>
    <x v="15"/>
    <n v="0"/>
    <x v="3"/>
    <n v="5"/>
    <s v="MAI"/>
    <n v="0"/>
    <x v="3"/>
    <n v="0"/>
    <x v="2"/>
    <s v=""/>
    <n v="0"/>
    <n v="0"/>
    <n v="0"/>
    <n v="0"/>
    <n v="0"/>
    <n v="0"/>
    <n v="0"/>
    <n v="0"/>
    <x v="3"/>
  </r>
  <r>
    <x v="16"/>
    <s v="#LIFU82JHE"/>
    <x v="4"/>
    <n v="5"/>
    <s v="MAI"/>
    <s v="MAI"/>
    <x v="4"/>
    <n v="11"/>
    <x v="7"/>
    <d v="1899-12-30T00:29:00"/>
    <n v="4.17"/>
    <n v="7.3639418677014303"/>
    <n v="2.95"/>
    <n v="6.1034482758620907"/>
    <n v="1"/>
    <n v="1.9326872402718884"/>
    <n v="2.3415968546271722"/>
    <n v="2.7763232633589716"/>
    <x v="4"/>
  </r>
  <r>
    <x v="16"/>
    <n v="0"/>
    <x v="4"/>
    <n v="5"/>
    <s v="MAI"/>
    <n v="0"/>
    <x v="4"/>
    <n v="0"/>
    <x v="8"/>
    <s v=""/>
    <n v="0"/>
    <n v="0"/>
    <n v="0"/>
    <n v="0"/>
    <n v="0"/>
    <n v="0"/>
    <n v="0"/>
    <n v="0"/>
    <x v="4"/>
  </r>
  <r>
    <x v="16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6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7"/>
    <s v="#LIP8HH7LC"/>
    <x v="4"/>
    <n v="5"/>
    <s v="MAI"/>
    <n v="0"/>
    <x v="4"/>
    <n v="0"/>
    <x v="1"/>
    <d v="1899-12-30T00:44:00"/>
    <n v="7.89"/>
    <n v="13.933213749679686"/>
    <n v="4.37"/>
    <n v="5.9590909090909099"/>
    <n v="1"/>
    <n v="2.86299770847056"/>
    <n v="3.4687383914307599"/>
    <n v="4.1127229358910862"/>
    <x v="4"/>
  </r>
  <r>
    <x v="17"/>
    <n v="0"/>
    <x v="4"/>
    <n v="5"/>
    <s v="MAI"/>
    <n v="0"/>
    <x v="4"/>
    <n v="0"/>
    <x v="1"/>
    <s v=""/>
    <n v="0"/>
    <n v="0"/>
    <n v="0"/>
    <n v="0"/>
    <n v="0"/>
    <n v="0"/>
    <n v="0"/>
    <n v="0"/>
    <x v="4"/>
  </r>
  <r>
    <x v="17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7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8"/>
    <s v="#LI8JFZ1EN"/>
    <x v="4"/>
    <n v="5"/>
    <s v="MAI"/>
    <n v="0"/>
    <x v="4"/>
    <n v="0"/>
    <x v="1"/>
    <d v="1899-12-30T00:27:00"/>
    <n v="4.78"/>
    <n v="8.4411611816817373"/>
    <n v="3.17"/>
    <n v="7.0444444444444692"/>
    <n v="1"/>
    <n v="2.0768198480209783"/>
    <n v="2.5162244166671641"/>
    <n v="2.983371099948454"/>
    <x v="4"/>
  </r>
  <r>
    <x v="18"/>
    <n v="0"/>
    <x v="4"/>
    <n v="5"/>
    <s v="MAI"/>
    <n v="0"/>
    <x v="4"/>
    <n v="0"/>
    <x v="3"/>
    <s v=""/>
    <n v="0"/>
    <n v="0"/>
    <n v="0"/>
    <n v="0"/>
    <n v="0"/>
    <n v="0"/>
    <n v="0"/>
    <n v="0"/>
    <x v="4"/>
  </r>
  <r>
    <x v="18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8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9"/>
    <s v="#LID1HKHW3"/>
    <x v="4"/>
    <n v="5"/>
    <s v="MAI"/>
    <n v="0"/>
    <x v="4"/>
    <n v="0"/>
    <x v="3"/>
    <d v="1899-12-30T00:26:00"/>
    <n v="1.22"/>
    <n v="2.1544386279606105"/>
    <n v="2.29"/>
    <n v="5.2846153846153712"/>
    <n v="1"/>
    <n v="1.5002894170246184"/>
    <n v="1.8177141685071945"/>
    <n v="2.1551797535905237"/>
    <x v="4"/>
  </r>
  <r>
    <x v="19"/>
    <n v="0"/>
    <x v="4"/>
    <n v="5"/>
    <s v="MAI"/>
    <n v="0"/>
    <x v="4"/>
    <n v="0"/>
    <x v="3"/>
    <s v=""/>
    <n v="0"/>
    <n v="0"/>
    <n v="0"/>
    <n v="0"/>
    <n v="0"/>
    <n v="0"/>
    <n v="0"/>
    <n v="0"/>
    <x v="4"/>
  </r>
  <r>
    <x v="19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19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20"/>
    <s v="#LIEA9YL21"/>
    <x v="4"/>
    <n v="5"/>
    <s v="MAI"/>
    <n v="0"/>
    <x v="4"/>
    <n v="0"/>
    <x v="3"/>
    <d v="1899-12-30T00:44:00"/>
    <n v="5.72"/>
    <n v="10.10113848519237"/>
    <n v="4.45"/>
    <n v="6.0681818181818192"/>
    <n v="1"/>
    <n v="2.9154095658338655"/>
    <n v="3.532239323081666"/>
    <n v="4.1880130582872619"/>
    <x v="4"/>
  </r>
  <r>
    <x v="20"/>
    <n v="0"/>
    <x v="4"/>
    <n v="5"/>
    <s v="MAI"/>
    <n v="0"/>
    <x v="4"/>
    <n v="0"/>
    <x v="5"/>
    <s v=""/>
    <n v="0"/>
    <n v="0"/>
    <n v="0"/>
    <n v="0"/>
    <n v="0"/>
    <n v="0"/>
    <n v="0"/>
    <n v="0"/>
    <x v="4"/>
  </r>
  <r>
    <x v="20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20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21"/>
    <s v="#LICNWV74N"/>
    <x v="4"/>
    <n v="5"/>
    <s v="MAI"/>
    <n v="0"/>
    <x v="4"/>
    <n v="0"/>
    <x v="5"/>
    <d v="1899-12-30T00:34:00"/>
    <n v="7.67"/>
    <n v="13.544708423326133"/>
    <n v="4.2300000000000004"/>
    <n v="7.4647058823529333"/>
    <n v="1"/>
    <n v="2.7712769580847758"/>
    <n v="3.357611761041674"/>
    <n v="3.9809652216977796"/>
    <x v="4"/>
  </r>
  <r>
    <x v="21"/>
    <n v="0"/>
    <x v="4"/>
    <n v="5"/>
    <s v="MAI"/>
    <n v="0"/>
    <x v="4"/>
    <n v="0"/>
    <x v="4"/>
    <s v=""/>
    <n v="0"/>
    <n v="0"/>
    <n v="0"/>
    <n v="0"/>
    <n v="0"/>
    <n v="0"/>
    <n v="0"/>
    <n v="0"/>
    <x v="4"/>
  </r>
  <r>
    <x v="21"/>
    <n v="0"/>
    <x v="4"/>
    <n v="5"/>
    <s v="MAI"/>
    <n v="0"/>
    <x v="4"/>
    <n v="0"/>
    <x v="2"/>
    <s v=""/>
    <n v="0"/>
    <n v="0"/>
    <n v="0"/>
    <n v="0"/>
    <n v="0"/>
    <n v="0"/>
    <n v="0"/>
    <n v="0"/>
    <x v="4"/>
  </r>
  <r>
    <x v="22"/>
    <s v="#LITWQUWG4"/>
    <x v="5"/>
    <n v="5"/>
    <s v="MAI"/>
    <s v="MAI"/>
    <x v="5"/>
    <n v="12"/>
    <x v="7"/>
    <d v="1899-12-30T01:01:00"/>
    <n v="14.35"/>
    <n v="25.341142878061277"/>
    <n v="6.52"/>
    <n v="6.4131147540983662"/>
    <n v="1"/>
    <n v="4.2715663751093933"/>
    <n v="5.1753259295488681"/>
    <n v="6.1361449752883024"/>
    <x v="5"/>
  </r>
  <r>
    <x v="22"/>
    <n v="0"/>
    <x v="5"/>
    <n v="5"/>
    <s v="MAI"/>
    <n v="0"/>
    <x v="5"/>
    <n v="0"/>
    <x v="8"/>
    <s v=""/>
    <n v="0"/>
    <n v="0"/>
    <n v="0"/>
    <n v="0"/>
    <n v="0"/>
    <n v="0"/>
    <n v="0"/>
    <n v="0"/>
    <x v="5"/>
  </r>
  <r>
    <x v="22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2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3"/>
    <s v="#LIMYWQ1QY"/>
    <x v="5"/>
    <n v="5"/>
    <s v="MAI"/>
    <n v="0"/>
    <x v="5"/>
    <n v="0"/>
    <x v="8"/>
    <d v="1899-12-30T00:36:00"/>
    <n v="8.67"/>
    <n v="15.310641724933191"/>
    <n v="4.53"/>
    <n v="7.5499999999999936"/>
    <n v="1"/>
    <n v="2.9678214231971709"/>
    <n v="3.5957402547325725"/>
    <n v="4.2633031806834376"/>
    <x v="5"/>
  </r>
  <r>
    <x v="23"/>
    <n v="0"/>
    <x v="5"/>
    <n v="5"/>
    <s v="MAI"/>
    <n v="0"/>
    <x v="5"/>
    <n v="0"/>
    <x v="8"/>
    <s v=""/>
    <n v="0"/>
    <n v="0"/>
    <n v="0"/>
    <n v="0"/>
    <n v="0"/>
    <n v="0"/>
    <n v="0"/>
    <n v="0"/>
    <x v="5"/>
  </r>
  <r>
    <x v="23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3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4"/>
    <s v="#LI74KQMXA"/>
    <x v="5"/>
    <n v="5"/>
    <s v="MAI"/>
    <n v="0"/>
    <x v="5"/>
    <n v="0"/>
    <x v="8"/>
    <d v="1899-12-30T00:42:00"/>
    <n v="5.84"/>
    <n v="10.313050481385217"/>
    <n v="4.4000000000000004"/>
    <n v="6.2857142857142616"/>
    <n v="1"/>
    <n v="2.8826521549818001"/>
    <n v="3.49255124079985"/>
    <n v="4.140956731789653"/>
    <x v="5"/>
  </r>
  <r>
    <x v="24"/>
    <n v="0"/>
    <x v="5"/>
    <n v="5"/>
    <s v="MAI"/>
    <n v="0"/>
    <x v="5"/>
    <n v="0"/>
    <x v="9"/>
    <s v=""/>
    <n v="0"/>
    <n v="0"/>
    <n v="0"/>
    <n v="0"/>
    <n v="0"/>
    <n v="0"/>
    <n v="0"/>
    <n v="0"/>
    <x v="5"/>
  </r>
  <r>
    <x v="24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4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5"/>
    <s v="#LIQCAFTWH"/>
    <x v="5"/>
    <n v="5"/>
    <s v="MAI"/>
    <n v="0"/>
    <x v="5"/>
    <n v="0"/>
    <x v="9"/>
    <d v="1899-12-30T00:50:00"/>
    <n v="9.58"/>
    <n v="16.917641029395615"/>
    <n v="4.8499999999999996"/>
    <n v="5.8200000000000021"/>
    <n v="1"/>
    <n v="3.1774688526503927"/>
    <n v="3.8497439813361973"/>
    <n v="4.5644636702681387"/>
    <x v="5"/>
  </r>
  <r>
    <x v="25"/>
    <n v="0"/>
    <x v="5"/>
    <n v="5"/>
    <s v="MAI"/>
    <n v="0"/>
    <x v="5"/>
    <n v="0"/>
    <x v="10"/>
    <s v=""/>
    <n v="0"/>
    <n v="0"/>
    <n v="0"/>
    <n v="0"/>
    <n v="0"/>
    <n v="0"/>
    <n v="0"/>
    <n v="0"/>
    <x v="5"/>
  </r>
  <r>
    <x v="25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5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6"/>
    <s v="#LI971J1L9"/>
    <x v="5"/>
    <n v="5"/>
    <s v="MAI"/>
    <n v="0"/>
    <x v="5"/>
    <n v="0"/>
    <x v="0"/>
    <d v="1899-12-30T00:30:00"/>
    <n v="2.7"/>
    <n v="4.7680199143390558"/>
    <n v="2.44"/>
    <n v="4.879999999999991"/>
    <n v="1"/>
    <n v="1.5985616495808161"/>
    <n v="1.9367784153526437"/>
    <n v="2.2963487330833527"/>
    <x v="5"/>
  </r>
  <r>
    <x v="26"/>
    <n v="0"/>
    <x v="5"/>
    <n v="5"/>
    <s v="MAI"/>
    <n v="0"/>
    <x v="5"/>
    <n v="0"/>
    <x v="1"/>
    <s v=""/>
    <n v="0"/>
    <n v="0"/>
    <n v="0"/>
    <n v="0"/>
    <n v="0"/>
    <n v="0"/>
    <n v="0"/>
    <n v="0"/>
    <x v="5"/>
  </r>
  <r>
    <x v="26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6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7"/>
    <s v="#LIUGCCXME"/>
    <x v="5"/>
    <n v="5"/>
    <s v="MAI"/>
    <n v="0"/>
    <x v="5"/>
    <n v="0"/>
    <x v="1"/>
    <d v="1899-12-30T00:39:00"/>
    <n v="6.17"/>
    <n v="10.895808470915545"/>
    <n v="4.3899999999999997"/>
    <n v="6.7538461538461494"/>
    <n v="1"/>
    <n v="2.8761006728113863"/>
    <n v="3.4846136243434862"/>
    <n v="4.1315454664901301"/>
    <x v="5"/>
  </r>
  <r>
    <x v="27"/>
    <n v="0"/>
    <x v="5"/>
    <n v="5"/>
    <s v="MAI"/>
    <n v="0"/>
    <x v="5"/>
    <n v="0"/>
    <x v="1"/>
    <s v=""/>
    <n v="0"/>
    <n v="0"/>
    <n v="0"/>
    <n v="0"/>
    <n v="0"/>
    <n v="0"/>
    <n v="0"/>
    <n v="0"/>
    <x v="5"/>
  </r>
  <r>
    <x v="27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7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8"/>
    <s v="#LI2UGV5NU"/>
    <x v="5"/>
    <n v="5"/>
    <s v="MAI"/>
    <n v="0"/>
    <x v="5"/>
    <n v="0"/>
    <x v="1"/>
    <d v="1899-12-30T00:30:00"/>
    <n v="5.65"/>
    <n v="9.9775231540798774"/>
    <n v="4.47"/>
    <n v="8.9399999999999835"/>
    <n v="1"/>
    <n v="2.9285125301746917"/>
    <n v="3.5481145559943923"/>
    <n v="4.2068355888863058"/>
    <x v="5"/>
  </r>
  <r>
    <x v="28"/>
    <n v="0"/>
    <x v="5"/>
    <n v="5"/>
    <s v="MAI"/>
    <n v="0"/>
    <x v="5"/>
    <n v="0"/>
    <x v="3"/>
    <s v=""/>
    <n v="0"/>
    <n v="0"/>
    <n v="0"/>
    <n v="0"/>
    <n v="0"/>
    <n v="0"/>
    <n v="0"/>
    <n v="0"/>
    <x v="5"/>
  </r>
  <r>
    <x v="28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8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9"/>
    <s v="#LIZ3ZBXNV"/>
    <x v="5"/>
    <n v="5"/>
    <s v="MAI"/>
    <n v="0"/>
    <x v="5"/>
    <n v="0"/>
    <x v="3"/>
    <d v="1899-12-30T00:44:00"/>
    <n v="7.2"/>
    <n v="12.714719771570817"/>
    <n v="4.47"/>
    <n v="6.0954545454545679"/>
    <n v="1"/>
    <n v="2.9285125301746917"/>
    <n v="3.5481145559943923"/>
    <n v="4.2068355888863058"/>
    <x v="5"/>
  </r>
  <r>
    <x v="29"/>
    <n v="0"/>
    <x v="5"/>
    <n v="5"/>
    <s v="MAI"/>
    <n v="0"/>
    <x v="5"/>
    <n v="0"/>
    <x v="5"/>
    <s v=""/>
    <n v="0"/>
    <n v="0"/>
    <n v="0"/>
    <n v="0"/>
    <n v="0"/>
    <n v="0"/>
    <n v="0"/>
    <n v="0"/>
    <x v="5"/>
  </r>
  <r>
    <x v="29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29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30"/>
    <s v="#LIBBXGST6"/>
    <x v="5"/>
    <n v="5"/>
    <s v="MAI"/>
    <n v="0"/>
    <x v="5"/>
    <n v="0"/>
    <x v="5"/>
    <d v="1899-12-30T00:24:00"/>
    <n v="4.49"/>
    <n v="7.9290405242156901"/>
    <n v="3.1"/>
    <n v="7.749999999999976"/>
    <n v="1"/>
    <n v="2.0309594728280862"/>
    <n v="2.4606611014726214"/>
    <n v="2.9174922428518006"/>
    <x v="5"/>
  </r>
  <r>
    <x v="30"/>
    <n v="0"/>
    <x v="5"/>
    <n v="5"/>
    <s v="MAI"/>
    <n v="0"/>
    <x v="5"/>
    <n v="0"/>
    <x v="5"/>
    <s v=""/>
    <n v="0"/>
    <n v="0"/>
    <n v="0"/>
    <n v="0"/>
    <n v="0"/>
    <n v="0"/>
    <n v="0"/>
    <n v="0"/>
    <x v="5"/>
  </r>
  <r>
    <x v="30"/>
    <n v="0"/>
    <x v="5"/>
    <n v="5"/>
    <s v="MAI"/>
    <n v="0"/>
    <x v="5"/>
    <n v="0"/>
    <x v="5"/>
    <s v=""/>
    <n v="0"/>
    <n v="0"/>
    <n v="1.29"/>
    <n v="0"/>
    <n v="0"/>
    <n v="0.8451411999833004"/>
    <n v="1.023952522870865"/>
    <n v="1.2140532236383299"/>
    <x v="5"/>
  </r>
  <r>
    <x v="30"/>
    <n v="0"/>
    <x v="5"/>
    <n v="5"/>
    <s v="MAI"/>
    <n v="0"/>
    <x v="5"/>
    <n v="0"/>
    <x v="2"/>
    <s v=""/>
    <n v="0"/>
    <n v="0"/>
    <n v="0"/>
    <n v="0"/>
    <n v="0"/>
    <n v="0"/>
    <n v="0"/>
    <n v="0"/>
    <x v="5"/>
  </r>
  <r>
    <x v="31"/>
    <s v="#LIVE1JD1M"/>
    <x v="6"/>
    <n v="5"/>
    <s v="MAI"/>
    <s v="MAI"/>
    <x v="6"/>
    <n v="13"/>
    <x v="7"/>
    <d v="1899-12-30T00:58:00"/>
    <n v="6.33"/>
    <n v="11.178357799172675"/>
    <n v="4.3600000000000003"/>
    <n v="4.510344827586211"/>
    <n v="1"/>
    <n v="2.8564462263001471"/>
    <n v="3.4608007749743965"/>
    <n v="4.1033116705915651"/>
    <x v="6"/>
  </r>
  <r>
    <x v="31"/>
    <n v="0"/>
    <x v="6"/>
    <n v="5"/>
    <s v="MAI"/>
    <n v="0"/>
    <x v="6"/>
    <n v="0"/>
    <x v="8"/>
    <s v=""/>
    <n v="0"/>
    <n v="0"/>
    <n v="0"/>
    <n v="0"/>
    <n v="0"/>
    <n v="0"/>
    <n v="0"/>
    <n v="0"/>
    <x v="6"/>
  </r>
  <r>
    <x v="31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1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2"/>
    <s v="#LIUNDNRUW"/>
    <x v="6"/>
    <n v="5"/>
    <s v="MAI"/>
    <n v="0"/>
    <x v="6"/>
    <n v="0"/>
    <x v="8"/>
    <d v="1899-12-30T00:15:00"/>
    <n v="4.34"/>
    <n v="7.6641505289746306"/>
    <n v="3.01"/>
    <n v="12.040000000000042"/>
    <n v="1"/>
    <n v="1.9719961332943674"/>
    <n v="2.3892225533653515"/>
    <n v="2.832790855156103"/>
    <x v="6"/>
  </r>
  <r>
    <x v="32"/>
    <n v="0"/>
    <x v="6"/>
    <n v="5"/>
    <s v="MAI"/>
    <n v="0"/>
    <x v="6"/>
    <n v="0"/>
    <x v="8"/>
    <s v=""/>
    <n v="0"/>
    <n v="0"/>
    <n v="0"/>
    <n v="0"/>
    <n v="0"/>
    <n v="0"/>
    <n v="0"/>
    <n v="0"/>
    <x v="6"/>
  </r>
  <r>
    <x v="32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2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3"/>
    <s v="#LIQ8VKCTD"/>
    <x v="6"/>
    <n v="5"/>
    <s v="MAI"/>
    <n v="0"/>
    <x v="6"/>
    <n v="0"/>
    <x v="8"/>
    <d v="1899-12-30T00:43:00"/>
    <n v="8.85"/>
    <n v="15.62850971922246"/>
    <n v="4.6100000000000003"/>
    <n v="6.4325581395348834"/>
    <n v="1"/>
    <n v="3.0202332805604768"/>
    <n v="3.6592411863834791"/>
    <n v="4.3385933030796133"/>
    <x v="6"/>
  </r>
  <r>
    <x v="33"/>
    <n v="0"/>
    <x v="6"/>
    <n v="5"/>
    <s v="MAI"/>
    <n v="0"/>
    <x v="6"/>
    <n v="0"/>
    <x v="9"/>
    <s v=""/>
    <n v="0"/>
    <n v="0"/>
    <n v="0"/>
    <n v="0"/>
    <n v="0"/>
    <n v="0"/>
    <n v="0"/>
    <n v="0"/>
    <x v="6"/>
  </r>
  <r>
    <x v="33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3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4"/>
    <s v="#LIA7YUQBB"/>
    <x v="6"/>
    <n v="5"/>
    <s v="MAI"/>
    <n v="0"/>
    <x v="6"/>
    <n v="0"/>
    <x v="0"/>
    <d v="1899-12-30T00:23:00"/>
    <n v="3.17"/>
    <n v="5.5980085660943733"/>
    <n v="2.6"/>
    <n v="6.7826086956521996"/>
    <n v="1"/>
    <n v="1.703385364307427"/>
    <n v="2.0637802786544568"/>
    <n v="2.4469289778757037"/>
    <x v="6"/>
  </r>
  <r>
    <x v="34"/>
    <n v="0"/>
    <x v="6"/>
    <n v="5"/>
    <s v="MAI"/>
    <n v="0"/>
    <x v="6"/>
    <n v="0"/>
    <x v="0"/>
    <s v=""/>
    <n v="0"/>
    <n v="0"/>
    <n v="0"/>
    <n v="0"/>
    <n v="0"/>
    <n v="0"/>
    <n v="0"/>
    <n v="0"/>
    <x v="6"/>
  </r>
  <r>
    <x v="34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4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5"/>
    <s v="#LIKYHVR1B"/>
    <x v="6"/>
    <n v="5"/>
    <s v="MAI"/>
    <n v="0"/>
    <x v="6"/>
    <n v="0"/>
    <x v="0"/>
    <d v="1899-12-30T00:42:00"/>
    <n v="10.6"/>
    <n v="18.718892997034811"/>
    <n v="5.21"/>
    <n v="7.4428571428571138"/>
    <n v="1"/>
    <n v="3.4133222107852674"/>
    <n v="4.1354981737652761"/>
    <n v="4.9032692210509294"/>
    <x v="6"/>
  </r>
  <r>
    <x v="35"/>
    <n v="0"/>
    <x v="6"/>
    <n v="5"/>
    <s v="MAI"/>
    <n v="0"/>
    <x v="6"/>
    <n v="0"/>
    <x v="1"/>
    <s v=""/>
    <n v="0"/>
    <n v="0"/>
    <n v="0"/>
    <n v="0"/>
    <n v="0"/>
    <n v="0"/>
    <n v="0"/>
    <n v="0"/>
    <x v="6"/>
  </r>
  <r>
    <x v="35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5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6"/>
    <s v="#LIM2NN152"/>
    <x v="6"/>
    <n v="5"/>
    <s v="MAI"/>
    <n v="0"/>
    <x v="6"/>
    <n v="0"/>
    <x v="1"/>
    <d v="1899-12-30T00:27:00"/>
    <n v="5.18"/>
    <n v="9.1475345023245591"/>
    <n v="4.03"/>
    <n v="8.9555555555555877"/>
    <n v="1"/>
    <n v="2.640247314676512"/>
    <n v="3.1988594319144079"/>
    <n v="3.7927399157073407"/>
    <x v="6"/>
  </r>
  <r>
    <x v="36"/>
    <n v="0"/>
    <x v="6"/>
    <n v="5"/>
    <s v="MAI"/>
    <n v="0"/>
    <x v="6"/>
    <n v="0"/>
    <x v="3"/>
    <s v=""/>
    <n v="0"/>
    <n v="0"/>
    <n v="0"/>
    <n v="0"/>
    <n v="0"/>
    <n v="0"/>
    <n v="0"/>
    <n v="0"/>
    <x v="6"/>
  </r>
  <r>
    <x v="36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6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7"/>
    <s v="#LI7KVVHWC"/>
    <x v="6"/>
    <n v="5"/>
    <s v="MAI"/>
    <n v="0"/>
    <x v="6"/>
    <n v="0"/>
    <x v="3"/>
    <d v="1899-12-30T00:30:00"/>
    <n v="6.9"/>
    <n v="12.184939781088699"/>
    <n v="3.91"/>
    <n v="7.8199999999999861"/>
    <n v="1"/>
    <n v="2.561629528631554"/>
    <n v="3.1036080344380483"/>
    <n v="3.6798047321130776"/>
    <x v="6"/>
  </r>
  <r>
    <x v="37"/>
    <n v="0"/>
    <x v="6"/>
    <n v="5"/>
    <s v="MAI"/>
    <n v="0"/>
    <x v="6"/>
    <n v="0"/>
    <x v="3"/>
    <s v=""/>
    <n v="0"/>
    <n v="0"/>
    <n v="0"/>
    <n v="0"/>
    <n v="0"/>
    <n v="0"/>
    <n v="0"/>
    <n v="0"/>
    <x v="6"/>
  </r>
  <r>
    <x v="37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7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8"/>
    <s v="#LIAJLGHXD"/>
    <x v="6"/>
    <n v="5"/>
    <s v="MAI"/>
    <n v="0"/>
    <x v="6"/>
    <n v="0"/>
    <x v="3"/>
    <d v="1899-12-30T00:34:00"/>
    <n v="5.21"/>
    <n v="9.2005125013727707"/>
    <n v="3.33"/>
    <n v="5.876470588235315"/>
    <n v="1"/>
    <n v="2.1816435627475892"/>
    <n v="2.6432262799689772"/>
    <n v="3.1339513447408049"/>
    <x v="6"/>
  </r>
  <r>
    <x v="38"/>
    <n v="0"/>
    <x v="6"/>
    <n v="5"/>
    <s v="MAI"/>
    <n v="0"/>
    <x v="6"/>
    <n v="0"/>
    <x v="5"/>
    <s v=""/>
    <n v="0"/>
    <n v="0"/>
    <n v="0"/>
    <n v="0"/>
    <n v="0"/>
    <n v="0"/>
    <n v="0"/>
    <n v="0"/>
    <x v="6"/>
  </r>
  <r>
    <x v="38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8"/>
    <n v="0"/>
    <x v="6"/>
    <n v="5"/>
    <s v="MAI"/>
    <n v="0"/>
    <x v="6"/>
    <n v="0"/>
    <x v="2"/>
    <s v=""/>
    <n v="0"/>
    <n v="0"/>
    <n v="0"/>
    <n v="0"/>
    <n v="0"/>
    <n v="0"/>
    <n v="0"/>
    <n v="0"/>
    <x v="6"/>
  </r>
  <r>
    <x v="39"/>
    <s v="#LINCCQPES "/>
    <x v="7"/>
    <n v="5"/>
    <s v="MAI"/>
    <s v="MAI"/>
    <x v="7"/>
    <n v="14"/>
    <x v="0"/>
    <d v="1899-12-30T00:28:00"/>
    <n v="2.25"/>
    <n v="3.97334992861588"/>
    <n v="2.2799999999999998"/>
    <n v="4.885714285714303"/>
    <n v="1"/>
    <n v="1.493737934854205"/>
    <n v="1.8097765520508311"/>
    <n v="2.1457684882910013"/>
    <x v="0"/>
  </r>
  <r>
    <x v="39"/>
    <n v="0"/>
    <x v="7"/>
    <n v="5"/>
    <s v="MAI"/>
    <n v="0"/>
    <x v="7"/>
    <n v="0"/>
    <x v="1"/>
    <s v=""/>
    <n v="0"/>
    <n v="0"/>
    <n v="0"/>
    <n v="0"/>
    <n v="0"/>
    <n v="0"/>
    <n v="0"/>
    <n v="0"/>
    <x v="0"/>
  </r>
  <r>
    <x v="39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39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0"/>
    <s v="#LISZLGZZK "/>
    <x v="7"/>
    <n v="5"/>
    <s v="MAI"/>
    <n v="0"/>
    <x v="7"/>
    <n v="0"/>
    <x v="1"/>
    <d v="1899-12-30T00:41:00"/>
    <n v="4.6500000000000004"/>
    <n v="8.2115898524728195"/>
    <n v="3.63"/>
    <n v="5.3121951219512171"/>
    <n v="1"/>
    <n v="2.3781880278599847"/>
    <n v="2.8813547736598757"/>
    <n v="3.416289303726463"/>
    <x v="0"/>
  </r>
  <r>
    <x v="40"/>
    <n v="0"/>
    <x v="7"/>
    <n v="5"/>
    <s v="MAI"/>
    <n v="0"/>
    <x v="7"/>
    <n v="0"/>
    <x v="3"/>
    <s v=""/>
    <n v="0"/>
    <n v="0"/>
    <n v="0"/>
    <n v="0"/>
    <n v="0"/>
    <n v="0"/>
    <n v="0"/>
    <n v="0"/>
    <x v="0"/>
  </r>
  <r>
    <x v="40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0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1"/>
    <s v="#LIL1MGJLH "/>
    <x v="7"/>
    <n v="5"/>
    <s v="MAI"/>
    <n v="0"/>
    <x v="7"/>
    <n v="0"/>
    <x v="3"/>
    <d v="1899-12-30T00:24:00"/>
    <n v="3.94"/>
    <n v="6.957777208331807"/>
    <n v="3.06"/>
    <n v="7.6499999999999764"/>
    <n v="1"/>
    <n v="2.0047535441464333"/>
    <n v="2.4289106356471684"/>
    <n v="2.8798471816537128"/>
    <x v="0"/>
  </r>
  <r>
    <x v="41"/>
    <n v="0"/>
    <x v="7"/>
    <n v="5"/>
    <s v="MAI"/>
    <n v="0"/>
    <x v="7"/>
    <n v="0"/>
    <x v="3"/>
    <s v=""/>
    <n v="0"/>
    <n v="0"/>
    <n v="0"/>
    <n v="0"/>
    <n v="0"/>
    <n v="0"/>
    <n v="0"/>
    <n v="0"/>
    <x v="0"/>
  </r>
  <r>
    <x v="41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1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2"/>
    <s v="#LIKCFWWSF "/>
    <x v="7"/>
    <n v="5"/>
    <s v="MAI"/>
    <n v="0"/>
    <x v="7"/>
    <n v="0"/>
    <x v="3"/>
    <d v="1899-12-30T00:21:00"/>
    <n v="1.6"/>
    <n v="2.8254932825712924"/>
    <n v="2.2799999999999998"/>
    <n v="6.5142857142857364"/>
    <n v="1"/>
    <n v="1.493737934854205"/>
    <n v="1.8097765520508311"/>
    <n v="2.1457684882910013"/>
    <x v="0"/>
  </r>
  <r>
    <x v="42"/>
    <n v="0"/>
    <x v="7"/>
    <n v="5"/>
    <s v="MAI"/>
    <n v="0"/>
    <x v="7"/>
    <n v="0"/>
    <x v="3"/>
    <s v=""/>
    <n v="0"/>
    <n v="0"/>
    <n v="0"/>
    <n v="0"/>
    <n v="0"/>
    <n v="0"/>
    <n v="0"/>
    <n v="0"/>
    <x v="0"/>
  </r>
  <r>
    <x v="42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2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3"/>
    <s v="#LIUBFZCQM "/>
    <x v="7"/>
    <n v="5"/>
    <s v="MAI"/>
    <n v="0"/>
    <x v="7"/>
    <n v="0"/>
    <x v="3"/>
    <d v="1899-12-30T00:26:00"/>
    <n v="0.95"/>
    <n v="1.6776366365267048"/>
    <n v="2.29"/>
    <n v="5.2846153846154031"/>
    <n v="1"/>
    <n v="1.5002894170246184"/>
    <n v="1.8177141685071945"/>
    <n v="2.1551797535905237"/>
    <x v="0"/>
  </r>
  <r>
    <x v="43"/>
    <n v="0"/>
    <x v="7"/>
    <n v="5"/>
    <s v="MAI"/>
    <n v="0"/>
    <x v="7"/>
    <n v="0"/>
    <x v="5"/>
    <s v=""/>
    <n v="0"/>
    <n v="0"/>
    <n v="0"/>
    <n v="0"/>
    <n v="0"/>
    <n v="0"/>
    <n v="0"/>
    <n v="0"/>
    <x v="0"/>
  </r>
  <r>
    <x v="43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3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4"/>
    <s v="#LIYHWGVTL "/>
    <x v="7"/>
    <n v="5"/>
    <s v="MAI"/>
    <n v="0"/>
    <x v="7"/>
    <n v="0"/>
    <x v="5"/>
    <d v="1899-12-30T00:26:00"/>
    <n v="1.6"/>
    <n v="2.8254932825712924"/>
    <n v="2.64"/>
    <n v="6.0923076923076769"/>
    <n v="1"/>
    <n v="1.7295912929890798"/>
    <n v="2.0955307444799098"/>
    <n v="2.4845740390737916"/>
    <x v="0"/>
  </r>
  <r>
    <x v="44"/>
    <n v="0"/>
    <x v="7"/>
    <n v="5"/>
    <s v="MAI"/>
    <n v="0"/>
    <x v="7"/>
    <n v="0"/>
    <x v="5"/>
    <s v=""/>
    <n v="0"/>
    <n v="0"/>
    <n v="0"/>
    <n v="0"/>
    <n v="0"/>
    <n v="0"/>
    <n v="0"/>
    <n v="0"/>
    <x v="0"/>
  </r>
  <r>
    <x v="44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4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5"/>
    <s v="#LI2NDJZEM "/>
    <x v="7"/>
    <n v="5"/>
    <s v="MAI"/>
    <n v="0"/>
    <x v="7"/>
    <n v="0"/>
    <x v="5"/>
    <d v="1899-12-30T00:28:00"/>
    <n v="5.42"/>
    <n v="9.5713584947102532"/>
    <n v="1.5"/>
    <n v="3.2142857142857073"/>
    <n v="1"/>
    <n v="0.98272232556197714"/>
    <n v="1.1906424684544943"/>
    <n v="1.4116897949282905"/>
    <x v="0"/>
  </r>
  <r>
    <x v="45"/>
    <n v="0"/>
    <x v="7"/>
    <n v="5"/>
    <s v="MAI"/>
    <n v="0"/>
    <x v="7"/>
    <n v="0"/>
    <x v="4"/>
    <s v=""/>
    <n v="0"/>
    <n v="0"/>
    <n v="0"/>
    <n v="0"/>
    <n v="0"/>
    <n v="0"/>
    <n v="0"/>
    <n v="0"/>
    <x v="0"/>
  </r>
  <r>
    <x v="45"/>
    <n v="0"/>
    <x v="7"/>
    <n v="5"/>
    <s v="MAI"/>
    <n v="0"/>
    <x v="7"/>
    <n v="0"/>
    <x v="2"/>
    <s v=""/>
    <n v="0"/>
    <n v="0"/>
    <n v="0"/>
    <n v="0"/>
    <n v="0"/>
    <n v="0"/>
    <n v="0"/>
    <n v="0"/>
    <x v="0"/>
  </r>
  <r>
    <x v="46"/>
    <s v="#LIARLUMGL "/>
    <x v="8"/>
    <n v="5"/>
    <s v="MAI"/>
    <s v="MAI"/>
    <x v="8"/>
    <n v="15"/>
    <x v="7"/>
    <d v="1899-12-30T01:01:00"/>
    <n v="3.13"/>
    <n v="5.5273712340300909"/>
    <n v="3.44"/>
    <n v="3.3836065573770524"/>
    <n v="1"/>
    <n v="2.2537098666221342"/>
    <n v="2.7305400609889734"/>
    <n v="3.2374752630355461"/>
    <x v="1"/>
  </r>
  <r>
    <x v="46"/>
    <n v="0"/>
    <x v="8"/>
    <n v="5"/>
    <s v="MAI"/>
    <n v="0"/>
    <x v="8"/>
    <n v="0"/>
    <x v="8"/>
    <s v=""/>
    <n v="0"/>
    <n v="0"/>
    <n v="0"/>
    <n v="0"/>
    <n v="0"/>
    <n v="0"/>
    <n v="0"/>
    <n v="0"/>
    <x v="1"/>
  </r>
  <r>
    <x v="46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6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7"/>
    <s v="#LIAPAL5MF "/>
    <x v="8"/>
    <n v="5"/>
    <s v="MAI"/>
    <n v="0"/>
    <x v="8"/>
    <n v="0"/>
    <x v="8"/>
    <d v="1899-12-30T00:33:00"/>
    <n v="4.29"/>
    <n v="7.5758538638942774"/>
    <n v="3.2"/>
    <n v="5.8181818181818112"/>
    <n v="1"/>
    <n v="2.0964742945322179"/>
    <n v="2.5400372660362542"/>
    <n v="3.0116048958470198"/>
    <x v="1"/>
  </r>
  <r>
    <x v="47"/>
    <n v="0"/>
    <x v="8"/>
    <n v="5"/>
    <s v="MAI"/>
    <n v="0"/>
    <x v="8"/>
    <n v="0"/>
    <x v="9"/>
    <s v=""/>
    <n v="0"/>
    <n v="0"/>
    <n v="0"/>
    <n v="0"/>
    <n v="0"/>
    <n v="0"/>
    <n v="0"/>
    <n v="0"/>
    <x v="1"/>
  </r>
  <r>
    <x v="47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7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8"/>
    <s v="#LI3PCTLNS "/>
    <x v="8"/>
    <n v="5"/>
    <s v="MAI"/>
    <n v="0"/>
    <x v="8"/>
    <n v="0"/>
    <x v="0"/>
    <d v="1899-12-30T00:28:00"/>
    <n v="2.94"/>
    <n v="5.1918439067247499"/>
    <n v="2.52"/>
    <n v="5.3999999999999577"/>
    <n v="1"/>
    <n v="1.6509735069441216"/>
    <n v="2.0002793470035503"/>
    <n v="2.371638855479528"/>
    <x v="1"/>
  </r>
  <r>
    <x v="48"/>
    <n v="0"/>
    <x v="8"/>
    <n v="5"/>
    <s v="MAI"/>
    <n v="0"/>
    <x v="8"/>
    <n v="0"/>
    <x v="0"/>
    <s v=""/>
    <n v="0"/>
    <n v="0"/>
    <n v="0"/>
    <n v="0"/>
    <n v="0"/>
    <n v="0"/>
    <n v="0"/>
    <n v="0"/>
    <x v="1"/>
  </r>
  <r>
    <x v="48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8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9"/>
    <s v="#LIEZHTTS9 "/>
    <x v="8"/>
    <n v="5"/>
    <s v="MAI"/>
    <n v="0"/>
    <x v="8"/>
    <n v="0"/>
    <x v="0"/>
    <d v="1899-12-30T00:36:00"/>
    <n v="9.74"/>
    <n v="17.200190357652744"/>
    <n v="5.37"/>
    <n v="8.9500000000000313"/>
    <n v="1"/>
    <n v="3.5181459255118783"/>
    <n v="4.2625000370670891"/>
    <n v="5.05384946584328"/>
    <x v="1"/>
  </r>
  <r>
    <x v="49"/>
    <n v="0"/>
    <x v="8"/>
    <n v="5"/>
    <s v="MAI"/>
    <n v="0"/>
    <x v="8"/>
    <n v="0"/>
    <x v="1"/>
    <s v=""/>
    <n v="0"/>
    <n v="0"/>
    <n v="0"/>
    <n v="0"/>
    <n v="0"/>
    <n v="0"/>
    <n v="0"/>
    <n v="0"/>
    <x v="1"/>
  </r>
  <r>
    <x v="49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49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0"/>
    <s v="#LIDZDGXWL "/>
    <x v="8"/>
    <n v="5"/>
    <s v="MAI"/>
    <n v="0"/>
    <x v="8"/>
    <n v="0"/>
    <x v="1"/>
    <d v="1899-12-30T00:35:00"/>
    <n v="2.69"/>
    <n v="4.750360581322985"/>
    <n v="2.4700000000000002"/>
    <n v="4.2342857142857104"/>
    <n v="1"/>
    <n v="1.6182160960920557"/>
    <n v="1.9605912647217338"/>
    <n v="2.3245825289819186"/>
    <x v="1"/>
  </r>
  <r>
    <x v="50"/>
    <n v="0"/>
    <x v="8"/>
    <n v="5"/>
    <s v="MAI"/>
    <n v="0"/>
    <x v="8"/>
    <n v="0"/>
    <x v="3"/>
    <s v=""/>
    <n v="0"/>
    <n v="0"/>
    <n v="0"/>
    <n v="0"/>
    <n v="0"/>
    <n v="0"/>
    <n v="0"/>
    <n v="0"/>
    <x v="1"/>
  </r>
  <r>
    <x v="50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0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1"/>
    <s v="#LILT19PEG "/>
    <x v="8"/>
    <n v="5"/>
    <s v="MAI"/>
    <n v="0"/>
    <x v="8"/>
    <n v="0"/>
    <x v="3"/>
    <d v="1899-12-30T00:20:00"/>
    <n v="3.52"/>
    <n v="6.2160852216568436"/>
    <n v="2.73"/>
    <n v="8.1899999999999658"/>
    <n v="1"/>
    <n v="1.7885546325227983"/>
    <n v="2.1669692925871793"/>
    <n v="2.5692754267694888"/>
    <x v="1"/>
  </r>
  <r>
    <x v="51"/>
    <n v="0"/>
    <x v="8"/>
    <n v="5"/>
    <s v="MAI"/>
    <n v="0"/>
    <x v="8"/>
    <n v="0"/>
    <x v="3"/>
    <s v=""/>
    <n v="0"/>
    <n v="0"/>
    <n v="0"/>
    <n v="0"/>
    <n v="0"/>
    <n v="0"/>
    <n v="0"/>
    <n v="0"/>
    <x v="1"/>
  </r>
  <r>
    <x v="51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1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2"/>
    <s v="#LIQBHNFBF "/>
    <x v="8"/>
    <n v="5"/>
    <s v="MAI"/>
    <n v="0"/>
    <x v="8"/>
    <n v="0"/>
    <x v="3"/>
    <d v="1899-12-30T00:34:00"/>
    <n v="5.84"/>
    <n v="10.313050481385217"/>
    <n v="3.8"/>
    <n v="6.7058823529411686"/>
    <n v="1"/>
    <n v="2.4895632247570085"/>
    <n v="3.0162942534180517"/>
    <n v="3.576280813818336"/>
    <x v="1"/>
  </r>
  <r>
    <x v="52"/>
    <n v="0"/>
    <x v="8"/>
    <n v="5"/>
    <s v="MAI"/>
    <n v="0"/>
    <x v="8"/>
    <n v="0"/>
    <x v="5"/>
    <s v=""/>
    <n v="0"/>
    <n v="0"/>
    <n v="0"/>
    <n v="0"/>
    <n v="0"/>
    <n v="0"/>
    <n v="0"/>
    <n v="0"/>
    <x v="1"/>
  </r>
  <r>
    <x v="52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2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3"/>
    <s v="#LIX8HXYZG "/>
    <x v="8"/>
    <n v="5"/>
    <s v="MAI"/>
    <n v="0"/>
    <x v="8"/>
    <n v="0"/>
    <x v="5"/>
    <d v="1899-12-30T00:40:00"/>
    <n v="12.16"/>
    <n v="21.473748947541822"/>
    <n v="5.75"/>
    <n v="8.6249999999999964"/>
    <n v="1"/>
    <n v="3.7671022479875789"/>
    <n v="4.5641294624088946"/>
    <n v="5.4114775472251138"/>
    <x v="1"/>
  </r>
  <r>
    <x v="53"/>
    <n v="0"/>
    <x v="8"/>
    <n v="5"/>
    <s v="MAI"/>
    <n v="0"/>
    <x v="8"/>
    <n v="0"/>
    <x v="5"/>
    <s v=""/>
    <n v="0"/>
    <n v="0"/>
    <n v="0"/>
    <n v="0"/>
    <n v="0"/>
    <n v="0"/>
    <n v="0"/>
    <n v="0"/>
    <x v="1"/>
  </r>
  <r>
    <x v="53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3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4"/>
    <s v="#LI9P1MVFX "/>
    <x v="8"/>
    <n v="5"/>
    <s v="MAI"/>
    <n v="0"/>
    <x v="8"/>
    <n v="0"/>
    <x v="5"/>
    <d v="1899-12-30T00:37:00"/>
    <n v="8.66"/>
    <n v="15.29298239191712"/>
    <n v="4.8499999999999996"/>
    <n v="7.8648648648648578"/>
    <n v="1"/>
    <n v="3.1774688526503927"/>
    <n v="3.8497439813361973"/>
    <n v="4.5644636702681387"/>
    <x v="1"/>
  </r>
  <r>
    <x v="54"/>
    <n v="0"/>
    <x v="8"/>
    <n v="5"/>
    <s v="MAI"/>
    <n v="0"/>
    <x v="8"/>
    <n v="0"/>
    <x v="4"/>
    <s v=""/>
    <n v="0"/>
    <n v="0"/>
    <n v="0"/>
    <n v="0"/>
    <n v="0"/>
    <n v="0"/>
    <n v="0"/>
    <n v="0"/>
    <x v="1"/>
  </r>
  <r>
    <x v="54"/>
    <n v="0"/>
    <x v="8"/>
    <n v="5"/>
    <s v="MAI"/>
    <n v="0"/>
    <x v="8"/>
    <n v="0"/>
    <x v="2"/>
    <s v=""/>
    <n v="0"/>
    <n v="0"/>
    <n v="0"/>
    <n v="0"/>
    <n v="0"/>
    <n v="0"/>
    <n v="0"/>
    <n v="0"/>
    <x v="1"/>
  </r>
  <r>
    <x v="55"/>
    <s v="#LISATHAMN "/>
    <x v="9"/>
    <n v="5"/>
    <s v="MAI"/>
    <s v="MAI"/>
    <x v="9"/>
    <n v="16"/>
    <x v="1"/>
    <d v="1899-12-30T00:35:00"/>
    <n v="2.1"/>
    <n v="3.7084599333748214"/>
    <n v="2.23"/>
    <n v="3.8228571428571558"/>
    <n v="1"/>
    <n v="1.4609805240021394"/>
    <n v="1.7700884697690147"/>
    <n v="2.0987121617933919"/>
    <x v="2"/>
  </r>
  <r>
    <x v="55"/>
    <n v="0"/>
    <x v="9"/>
    <n v="5"/>
    <s v="MAI"/>
    <n v="0"/>
    <x v="9"/>
    <n v="0"/>
    <x v="1"/>
    <s v=""/>
    <n v="0"/>
    <n v="0"/>
    <n v="0"/>
    <n v="0"/>
    <n v="0"/>
    <n v="0"/>
    <n v="0"/>
    <n v="0"/>
    <x v="2"/>
  </r>
  <r>
    <x v="55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5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6"/>
    <s v="#LI1G8EZTK "/>
    <x v="9"/>
    <n v="5"/>
    <s v="MAI"/>
    <n v="0"/>
    <x v="9"/>
    <n v="0"/>
    <x v="1"/>
    <d v="1899-12-30T00:30:00"/>
    <n v="2.31"/>
    <n v="4.0793059267123031"/>
    <n v="2.89"/>
    <n v="5.7799999999999896"/>
    <n v="1"/>
    <n v="1.8933783472494095"/>
    <n v="2.2939711558889924"/>
    <n v="2.7198556715618398"/>
    <x v="2"/>
  </r>
  <r>
    <x v="56"/>
    <n v="0"/>
    <x v="9"/>
    <n v="5"/>
    <s v="MAI"/>
    <n v="0"/>
    <x v="9"/>
    <n v="0"/>
    <x v="3"/>
    <s v=""/>
    <n v="0"/>
    <n v="0"/>
    <n v="0"/>
    <n v="0"/>
    <n v="0"/>
    <n v="0"/>
    <n v="0"/>
    <n v="0"/>
    <x v="2"/>
  </r>
  <r>
    <x v="56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6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7"/>
    <s v="#LIPRCKKJ9 "/>
    <x v="9"/>
    <n v="5"/>
    <s v="MAI"/>
    <n v="0"/>
    <x v="9"/>
    <n v="0"/>
    <x v="3"/>
    <d v="1899-12-30T00:33:00"/>
    <n v="7.49"/>
    <n v="13.226840429036862"/>
    <n v="4.12"/>
    <n v="7.4909090909090814"/>
    <n v="1"/>
    <n v="2.6992106542102308"/>
    <n v="3.2702979800216774"/>
    <n v="3.8774413034030379"/>
    <x v="2"/>
  </r>
  <r>
    <x v="57"/>
    <n v="0"/>
    <x v="9"/>
    <n v="5"/>
    <s v="MAI"/>
    <n v="0"/>
    <x v="9"/>
    <n v="0"/>
    <x v="3"/>
    <s v=""/>
    <n v="0"/>
    <n v="0"/>
    <n v="0"/>
    <n v="0"/>
    <n v="0"/>
    <n v="0"/>
    <n v="0"/>
    <n v="0"/>
    <x v="2"/>
  </r>
  <r>
    <x v="57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7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8"/>
    <s v="#LIAPG16DB "/>
    <x v="9"/>
    <n v="5"/>
    <s v="MAI"/>
    <n v="0"/>
    <x v="9"/>
    <n v="0"/>
    <x v="3"/>
    <d v="1899-12-30T00:36:00"/>
    <n v="8.3000000000000007"/>
    <n v="14.657246403338581"/>
    <n v="4.4000000000000004"/>
    <n v="7.3333333333332948"/>
    <n v="1"/>
    <n v="2.8826521549818001"/>
    <n v="3.49255124079985"/>
    <n v="4.140956731789653"/>
    <x v="2"/>
  </r>
  <r>
    <x v="58"/>
    <n v="0"/>
    <x v="9"/>
    <n v="5"/>
    <s v="MAI"/>
    <n v="0"/>
    <x v="9"/>
    <n v="0"/>
    <x v="5"/>
    <s v=""/>
    <n v="0"/>
    <n v="0"/>
    <n v="0"/>
    <n v="0"/>
    <n v="0"/>
    <n v="0"/>
    <n v="0"/>
    <n v="0"/>
    <x v="2"/>
  </r>
  <r>
    <x v="58"/>
    <n v="0"/>
    <x v="9"/>
    <n v="5"/>
    <s v="MAI"/>
    <n v="0"/>
    <x v="9"/>
    <n v="0"/>
    <x v="2"/>
    <s v=""/>
    <n v="0"/>
    <n v="0"/>
    <n v="0"/>
    <n v="0"/>
    <n v="0"/>
    <n v="0"/>
    <n v="0"/>
    <n v="0"/>
    <x v="2"/>
  </r>
  <r>
    <x v="59"/>
    <s v="#LIGRWNLZS "/>
    <x v="10"/>
    <n v="5"/>
    <s v="MAI"/>
    <s v="MAI"/>
    <x v="10"/>
    <n v="17"/>
    <x v="7"/>
    <d v="1899-12-30T00:40:00"/>
    <n v="2.6"/>
    <n v="4.5914265841783504"/>
    <n v="3.01"/>
    <n v="4.5149999999999979"/>
    <n v="1"/>
    <n v="1.9719961332943674"/>
    <n v="2.3892225533653515"/>
    <n v="2.832790855156103"/>
    <x v="3"/>
  </r>
  <r>
    <x v="59"/>
    <n v="0"/>
    <x v="10"/>
    <n v="5"/>
    <s v="MAI"/>
    <n v="0"/>
    <x v="10"/>
    <n v="0"/>
    <x v="8"/>
    <s v=""/>
    <n v="0"/>
    <n v="0"/>
    <n v="0"/>
    <n v="0"/>
    <n v="0"/>
    <n v="0"/>
    <n v="0"/>
    <n v="0"/>
    <x v="3"/>
  </r>
  <r>
    <x v="59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59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0"/>
    <s v="#LI119141D "/>
    <x v="10"/>
    <n v="5"/>
    <s v="MAI"/>
    <n v="0"/>
    <x v="10"/>
    <n v="0"/>
    <x v="8"/>
    <d v="1899-12-30T00:44:00"/>
    <n v="5.16"/>
    <n v="9.1122158362924175"/>
    <n v="3.3"/>
    <n v="4.5"/>
    <n v="1"/>
    <n v="2.1619891162363496"/>
    <n v="2.6194134305998871"/>
    <n v="3.1057175488422391"/>
    <x v="3"/>
  </r>
  <r>
    <x v="60"/>
    <n v="0"/>
    <x v="10"/>
    <n v="5"/>
    <s v="MAI"/>
    <n v="0"/>
    <x v="10"/>
    <n v="0"/>
    <x v="9"/>
    <s v=""/>
    <n v="0"/>
    <n v="0"/>
    <n v="0"/>
    <n v="0"/>
    <n v="0"/>
    <n v="0"/>
    <n v="0"/>
    <n v="0"/>
    <x v="3"/>
  </r>
  <r>
    <x v="60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0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1"/>
    <s v="#LI2Z7ZAQ1 "/>
    <x v="10"/>
    <n v="5"/>
    <s v="MAI"/>
    <n v="0"/>
    <x v="10"/>
    <n v="0"/>
    <x v="9"/>
    <d v="1899-12-30T00:56:00"/>
    <n v="4.3899999999999997"/>
    <n v="7.7524471940549828"/>
    <n v="4.05"/>
    <n v="4.3392857142857171"/>
    <n v="1"/>
    <n v="2.6533502790173382"/>
    <n v="3.2147346648271342"/>
    <n v="3.8115624463063842"/>
    <x v="3"/>
  </r>
  <r>
    <x v="61"/>
    <n v="0"/>
    <x v="10"/>
    <n v="5"/>
    <s v="MAI"/>
    <n v="0"/>
    <x v="10"/>
    <n v="0"/>
    <x v="10"/>
    <s v=""/>
    <n v="0"/>
    <n v="0"/>
    <n v="0"/>
    <n v="0"/>
    <n v="0"/>
    <n v="0"/>
    <n v="0"/>
    <n v="0"/>
    <x v="3"/>
  </r>
  <r>
    <x v="61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1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2"/>
    <s v="#LIAKK1XN1 "/>
    <x v="10"/>
    <n v="5"/>
    <s v="MAI"/>
    <n v="0"/>
    <x v="10"/>
    <n v="0"/>
    <x v="0"/>
    <d v="1899-12-30T00:37:00"/>
    <n v="9.57"/>
    <n v="16.899981696379545"/>
    <n v="4.93"/>
    <n v="7.994594594594588"/>
    <n v="1"/>
    <n v="3.2298807100136981"/>
    <n v="3.9132449129871039"/>
    <n v="4.6397537926643144"/>
    <x v="3"/>
  </r>
  <r>
    <x v="62"/>
    <n v="0"/>
    <x v="10"/>
    <n v="5"/>
    <s v="MAI"/>
    <n v="0"/>
    <x v="10"/>
    <n v="0"/>
    <x v="1"/>
    <s v=""/>
    <n v="0"/>
    <n v="0"/>
    <n v="0"/>
    <n v="0"/>
    <n v="0"/>
    <n v="0"/>
    <n v="0"/>
    <n v="0"/>
    <x v="3"/>
  </r>
  <r>
    <x v="62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2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3"/>
    <s v="#LIVQRUHEQ "/>
    <x v="10"/>
    <n v="5"/>
    <s v="MAI"/>
    <n v="0"/>
    <x v="10"/>
    <n v="0"/>
    <x v="1"/>
    <d v="1899-12-30T00:40:00"/>
    <n v="5.68"/>
    <n v="10.030501153128087"/>
    <n v="3.6"/>
    <n v="5.3999999999999977"/>
    <n v="1"/>
    <n v="2.3585335813487451"/>
    <n v="2.857541924290786"/>
    <n v="3.3880555078278976"/>
    <x v="3"/>
  </r>
  <r>
    <x v="63"/>
    <n v="0"/>
    <x v="10"/>
    <n v="5"/>
    <s v="MAI"/>
    <n v="0"/>
    <x v="10"/>
    <n v="0"/>
    <x v="3"/>
    <s v=""/>
    <n v="0"/>
    <n v="0"/>
    <n v="0"/>
    <n v="0"/>
    <n v="0"/>
    <n v="0"/>
    <n v="0"/>
    <n v="0"/>
    <x v="3"/>
  </r>
  <r>
    <x v="63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3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4"/>
    <s v="#LIMJMXRBP "/>
    <x v="10"/>
    <n v="5"/>
    <s v="MAI"/>
    <n v="0"/>
    <x v="10"/>
    <n v="0"/>
    <x v="3"/>
    <d v="1899-12-30T00:27:00"/>
    <n v="5.78"/>
    <n v="10.207094483288794"/>
    <n v="3.52"/>
    <n v="7.8222222222222033"/>
    <n v="1"/>
    <n v="2.3061217239854397"/>
    <n v="2.7940409926398795"/>
    <n v="3.3127653854317218"/>
    <x v="3"/>
  </r>
  <r>
    <x v="64"/>
    <n v="0"/>
    <x v="10"/>
    <n v="5"/>
    <s v="MAI"/>
    <n v="0"/>
    <x v="10"/>
    <n v="0"/>
    <x v="3"/>
    <s v=""/>
    <n v="0"/>
    <n v="0"/>
    <n v="0"/>
    <n v="0"/>
    <n v="0"/>
    <n v="0"/>
    <n v="0"/>
    <n v="0"/>
    <x v="3"/>
  </r>
  <r>
    <x v="64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4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5"/>
    <s v="#LI14LCRJ6 "/>
    <x v="10"/>
    <n v="5"/>
    <s v="MAI"/>
    <n v="0"/>
    <x v="10"/>
    <n v="0"/>
    <x v="3"/>
    <d v="1899-12-30T01:12:00"/>
    <n v="5.51"/>
    <n v="9.7302924918548879"/>
    <n v="5.23"/>
    <n v="4.3583333333333298"/>
    <n v="1"/>
    <n v="3.4264251751260941"/>
    <n v="4.1513734066780037"/>
    <n v="4.9220917516499734"/>
    <x v="3"/>
  </r>
  <r>
    <x v="65"/>
    <n v="0"/>
    <x v="10"/>
    <n v="5"/>
    <s v="MAI"/>
    <n v="0"/>
    <x v="10"/>
    <n v="0"/>
    <x v="4"/>
    <s v=""/>
    <n v="0"/>
    <n v="0"/>
    <n v="0"/>
    <n v="0"/>
    <n v="0"/>
    <n v="0"/>
    <n v="0"/>
    <n v="0"/>
    <x v="3"/>
  </r>
  <r>
    <x v="65"/>
    <n v="0"/>
    <x v="10"/>
    <n v="5"/>
    <s v="MAI"/>
    <n v="0"/>
    <x v="10"/>
    <n v="0"/>
    <x v="2"/>
    <s v=""/>
    <n v="0"/>
    <n v="0"/>
    <n v="0"/>
    <n v="0"/>
    <n v="0"/>
    <n v="0"/>
    <n v="0"/>
    <n v="0"/>
    <x v="3"/>
  </r>
  <r>
    <x v="66"/>
    <s v="#LIU1H1NWU "/>
    <x v="11"/>
    <n v="5"/>
    <s v="MAI"/>
    <s v="MAI"/>
    <x v="11"/>
    <n v="18"/>
    <x v="7"/>
    <d v="1899-12-30T00:42:00"/>
    <n v="5.71"/>
    <n v="10.083479152176301"/>
    <n v="3.57"/>
    <n v="5.1000000000000183"/>
    <n v="1"/>
    <n v="2.3388791348375055"/>
    <n v="2.8337290749216959"/>
    <n v="3.3598217119293312"/>
    <x v="4"/>
  </r>
  <r>
    <x v="66"/>
    <n v="0"/>
    <x v="11"/>
    <n v="5"/>
    <s v="MAI"/>
    <n v="0"/>
    <x v="11"/>
    <n v="0"/>
    <x v="8"/>
    <s v=""/>
    <n v="0"/>
    <n v="0"/>
    <n v="0"/>
    <n v="0"/>
    <n v="0"/>
    <n v="0"/>
    <n v="0"/>
    <n v="0"/>
    <x v="4"/>
  </r>
  <r>
    <x v="66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6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7"/>
    <s v="#LIHBWSEH1 "/>
    <x v="11"/>
    <n v="5"/>
    <s v="MAI"/>
    <n v="0"/>
    <x v="11"/>
    <n v="0"/>
    <x v="1"/>
    <d v="1899-12-30T00:50:00"/>
    <n v="2.9"/>
    <n v="5.1212065746604676"/>
    <n v="3.6"/>
    <n v="4.3200000000000021"/>
    <n v="1"/>
    <n v="2.3585335813487451"/>
    <n v="2.857541924290786"/>
    <n v="3.3880555078278976"/>
    <x v="4"/>
  </r>
  <r>
    <x v="67"/>
    <n v="0"/>
    <x v="11"/>
    <n v="5"/>
    <s v="MAI"/>
    <n v="0"/>
    <x v="11"/>
    <n v="0"/>
    <x v="3"/>
    <s v=""/>
    <n v="0"/>
    <n v="0"/>
    <n v="0"/>
    <n v="0"/>
    <n v="0"/>
    <n v="0"/>
    <n v="0"/>
    <n v="0"/>
    <x v="4"/>
  </r>
  <r>
    <x v="67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7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8"/>
    <s v="#LINL6ZBF9 "/>
    <x v="11"/>
    <n v="5"/>
    <s v="MAI"/>
    <n v="0"/>
    <x v="11"/>
    <n v="0"/>
    <x v="3"/>
    <d v="1899-12-30T00:24:00"/>
    <n v="2.52"/>
    <n v="4.4501519200497857"/>
    <n v="2.48"/>
    <n v="6.2000000000000215"/>
    <n v="1"/>
    <n v="1.6247675782624689"/>
    <n v="1.968528881178097"/>
    <n v="2.3339937942814402"/>
    <x v="4"/>
  </r>
  <r>
    <x v="68"/>
    <n v="0"/>
    <x v="11"/>
    <n v="5"/>
    <s v="MAI"/>
    <n v="0"/>
    <x v="11"/>
    <n v="0"/>
    <x v="3"/>
    <s v=""/>
    <n v="0"/>
    <n v="0"/>
    <n v="0"/>
    <n v="0"/>
    <n v="0"/>
    <n v="0"/>
    <n v="0"/>
    <n v="0"/>
    <x v="4"/>
  </r>
  <r>
    <x v="68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8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9"/>
    <s v="#LILV1DC1T "/>
    <x v="11"/>
    <n v="5"/>
    <s v="MAI"/>
    <n v="0"/>
    <x v="11"/>
    <n v="0"/>
    <x v="3"/>
    <d v="1899-12-30T00:29:00"/>
    <n v="4.4800000000000004"/>
    <n v="7.9113811911996192"/>
    <n v="3.06"/>
    <n v="6.331034482758608"/>
    <n v="1"/>
    <n v="2.0047535441464333"/>
    <n v="2.4289106356471684"/>
    <n v="2.8798471816537128"/>
    <x v="4"/>
  </r>
  <r>
    <x v="69"/>
    <n v="0"/>
    <x v="11"/>
    <n v="5"/>
    <s v="MAI"/>
    <n v="0"/>
    <x v="11"/>
    <n v="0"/>
    <x v="3"/>
    <s v=""/>
    <n v="0"/>
    <n v="0"/>
    <n v="0"/>
    <n v="0"/>
    <n v="0"/>
    <n v="0"/>
    <n v="0"/>
    <n v="0"/>
    <x v="4"/>
  </r>
  <r>
    <x v="69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69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70"/>
    <s v="#LIFUKKG8B "/>
    <x v="11"/>
    <n v="5"/>
    <s v="MAI"/>
    <n v="0"/>
    <x v="11"/>
    <n v="0"/>
    <x v="3"/>
    <d v="1899-12-30T00:38:00"/>
    <n v="7.71"/>
    <n v="13.615345755390415"/>
    <n v="4.46"/>
    <n v="7.0421052631578904"/>
    <n v="1"/>
    <n v="2.9219610480042788"/>
    <n v="3.5401769395380294"/>
    <n v="4.1974243235867839"/>
    <x v="4"/>
  </r>
  <r>
    <x v="70"/>
    <n v="0"/>
    <x v="11"/>
    <n v="5"/>
    <s v="MAI"/>
    <n v="0"/>
    <x v="11"/>
    <n v="0"/>
    <x v="5"/>
    <s v=""/>
    <n v="0"/>
    <n v="0"/>
    <n v="0"/>
    <n v="0"/>
    <n v="0"/>
    <n v="0"/>
    <n v="0"/>
    <n v="0"/>
    <x v="4"/>
  </r>
  <r>
    <x v="70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70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71"/>
    <s v="#LICEZULYB "/>
    <x v="11"/>
    <n v="5"/>
    <s v="MAI"/>
    <n v="0"/>
    <x v="11"/>
    <n v="0"/>
    <x v="5"/>
    <d v="1899-12-30T00:46:00"/>
    <n v="5.78"/>
    <n v="10.207094483288794"/>
    <n v="4.04"/>
    <n v="5.2695652173912855"/>
    <n v="1"/>
    <n v="2.6467987968469253"/>
    <n v="3.2067970483707708"/>
    <n v="3.8021511810068627"/>
    <x v="4"/>
  </r>
  <r>
    <x v="71"/>
    <n v="0"/>
    <x v="11"/>
    <n v="5"/>
    <s v="MAI"/>
    <n v="0"/>
    <x v="11"/>
    <n v="0"/>
    <x v="4"/>
    <s v=""/>
    <n v="0"/>
    <n v="0"/>
    <n v="0"/>
    <n v="0"/>
    <n v="0"/>
    <n v="0"/>
    <n v="0"/>
    <n v="0"/>
    <x v="4"/>
  </r>
  <r>
    <x v="71"/>
    <n v="0"/>
    <x v="11"/>
    <n v="5"/>
    <s v="MAI"/>
    <n v="0"/>
    <x v="11"/>
    <n v="0"/>
    <x v="2"/>
    <s v=""/>
    <n v="0"/>
    <n v="0"/>
    <n v="0"/>
    <n v="0"/>
    <n v="0"/>
    <n v="0"/>
    <n v="0"/>
    <n v="0"/>
    <x v="4"/>
  </r>
  <r>
    <x v="72"/>
    <s v="#LI125JF9K "/>
    <x v="12"/>
    <n v="5"/>
    <s v="MAI"/>
    <s v="MAI"/>
    <x v="12"/>
    <n v="19"/>
    <x v="0"/>
    <d v="1899-12-30T00:30:00"/>
    <n v="5.28"/>
    <n v="9.3241278324852654"/>
    <n v="3.51"/>
    <n v="7.0200000000000244"/>
    <n v="1"/>
    <n v="2.2995702418150263"/>
    <n v="2.7861033761835161"/>
    <n v="3.3033541201321999"/>
    <x v="5"/>
  </r>
  <r>
    <x v="72"/>
    <n v="0"/>
    <x v="12"/>
    <n v="5"/>
    <s v="MAI"/>
    <n v="0"/>
    <x v="12"/>
    <n v="0"/>
    <x v="0"/>
    <s v=""/>
    <n v="0"/>
    <n v="0"/>
    <n v="0"/>
    <n v="0"/>
    <n v="0"/>
    <n v="0"/>
    <n v="0"/>
    <n v="0"/>
    <x v="5"/>
  </r>
  <r>
    <x v="72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2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3"/>
    <s v="#LILKLNU8K "/>
    <x v="12"/>
    <n v="5"/>
    <s v="MAI"/>
    <n v="0"/>
    <x v="12"/>
    <n v="0"/>
    <x v="1"/>
    <d v="1899-12-30T00:31:00"/>
    <n v="6.33"/>
    <n v="11.178357799172675"/>
    <n v="4.4800000000000004"/>
    <n v="8.6709677419354705"/>
    <n v="1"/>
    <n v="2.9350640123451055"/>
    <n v="3.5560521724507561"/>
    <n v="4.2162468541858278"/>
    <x v="5"/>
  </r>
  <r>
    <x v="73"/>
    <n v="0"/>
    <x v="12"/>
    <n v="5"/>
    <s v="MAI"/>
    <n v="0"/>
    <x v="12"/>
    <n v="0"/>
    <x v="1"/>
    <s v=""/>
    <n v="0"/>
    <n v="0"/>
    <n v="0"/>
    <n v="0"/>
    <n v="0"/>
    <n v="0"/>
    <n v="0"/>
    <n v="0"/>
    <x v="5"/>
  </r>
  <r>
    <x v="73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3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4"/>
    <s v="#LIU1XFQ7R "/>
    <x v="12"/>
    <n v="5"/>
    <s v="MAI"/>
    <n v="0"/>
    <x v="12"/>
    <n v="0"/>
    <x v="1"/>
    <d v="1899-12-30T00:32:00"/>
    <n v="8.56"/>
    <n v="15.116389061756415"/>
    <n v="5.52"/>
    <n v="10.349999999999984"/>
    <n v="1"/>
    <n v="3.6164181580680754"/>
    <n v="4.3815642839125379"/>
    <n v="5.1950184453361086"/>
    <x v="5"/>
  </r>
  <r>
    <x v="74"/>
    <n v="0"/>
    <x v="12"/>
    <n v="5"/>
    <s v="MAI"/>
    <n v="0"/>
    <x v="12"/>
    <n v="0"/>
    <x v="3"/>
    <s v=""/>
    <n v="0"/>
    <n v="0"/>
    <n v="0"/>
    <n v="0"/>
    <n v="0"/>
    <n v="0"/>
    <n v="0"/>
    <n v="0"/>
    <x v="5"/>
  </r>
  <r>
    <x v="74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4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5"/>
    <s v="#LIYRWTXDB "/>
    <x v="12"/>
    <n v="5"/>
    <s v="MAI"/>
    <n v="0"/>
    <x v="12"/>
    <n v="0"/>
    <x v="3"/>
    <d v="1899-12-30T00:45:00"/>
    <n v="3.63"/>
    <n v="6.4103378848336199"/>
    <n v="4.0199999999999996"/>
    <n v="5.3599999999999994"/>
    <n v="1"/>
    <n v="2.6336958325060986"/>
    <n v="3.1909218154580441"/>
    <n v="3.7833286504078183"/>
    <x v="5"/>
  </r>
  <r>
    <x v="75"/>
    <n v="0"/>
    <x v="12"/>
    <n v="5"/>
    <s v="MAI"/>
    <n v="0"/>
    <x v="12"/>
    <n v="0"/>
    <x v="3"/>
    <s v=""/>
    <n v="0"/>
    <n v="0"/>
    <n v="0"/>
    <n v="0"/>
    <n v="0"/>
    <n v="0"/>
    <n v="0"/>
    <n v="0"/>
    <x v="5"/>
  </r>
  <r>
    <x v="75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5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6"/>
    <s v="#LIQH17AMF "/>
    <x v="12"/>
    <n v="5"/>
    <s v="MAI"/>
    <n v="0"/>
    <x v="12"/>
    <n v="0"/>
    <x v="5"/>
    <d v="1899-12-30T01:04:00"/>
    <n v="4.8099999999999996"/>
    <n v="8.4941391807299471"/>
    <n v="3.18"/>
    <n v="2.9812500000000033"/>
    <n v="1"/>
    <n v="2.0833713301913916"/>
    <n v="2.5241620331235279"/>
    <n v="2.9927823652479759"/>
    <x v="5"/>
  </r>
  <r>
    <x v="76"/>
    <n v="0"/>
    <x v="12"/>
    <n v="5"/>
    <s v="MAI"/>
    <n v="0"/>
    <x v="12"/>
    <n v="0"/>
    <x v="4"/>
    <s v=""/>
    <n v="0"/>
    <n v="0"/>
    <n v="0"/>
    <n v="0"/>
    <n v="0"/>
    <n v="0"/>
    <n v="0"/>
    <n v="0"/>
    <x v="5"/>
  </r>
  <r>
    <x v="76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6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7"/>
    <s v="#LIUFSZFDF "/>
    <x v="12"/>
    <n v="5"/>
    <s v="MAI"/>
    <n v="0"/>
    <x v="12"/>
    <n v="0"/>
    <x v="5"/>
    <d v="1899-12-30T00:13:00"/>
    <n v="8.42"/>
    <n v="14.869158399531425"/>
    <n v="4.4400000000000004"/>
    <n v="20.492307692307765"/>
    <n v="1"/>
    <n v="2.9088580836634526"/>
    <n v="3.5243017066253031"/>
    <n v="4.1786017929877408"/>
    <x v="5"/>
  </r>
  <r>
    <x v="77"/>
    <n v="0"/>
    <x v="12"/>
    <n v="5"/>
    <s v="MAI"/>
    <n v="0"/>
    <x v="12"/>
    <n v="0"/>
    <x v="5"/>
    <s v=""/>
    <n v="0"/>
    <n v="0"/>
    <n v="0"/>
    <n v="0"/>
    <n v="0"/>
    <n v="0"/>
    <n v="0"/>
    <n v="0"/>
    <x v="5"/>
  </r>
  <r>
    <x v="77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7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8"/>
    <s v="#LIABQ9ABZ "/>
    <x v="12"/>
    <n v="5"/>
    <s v="MAI"/>
    <n v="0"/>
    <x v="12"/>
    <n v="0"/>
    <x v="4"/>
    <d v="1899-12-30T00:47:00"/>
    <n v="6.94"/>
    <n v="12.255577113152981"/>
    <n v="3.92"/>
    <n v="5.0042553191489372"/>
    <n v="1"/>
    <n v="2.5681810108019669"/>
    <n v="3.1115456508944113"/>
    <n v="3.6892159974125991"/>
    <x v="5"/>
  </r>
  <r>
    <x v="78"/>
    <n v="0"/>
    <x v="12"/>
    <n v="5"/>
    <s v="MAI"/>
    <n v="0"/>
    <x v="12"/>
    <n v="0"/>
    <x v="4"/>
    <s v=""/>
    <n v="0"/>
    <n v="0"/>
    <n v="0"/>
    <n v="0"/>
    <n v="0"/>
    <n v="0"/>
    <n v="0"/>
    <n v="0"/>
    <x v="5"/>
  </r>
  <r>
    <x v="78"/>
    <n v="0"/>
    <x v="12"/>
    <n v="5"/>
    <s v="MAI"/>
    <n v="0"/>
    <x v="12"/>
    <n v="0"/>
    <x v="2"/>
    <s v=""/>
    <n v="0"/>
    <n v="0"/>
    <n v="0"/>
    <n v="0"/>
    <n v="0"/>
    <n v="0"/>
    <n v="0"/>
    <n v="0"/>
    <x v="5"/>
  </r>
  <r>
    <x v="79"/>
    <s v="#LIYXKY5MZ "/>
    <x v="13"/>
    <n v="5"/>
    <s v="MAI"/>
    <s v="MAI"/>
    <x v="13"/>
    <n v="20"/>
    <x v="7"/>
    <d v="1899-12-30T00:40:00"/>
    <n v="3.91"/>
    <n v="6.9047992092835964"/>
    <n v="2.86"/>
    <n v="4.2899999999999814"/>
    <n v="1"/>
    <n v="1.8737239007381696"/>
    <n v="2.2701583065199022"/>
    <n v="2.6916218756632739"/>
    <x v="6"/>
  </r>
  <r>
    <x v="79"/>
    <n v="0"/>
    <x v="13"/>
    <n v="5"/>
    <s v="MAI"/>
    <n v="0"/>
    <x v="13"/>
    <n v="0"/>
    <x v="8"/>
    <s v=""/>
    <n v="0"/>
    <n v="0"/>
    <n v="0"/>
    <n v="0"/>
    <n v="0"/>
    <n v="0"/>
    <n v="0"/>
    <n v="0"/>
    <x v="6"/>
  </r>
  <r>
    <x v="79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79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0"/>
    <s v="#LI153UEVM "/>
    <x v="13"/>
    <n v="5"/>
    <s v="MAI"/>
    <n v="0"/>
    <x v="13"/>
    <n v="0"/>
    <x v="8"/>
    <d v="1899-12-30T00:29:00"/>
    <n v="6.19"/>
    <n v="10.931127136947689"/>
    <n v="3.66"/>
    <n v="7.5724137931034754"/>
    <n v="1"/>
    <n v="2.3978424743712243"/>
    <n v="2.9051676230289658"/>
    <n v="3.4445230996250289"/>
    <x v="6"/>
  </r>
  <r>
    <x v="80"/>
    <n v="0"/>
    <x v="13"/>
    <n v="5"/>
    <s v="MAI"/>
    <n v="0"/>
    <x v="13"/>
    <n v="0"/>
    <x v="8"/>
    <s v=""/>
    <n v="0"/>
    <n v="0"/>
    <n v="0"/>
    <n v="0"/>
    <n v="0"/>
    <n v="0"/>
    <n v="0"/>
    <n v="0"/>
    <x v="6"/>
  </r>
  <r>
    <x v="80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0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1"/>
    <s v="#LI81RZUM1 "/>
    <x v="13"/>
    <n v="5"/>
    <s v="MAI"/>
    <n v="0"/>
    <x v="13"/>
    <n v="0"/>
    <x v="9"/>
    <d v="1899-12-30T01:02:00"/>
    <n v="3.48"/>
    <n v="6.1454478895925613"/>
    <n v="2.71"/>
    <n v="2.622580645161293"/>
    <n v="1"/>
    <n v="1.7754516681819721"/>
    <n v="2.151094059674453"/>
    <n v="2.5504528961704449"/>
    <x v="6"/>
  </r>
  <r>
    <x v="81"/>
    <n v="0"/>
    <x v="13"/>
    <n v="5"/>
    <s v="MAI"/>
    <n v="0"/>
    <x v="13"/>
    <n v="0"/>
    <x v="10"/>
    <s v=""/>
    <n v="0"/>
    <n v="0"/>
    <n v="0"/>
    <n v="0"/>
    <n v="0"/>
    <n v="0"/>
    <n v="0"/>
    <n v="0"/>
    <x v="6"/>
  </r>
  <r>
    <x v="81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1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2"/>
    <s v="#LILFGDLUK "/>
    <x v="13"/>
    <n v="5"/>
    <s v="MAI"/>
    <n v="0"/>
    <x v="13"/>
    <n v="0"/>
    <x v="0"/>
    <d v="1899-12-30T00:37:00"/>
    <n v="4.83"/>
    <n v="8.5294578467620887"/>
    <n v="3.19"/>
    <n v="5.172972972973013"/>
    <n v="1"/>
    <n v="2.0899228123618045"/>
    <n v="2.5320996495798909"/>
    <n v="3.0021936305474979"/>
    <x v="6"/>
  </r>
  <r>
    <x v="82"/>
    <n v="0"/>
    <x v="13"/>
    <n v="5"/>
    <s v="MAI"/>
    <n v="0"/>
    <x v="13"/>
    <n v="0"/>
    <x v="1"/>
    <s v=""/>
    <n v="0"/>
    <n v="0"/>
    <n v="0"/>
    <n v="0"/>
    <n v="0"/>
    <n v="0"/>
    <n v="0"/>
    <n v="0"/>
    <x v="6"/>
  </r>
  <r>
    <x v="82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2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3"/>
    <s v="#LIHZLBKWM "/>
    <x v="13"/>
    <n v="5"/>
    <s v="MAI"/>
    <n v="0"/>
    <x v="13"/>
    <n v="0"/>
    <x v="1"/>
    <d v="1899-12-30T00:28:00"/>
    <n v="5.22"/>
    <n v="9.2181718343888406"/>
    <n v="3.98"/>
    <n v="8.528571428571361"/>
    <n v="1"/>
    <n v="2.6074899038244461"/>
    <n v="3.1591713496325911"/>
    <n v="3.7456835892097309"/>
    <x v="6"/>
  </r>
  <r>
    <x v="83"/>
    <n v="0"/>
    <x v="13"/>
    <n v="5"/>
    <s v="MAI"/>
    <n v="0"/>
    <x v="13"/>
    <n v="0"/>
    <x v="1"/>
    <s v=""/>
    <n v="0"/>
    <n v="0"/>
    <n v="0"/>
    <n v="0"/>
    <n v="0"/>
    <n v="0"/>
    <n v="0"/>
    <n v="0"/>
    <x v="6"/>
  </r>
  <r>
    <x v="83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3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4"/>
    <s v="#LI2CZSYA1 "/>
    <x v="13"/>
    <n v="5"/>
    <s v="MAI"/>
    <n v="0"/>
    <x v="13"/>
    <n v="0"/>
    <x v="1"/>
    <d v="1899-12-30T00:43:00"/>
    <n v="7.7"/>
    <n v="13.597686422374345"/>
    <n v="5.0199999999999996"/>
    <n v="7.0046511627907222"/>
    <n v="1"/>
    <n v="3.2888440495474165"/>
    <n v="3.9846834610943733"/>
    <n v="4.7244551803600121"/>
    <x v="6"/>
  </r>
  <r>
    <x v="84"/>
    <n v="0"/>
    <x v="13"/>
    <n v="5"/>
    <s v="MAI"/>
    <n v="0"/>
    <x v="13"/>
    <n v="0"/>
    <x v="3"/>
    <s v=""/>
    <n v="0"/>
    <n v="0"/>
    <n v="0"/>
    <n v="0"/>
    <n v="0"/>
    <n v="0"/>
    <n v="0"/>
    <n v="0"/>
    <x v="6"/>
  </r>
  <r>
    <x v="84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4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5"/>
    <s v="#LIF4LYCEE "/>
    <x v="13"/>
    <n v="5"/>
    <s v="MAI"/>
    <n v="0"/>
    <x v="13"/>
    <n v="0"/>
    <x v="3"/>
    <d v="1899-12-30T00:20:00"/>
    <n v="4.2"/>
    <n v="7.4169198667496428"/>
    <n v="3.86"/>
    <n v="11.57999999999995"/>
    <n v="1"/>
    <n v="2.5288721177794877"/>
    <n v="3.0639199521562315"/>
    <n v="3.6327484056154677"/>
    <x v="6"/>
  </r>
  <r>
    <x v="85"/>
    <n v="0"/>
    <x v="13"/>
    <n v="5"/>
    <s v="MAI"/>
    <n v="0"/>
    <x v="13"/>
    <n v="0"/>
    <x v="3"/>
    <s v=""/>
    <n v="0"/>
    <n v="0"/>
    <n v="0"/>
    <n v="0"/>
    <n v="0"/>
    <n v="0"/>
    <n v="0"/>
    <n v="0"/>
    <x v="6"/>
  </r>
  <r>
    <x v="85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5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6"/>
    <s v="#LIUSYWLD9 "/>
    <x v="13"/>
    <n v="5"/>
    <s v="MAI"/>
    <n v="0"/>
    <x v="13"/>
    <n v="0"/>
    <x v="3"/>
    <d v="1899-12-30T00:39:00"/>
    <n v="12.14"/>
    <n v="21.438430281509682"/>
    <n v="7.54"/>
    <n v="11.599999999999994"/>
    <n v="1"/>
    <n v="4.9398175564915388"/>
    <n v="5.984962808097924"/>
    <n v="7.0960940358395401"/>
    <x v="6"/>
  </r>
  <r>
    <x v="86"/>
    <n v="0"/>
    <x v="13"/>
    <n v="5"/>
    <s v="MAI"/>
    <n v="0"/>
    <x v="13"/>
    <n v="0"/>
    <x v="5"/>
    <s v=""/>
    <n v="0"/>
    <n v="0"/>
    <n v="0"/>
    <n v="0"/>
    <n v="0"/>
    <n v="0"/>
    <n v="0"/>
    <n v="0"/>
    <x v="6"/>
  </r>
  <r>
    <x v="86"/>
    <n v="0"/>
    <x v="13"/>
    <n v="5"/>
    <s v="MAI"/>
    <n v="0"/>
    <x v="13"/>
    <n v="0"/>
    <x v="2"/>
    <s v=""/>
    <n v="0"/>
    <n v="0"/>
    <n v="0"/>
    <n v="0"/>
    <n v="0"/>
    <n v="0"/>
    <n v="0"/>
    <n v="0"/>
    <x v="6"/>
  </r>
  <r>
    <x v="87"/>
    <s v="#LITCE4LVL "/>
    <x v="14"/>
    <n v="5"/>
    <s v="MAI"/>
    <s v="MAI"/>
    <x v="14"/>
    <n v="22"/>
    <x v="7"/>
    <d v="1899-12-30T01:04:00"/>
    <n v="5.67"/>
    <n v="10.012841820112017"/>
    <n v="3.72"/>
    <n v="3.4874999999999949"/>
    <n v="1"/>
    <n v="2.4371513673937035"/>
    <n v="2.9527933217671456"/>
    <n v="3.5009906914221607"/>
    <x v="1"/>
  </r>
  <r>
    <x v="87"/>
    <n v="0"/>
    <x v="14"/>
    <n v="5"/>
    <s v="MAI"/>
    <n v="0"/>
    <x v="14"/>
    <n v="0"/>
    <x v="8"/>
    <s v=""/>
    <n v="0"/>
    <n v="0"/>
    <n v="0"/>
    <n v="0"/>
    <n v="0"/>
    <n v="0"/>
    <n v="0"/>
    <n v="0"/>
    <x v="1"/>
  </r>
  <r>
    <x v="87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87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88"/>
    <s v="#LIQAD9SRP "/>
    <x v="14"/>
    <n v="5"/>
    <s v="MAI"/>
    <n v="0"/>
    <x v="14"/>
    <n v="0"/>
    <x v="8"/>
    <d v="1899-12-30T00:43:00"/>
    <n v="11.45"/>
    <n v="20.219936303400811"/>
    <n v="5.51"/>
    <n v="7.6883720930232542"/>
    <n v="1"/>
    <n v="3.6098666758976625"/>
    <n v="4.3736266674561755"/>
    <n v="5.1856071800365875"/>
    <x v="1"/>
  </r>
  <r>
    <x v="88"/>
    <n v="0"/>
    <x v="14"/>
    <n v="5"/>
    <s v="MAI"/>
    <n v="0"/>
    <x v="14"/>
    <n v="0"/>
    <x v="8"/>
    <s v=""/>
    <n v="0"/>
    <n v="0"/>
    <n v="0"/>
    <n v="0"/>
    <n v="0"/>
    <n v="0"/>
    <n v="0"/>
    <n v="0"/>
    <x v="1"/>
  </r>
  <r>
    <x v="88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88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89"/>
    <s v="#LIJUC1KL1 "/>
    <x v="14"/>
    <n v="5"/>
    <s v="MAI"/>
    <n v="0"/>
    <x v="14"/>
    <n v="0"/>
    <x v="0"/>
    <d v="1899-12-30T00:40:00"/>
    <n v="6.05"/>
    <n v="10.683896474722699"/>
    <n v="3.84"/>
    <n v="5.7600000000000202"/>
    <n v="1"/>
    <n v="2.5157691534386615"/>
    <n v="3.0480447192435052"/>
    <n v="3.6139258750164238"/>
    <x v="1"/>
  </r>
  <r>
    <x v="89"/>
    <n v="0"/>
    <x v="14"/>
    <n v="5"/>
    <s v="MAI"/>
    <n v="0"/>
    <x v="14"/>
    <n v="0"/>
    <x v="0"/>
    <s v=""/>
    <n v="0"/>
    <n v="0"/>
    <n v="0"/>
    <n v="0"/>
    <n v="0"/>
    <n v="0"/>
    <n v="0"/>
    <n v="0"/>
    <x v="1"/>
  </r>
  <r>
    <x v="89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89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90"/>
    <s v="#LIGA968JP "/>
    <x v="14"/>
    <n v="5"/>
    <s v="MAI"/>
    <n v="0"/>
    <x v="14"/>
    <n v="0"/>
    <x v="0"/>
    <d v="1899-12-30T00:34:00"/>
    <n v="6.12"/>
    <n v="10.807511805835194"/>
    <n v="3.64"/>
    <n v="6.4235294117647292"/>
    <n v="1"/>
    <n v="2.3847395100303981"/>
    <n v="2.8892923901162395"/>
    <n v="3.4257005690259854"/>
    <x v="1"/>
  </r>
  <r>
    <x v="90"/>
    <n v="0"/>
    <x v="14"/>
    <n v="5"/>
    <s v="MAI"/>
    <n v="0"/>
    <x v="14"/>
    <n v="0"/>
    <x v="1"/>
    <s v=""/>
    <n v="0"/>
    <n v="0"/>
    <n v="0"/>
    <n v="0"/>
    <n v="0"/>
    <n v="0"/>
    <n v="0"/>
    <n v="0"/>
    <x v="1"/>
  </r>
  <r>
    <x v="90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90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91"/>
    <s v="#LIQLAPGPW "/>
    <x v="14"/>
    <n v="5"/>
    <s v="MAI"/>
    <n v="0"/>
    <x v="14"/>
    <n v="0"/>
    <x v="1"/>
    <d v="1899-12-30T00:53:00"/>
    <n v="8.1999999999999993"/>
    <n v="14.480653073177873"/>
    <n v="5.08"/>
    <n v="5.7509433962264183"/>
    <n v="1"/>
    <n v="3.3281529425698961"/>
    <n v="4.032309159832554"/>
    <n v="4.7809227721571439"/>
    <x v="1"/>
  </r>
  <r>
    <x v="91"/>
    <n v="0"/>
    <x v="14"/>
    <n v="5"/>
    <s v="MAI"/>
    <n v="0"/>
    <x v="14"/>
    <n v="0"/>
    <x v="3"/>
    <s v=""/>
    <n v="0"/>
    <n v="0"/>
    <n v="0"/>
    <n v="0"/>
    <n v="0"/>
    <n v="0"/>
    <n v="0"/>
    <n v="0"/>
    <x v="1"/>
  </r>
  <r>
    <x v="91"/>
    <n v="0"/>
    <x v="14"/>
    <n v="5"/>
    <s v="MAI"/>
    <n v="0"/>
    <x v="14"/>
    <n v="0"/>
    <x v="2"/>
    <s v=""/>
    <n v="0"/>
    <n v="0"/>
    <n v="0"/>
    <n v="0"/>
    <n v="0"/>
    <n v="0"/>
    <n v="0"/>
    <n v="0"/>
    <x v="1"/>
  </r>
  <r>
    <x v="92"/>
    <s v="#LI9AMCSU3 "/>
    <x v="15"/>
    <n v="5"/>
    <s v="MAI"/>
    <s v="MAI"/>
    <x v="15"/>
    <n v="23"/>
    <x v="7"/>
    <d v="1899-12-30T00:33:00"/>
    <n v="4.0199999999999996"/>
    <n v="7.0990518724603717"/>
    <n v="2.9"/>
    <n v="5.2727272727272654"/>
    <n v="1"/>
    <n v="1.8999298294198224"/>
    <n v="2.3019087723453553"/>
    <n v="2.7292669368613618"/>
    <x v="2"/>
  </r>
  <r>
    <x v="92"/>
    <n v="0"/>
    <x v="15"/>
    <n v="5"/>
    <s v="MAI"/>
    <n v="0"/>
    <x v="15"/>
    <n v="0"/>
    <x v="8"/>
    <s v=""/>
    <n v="0"/>
    <n v="0"/>
    <n v="0"/>
    <n v="0"/>
    <n v="0"/>
    <n v="0"/>
    <n v="0"/>
    <n v="0"/>
    <x v="2"/>
  </r>
  <r>
    <x v="92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2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3"/>
    <s v="#LI47TLEXX "/>
    <x v="15"/>
    <n v="5"/>
    <s v="MAI"/>
    <n v="0"/>
    <x v="15"/>
    <n v="0"/>
    <x v="8"/>
    <d v="1899-12-30T00:27:00"/>
    <n v="4.5"/>
    <n v="7.94669985723176"/>
    <n v="3.07"/>
    <n v="6.822222222222206"/>
    <n v="1"/>
    <n v="2.0113050263168466"/>
    <n v="2.4368482521035313"/>
    <n v="2.8892584469532343"/>
    <x v="2"/>
  </r>
  <r>
    <x v="93"/>
    <n v="0"/>
    <x v="15"/>
    <n v="5"/>
    <s v="MAI"/>
    <n v="0"/>
    <x v="15"/>
    <n v="0"/>
    <x v="8"/>
    <s v=""/>
    <n v="0"/>
    <n v="0"/>
    <n v="0"/>
    <n v="0"/>
    <n v="0"/>
    <n v="0"/>
    <n v="0"/>
    <n v="0"/>
    <x v="2"/>
  </r>
  <r>
    <x v="93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3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4"/>
    <s v="#LIBSJLHYF "/>
    <x v="15"/>
    <n v="5"/>
    <s v="MAI"/>
    <n v="0"/>
    <x v="15"/>
    <n v="0"/>
    <x v="0"/>
    <d v="1899-12-30T00:59:00"/>
    <n v="3.09"/>
    <n v="5.4567339019658085"/>
    <n v="3.18"/>
    <n v="3.2338983050847401"/>
    <n v="1"/>
    <n v="2.0833713301913916"/>
    <n v="2.5241620331235279"/>
    <n v="2.9927823652479759"/>
    <x v="2"/>
  </r>
  <r>
    <x v="94"/>
    <n v="0"/>
    <x v="15"/>
    <n v="5"/>
    <s v="MAI"/>
    <n v="0"/>
    <x v="15"/>
    <n v="0"/>
    <x v="1"/>
    <s v=""/>
    <n v="0"/>
    <n v="0"/>
    <n v="0"/>
    <n v="0"/>
    <n v="0"/>
    <n v="0"/>
    <n v="0"/>
    <n v="0"/>
    <x v="2"/>
  </r>
  <r>
    <x v="94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4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5"/>
    <s v="#LIYX9EGLJ "/>
    <x v="15"/>
    <n v="5"/>
    <s v="MAI"/>
    <n v="0"/>
    <x v="15"/>
    <n v="0"/>
    <x v="1"/>
    <d v="1899-12-30T00:37:00"/>
    <n v="8.74"/>
    <n v="15.434257056045684"/>
    <n v="4.55"/>
    <n v="7.3783783783783727"/>
    <n v="1"/>
    <n v="2.9809243875379972"/>
    <n v="3.6116154876452988"/>
    <n v="4.2821257112824815"/>
    <x v="2"/>
  </r>
  <r>
    <x v="95"/>
    <n v="0"/>
    <x v="15"/>
    <n v="5"/>
    <s v="MAI"/>
    <n v="0"/>
    <x v="15"/>
    <n v="0"/>
    <x v="1"/>
    <s v=""/>
    <n v="0"/>
    <n v="0"/>
    <n v="0"/>
    <n v="0"/>
    <n v="0"/>
    <n v="0"/>
    <n v="0"/>
    <n v="0"/>
    <x v="2"/>
  </r>
  <r>
    <x v="95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5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6"/>
    <s v="#LI1JMJBSS "/>
    <x v="15"/>
    <n v="5"/>
    <s v="MAI"/>
    <n v="0"/>
    <x v="15"/>
    <n v="0"/>
    <x v="1"/>
    <d v="1899-12-30T00:39:00"/>
    <n v="9.0500000000000007"/>
    <n v="15.981696379543873"/>
    <n v="4.66"/>
    <n v="7.169230769230766"/>
    <n v="1"/>
    <n v="3.0529906914125422"/>
    <n v="3.6989292686652955"/>
    <n v="4.3856496295772232"/>
    <x v="2"/>
  </r>
  <r>
    <x v="96"/>
    <n v="0"/>
    <x v="15"/>
    <n v="5"/>
    <s v="MAI"/>
    <n v="0"/>
    <x v="15"/>
    <n v="0"/>
    <x v="3"/>
    <s v=""/>
    <n v="0"/>
    <n v="0"/>
    <n v="0"/>
    <n v="0"/>
    <n v="0"/>
    <n v="0"/>
    <n v="0"/>
    <n v="0"/>
    <x v="2"/>
  </r>
  <r>
    <x v="96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6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7"/>
    <s v="#LIAKLDKEH "/>
    <x v="15"/>
    <n v="5"/>
    <s v="MAI"/>
    <n v="0"/>
    <x v="15"/>
    <n v="0"/>
    <x v="3"/>
    <d v="1899-12-30T00:28:00"/>
    <n v="2.98"/>
    <n v="5.2624812387890323"/>
    <n v="2.54"/>
    <n v="5.4428571428571626"/>
    <n v="1"/>
    <n v="1.6640764712849481"/>
    <n v="2.016154579916277"/>
    <n v="2.3904613860785719"/>
    <x v="2"/>
  </r>
  <r>
    <x v="97"/>
    <n v="0"/>
    <x v="15"/>
    <n v="5"/>
    <s v="MAI"/>
    <n v="0"/>
    <x v="15"/>
    <n v="0"/>
    <x v="3"/>
    <s v=""/>
    <n v="0"/>
    <n v="0"/>
    <n v="0"/>
    <n v="0"/>
    <n v="0"/>
    <n v="0"/>
    <n v="0"/>
    <n v="0"/>
    <x v="2"/>
  </r>
  <r>
    <x v="97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7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8"/>
    <s v="#LIQJGPLQ5 "/>
    <x v="15"/>
    <n v="5"/>
    <s v="MAI"/>
    <n v="0"/>
    <x v="15"/>
    <n v="0"/>
    <x v="5"/>
    <d v="1899-12-30T00:17:00"/>
    <n v="3.04"/>
    <n v="5.3684372368854554"/>
    <n v="2.56"/>
    <n v="9.0352941176470054"/>
    <n v="1"/>
    <n v="1.6771794356257743"/>
    <n v="2.0320298128290033"/>
    <n v="2.4092839166776159"/>
    <x v="2"/>
  </r>
  <r>
    <x v="98"/>
    <n v="0"/>
    <x v="15"/>
    <n v="5"/>
    <s v="MAI"/>
    <n v="0"/>
    <x v="15"/>
    <n v="0"/>
    <x v="5"/>
    <s v=""/>
    <n v="0"/>
    <n v="0"/>
    <n v="0"/>
    <n v="0"/>
    <n v="0"/>
    <n v="0"/>
    <n v="0"/>
    <n v="0"/>
    <x v="2"/>
  </r>
  <r>
    <x v="98"/>
    <n v="0"/>
    <x v="15"/>
    <n v="5"/>
    <s v="MAI"/>
    <n v="0"/>
    <x v="15"/>
    <n v="0"/>
    <x v="2"/>
    <s v=""/>
    <n v="0"/>
    <n v="0"/>
    <n v="0"/>
    <n v="0"/>
    <n v="0"/>
    <n v="0"/>
    <n v="0"/>
    <n v="0"/>
    <x v="2"/>
  </r>
  <r>
    <x v="99"/>
    <s v="#LIS1S1424 "/>
    <x v="16"/>
    <n v="5"/>
    <s v="MAI"/>
    <s v="MAI"/>
    <x v="16"/>
    <n v="24"/>
    <x v="8"/>
    <d v="1899-12-30T00:39:00"/>
    <n v="8.27"/>
    <n v="14.604268404290368"/>
    <n v="5.7"/>
    <n v="8.7692307692307647"/>
    <n v="1"/>
    <n v="3.7343448371355135"/>
    <n v="4.5244413801270777"/>
    <n v="5.3644212207275039"/>
    <x v="3"/>
  </r>
  <r>
    <x v="99"/>
    <n v="0"/>
    <x v="16"/>
    <n v="5"/>
    <s v="MAI"/>
    <n v="0"/>
    <x v="16"/>
    <n v="0"/>
    <x v="9"/>
    <s v=""/>
    <n v="0"/>
    <n v="0"/>
    <n v="0"/>
    <n v="0"/>
    <n v="0"/>
    <n v="0"/>
    <n v="0"/>
    <n v="0"/>
    <x v="3"/>
  </r>
  <r>
    <x v="99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99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0"/>
    <s v="#LICZMSEF1 "/>
    <x v="16"/>
    <n v="5"/>
    <s v="MAI"/>
    <n v="0"/>
    <x v="16"/>
    <n v="0"/>
    <x v="9"/>
    <d v="1899-12-30T00:52:00"/>
    <n v="4.8899999999999997"/>
    <n v="8.6354138448585118"/>
    <n v="4.17"/>
    <n v="4.8115384615384489"/>
    <n v="1"/>
    <n v="2.7319680650622966"/>
    <n v="3.3099860623034938"/>
    <n v="3.9244976299006478"/>
    <x v="3"/>
  </r>
  <r>
    <x v="100"/>
    <n v="0"/>
    <x v="16"/>
    <n v="5"/>
    <s v="MAI"/>
    <n v="0"/>
    <x v="16"/>
    <n v="0"/>
    <x v="10"/>
    <s v=""/>
    <n v="0"/>
    <n v="0"/>
    <n v="0"/>
    <n v="0"/>
    <n v="0"/>
    <n v="0"/>
    <n v="0"/>
    <n v="0"/>
    <x v="3"/>
  </r>
  <r>
    <x v="100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0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1"/>
    <s v="#LIL3UTNX6 "/>
    <x v="16"/>
    <n v="5"/>
    <s v="MAI"/>
    <n v="0"/>
    <x v="16"/>
    <n v="0"/>
    <x v="0"/>
    <d v="1899-12-30T01:13:00"/>
    <n v="9.85"/>
    <n v="17.394443020829517"/>
    <n v="6.42"/>
    <n v="5.2767123287671316"/>
    <n v="1"/>
    <n v="4.2060515534052625"/>
    <n v="5.0959497649852352"/>
    <n v="6.0420323222930836"/>
    <x v="3"/>
  </r>
  <r>
    <x v="101"/>
    <n v="0"/>
    <x v="16"/>
    <n v="5"/>
    <s v="MAI"/>
    <n v="0"/>
    <x v="16"/>
    <n v="0"/>
    <x v="1"/>
    <s v=""/>
    <n v="0"/>
    <n v="0"/>
    <n v="0"/>
    <n v="0"/>
    <n v="0"/>
    <n v="0"/>
    <n v="0"/>
    <n v="0"/>
    <x v="3"/>
  </r>
  <r>
    <x v="101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1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2"/>
    <s v="#LILCAQXGQ "/>
    <x v="16"/>
    <n v="5"/>
    <s v="MAI"/>
    <n v="0"/>
    <x v="16"/>
    <n v="0"/>
    <x v="1"/>
    <d v="1899-12-30T00:45:00"/>
    <n v="8.08"/>
    <n v="14.268741076985027"/>
    <n v="5.61"/>
    <n v="7.48"/>
    <n v="1"/>
    <n v="3.6753814976017947"/>
    <n v="4.4530028320198083"/>
    <n v="5.2797198330318071"/>
    <x v="3"/>
  </r>
  <r>
    <x v="102"/>
    <n v="0"/>
    <x v="16"/>
    <n v="5"/>
    <s v="MAI"/>
    <n v="0"/>
    <x v="16"/>
    <n v="0"/>
    <x v="3"/>
    <s v=""/>
    <n v="0"/>
    <n v="0"/>
    <n v="0"/>
    <n v="0"/>
    <n v="0"/>
    <n v="0"/>
    <n v="0"/>
    <n v="0"/>
    <x v="3"/>
  </r>
  <r>
    <x v="102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2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3"/>
    <s v="#LIH8XYY1M "/>
    <x v="16"/>
    <n v="5"/>
    <s v="MAI"/>
    <n v="0"/>
    <x v="16"/>
    <n v="0"/>
    <x v="3"/>
    <d v="1899-12-30T00:33:00"/>
    <n v="9.25"/>
    <n v="16.334883039865286"/>
    <n v="6.85"/>
    <n v="12.454545454545498"/>
    <n v="1"/>
    <n v="4.4877652867330289"/>
    <n v="5.4372672726088567"/>
    <n v="6.4467167301725263"/>
    <x v="3"/>
  </r>
  <r>
    <x v="103"/>
    <n v="0"/>
    <x v="16"/>
    <n v="5"/>
    <s v="MAI"/>
    <n v="0"/>
    <x v="16"/>
    <n v="0"/>
    <x v="3"/>
    <s v=""/>
    <n v="0"/>
    <n v="0"/>
    <n v="0"/>
    <n v="0"/>
    <n v="0"/>
    <n v="0"/>
    <n v="0"/>
    <n v="0"/>
    <x v="3"/>
  </r>
  <r>
    <x v="103"/>
    <n v="0"/>
    <x v="16"/>
    <n v="5"/>
    <s v="MAI"/>
    <n v="0"/>
    <x v="16"/>
    <n v="0"/>
    <x v="3"/>
    <s v=""/>
    <n v="0"/>
    <n v="0"/>
    <n v="14.21"/>
    <n v="0"/>
    <n v="0"/>
    <n v="9.3096561641571309"/>
    <n v="11.279352984492242"/>
    <n v="13.373407990620674"/>
    <x v="3"/>
  </r>
  <r>
    <x v="103"/>
    <n v="0"/>
    <x v="16"/>
    <n v="5"/>
    <s v="MAI"/>
    <n v="0"/>
    <x v="16"/>
    <n v="0"/>
    <x v="2"/>
    <s v=""/>
    <n v="0"/>
    <n v="0"/>
    <n v="0"/>
    <n v="0"/>
    <n v="0"/>
    <n v="0"/>
    <n v="0"/>
    <n v="0"/>
    <x v="3"/>
  </r>
  <r>
    <x v="104"/>
    <s v="#LI4FE12HW "/>
    <x v="17"/>
    <n v="5"/>
    <s v="MAI"/>
    <s v="MAI"/>
    <x v="17"/>
    <n v="25"/>
    <x v="8"/>
    <d v="1899-12-30T00:58:00"/>
    <n v="12.97"/>
    <n v="22.904154921843539"/>
    <n v="6.11"/>
    <n v="6.3206896551724192"/>
    <n v="1"/>
    <n v="4.0029556061224536"/>
    <n v="4.8498836548379733"/>
    <n v="5.7502830980079036"/>
    <x v="4"/>
  </r>
  <r>
    <x v="104"/>
    <n v="0"/>
    <x v="17"/>
    <n v="5"/>
    <s v="MAI"/>
    <n v="0"/>
    <x v="17"/>
    <n v="0"/>
    <x v="9"/>
    <s v=""/>
    <n v="0"/>
    <n v="0"/>
    <n v="0"/>
    <n v="0"/>
    <n v="0"/>
    <n v="0"/>
    <n v="0"/>
    <n v="0"/>
    <x v="4"/>
  </r>
  <r>
    <x v="104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4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5"/>
    <s v="#LIWYECNVF "/>
    <x v="17"/>
    <n v="5"/>
    <s v="MAI"/>
    <n v="0"/>
    <x v="17"/>
    <n v="0"/>
    <x v="0"/>
    <d v="1899-12-30T00:52:00"/>
    <n v="10.66"/>
    <n v="18.824848995131237"/>
    <n v="5.22"/>
    <n v="6.0230769230769257"/>
    <n v="1"/>
    <n v="3.4198736929556803"/>
    <n v="4.1434357902216394"/>
    <n v="4.9126804863504505"/>
    <x v="4"/>
  </r>
  <r>
    <x v="105"/>
    <n v="0"/>
    <x v="17"/>
    <n v="5"/>
    <s v="MAI"/>
    <n v="0"/>
    <x v="17"/>
    <n v="0"/>
    <x v="1"/>
    <s v=""/>
    <n v="0"/>
    <n v="0"/>
    <n v="0"/>
    <n v="0"/>
    <n v="0"/>
    <n v="0"/>
    <n v="0"/>
    <n v="0"/>
    <x v="4"/>
  </r>
  <r>
    <x v="105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5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6"/>
    <s v="#LIAMY9A3G "/>
    <x v="17"/>
    <n v="5"/>
    <s v="MAI"/>
    <n v="0"/>
    <x v="17"/>
    <n v="0"/>
    <x v="1"/>
    <d v="1899-12-30T00:29:00"/>
    <n v="6.32"/>
    <n v="11.160698466156605"/>
    <n v="3.71"/>
    <n v="7.6758620689655022"/>
    <n v="1"/>
    <n v="2.4305998852232902"/>
    <n v="2.9448557053107822"/>
    <n v="3.4915794261226387"/>
    <x v="4"/>
  </r>
  <r>
    <x v="106"/>
    <n v="0"/>
    <x v="17"/>
    <n v="5"/>
    <s v="MAI"/>
    <n v="0"/>
    <x v="17"/>
    <n v="0"/>
    <x v="1"/>
    <s v=""/>
    <n v="0"/>
    <n v="0"/>
    <n v="0"/>
    <n v="0"/>
    <n v="0"/>
    <n v="0"/>
    <n v="0"/>
    <n v="0"/>
    <x v="4"/>
  </r>
  <r>
    <x v="106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6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7"/>
    <s v="#LIKV7EF39 "/>
    <x v="17"/>
    <n v="5"/>
    <s v="MAI"/>
    <n v="0"/>
    <x v="17"/>
    <n v="0"/>
    <x v="3"/>
    <d v="1899-12-30T00:28:00"/>
    <n v="7.65"/>
    <n v="13.509389757293992"/>
    <n v="4.83"/>
    <n v="10.350000000000037"/>
    <n v="1"/>
    <n v="3.1643658883095664"/>
    <n v="3.8338687484234715"/>
    <n v="4.5456411396690957"/>
    <x v="4"/>
  </r>
  <r>
    <x v="107"/>
    <n v="0"/>
    <x v="17"/>
    <n v="5"/>
    <s v="MAI"/>
    <n v="0"/>
    <x v="17"/>
    <n v="0"/>
    <x v="3"/>
    <s v=""/>
    <n v="0"/>
    <n v="0"/>
    <n v="0"/>
    <n v="0"/>
    <n v="0"/>
    <n v="0"/>
    <n v="0"/>
    <n v="0"/>
    <x v="4"/>
  </r>
  <r>
    <x v="107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7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8"/>
    <s v="#LIRWEWA6P "/>
    <x v="17"/>
    <n v="5"/>
    <s v="MAI"/>
    <n v="0"/>
    <x v="17"/>
    <n v="0"/>
    <x v="3"/>
    <d v="1899-12-30T00:34:00"/>
    <n v="6.9"/>
    <n v="12.184939781088699"/>
    <n v="3.91"/>
    <n v="6.8999999999999924"/>
    <n v="1"/>
    <n v="2.561629528631554"/>
    <n v="3.1036080344380483"/>
    <n v="3.6798047321130776"/>
    <x v="4"/>
  </r>
  <r>
    <x v="108"/>
    <n v="0"/>
    <x v="17"/>
    <n v="5"/>
    <s v="MAI"/>
    <n v="0"/>
    <x v="17"/>
    <n v="0"/>
    <x v="5"/>
    <s v=""/>
    <n v="0"/>
    <n v="0"/>
    <n v="0"/>
    <n v="0"/>
    <n v="0"/>
    <n v="0"/>
    <n v="0"/>
    <n v="0"/>
    <x v="4"/>
  </r>
  <r>
    <x v="108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8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09"/>
    <s v="#LILAV3WQT "/>
    <x v="17"/>
    <n v="5"/>
    <s v="MAI"/>
    <n v="0"/>
    <x v="17"/>
    <n v="0"/>
    <x v="5"/>
    <d v="1899-12-30T00:24:00"/>
    <n v="7.49"/>
    <n v="13.226840429036862"/>
    <n v="4.25"/>
    <n v="10.624999999999897"/>
    <n v="1"/>
    <n v="2.7843799224256021"/>
    <n v="3.3734869939544003"/>
    <n v="3.999787752296823"/>
    <x v="4"/>
  </r>
  <r>
    <x v="109"/>
    <n v="0"/>
    <x v="17"/>
    <n v="5"/>
    <s v="MAI"/>
    <n v="0"/>
    <x v="17"/>
    <n v="0"/>
    <x v="5"/>
    <s v=""/>
    <n v="0"/>
    <n v="0"/>
    <n v="0"/>
    <n v="0"/>
    <n v="0"/>
    <n v="0"/>
    <n v="0"/>
    <n v="0"/>
    <x v="4"/>
  </r>
  <r>
    <x v="109"/>
    <n v="0"/>
    <x v="17"/>
    <n v="5"/>
    <s v="MAI"/>
    <n v="0"/>
    <x v="17"/>
    <n v="0"/>
    <x v="2"/>
    <s v=""/>
    <n v="0"/>
    <n v="0"/>
    <n v="0"/>
    <n v="0"/>
    <n v="0"/>
    <n v="0"/>
    <n v="0"/>
    <n v="0"/>
    <x v="4"/>
  </r>
  <r>
    <x v="110"/>
    <s v="#LINSSATP1 "/>
    <x v="18"/>
    <n v="5"/>
    <s v="MAI"/>
    <s v="MAI"/>
    <x v="18"/>
    <n v="26"/>
    <x v="1"/>
    <d v="1899-12-30T01:34:00"/>
    <n v="7.39"/>
    <n v="13.050247098876156"/>
    <n v="5.31"/>
    <n v="3.3893617021276596"/>
    <n v="1"/>
    <n v="3.4788370324893987"/>
    <n v="4.2148743383289089"/>
    <n v="4.9973818740461482"/>
    <x v="5"/>
  </r>
  <r>
    <x v="110"/>
    <n v="0"/>
    <x v="18"/>
    <n v="5"/>
    <s v="MAI"/>
    <n v="0"/>
    <x v="18"/>
    <n v="0"/>
    <x v="3"/>
    <s v=""/>
    <n v="0"/>
    <n v="0"/>
    <n v="0"/>
    <n v="0"/>
    <n v="0"/>
    <n v="0"/>
    <n v="0"/>
    <n v="0"/>
    <x v="5"/>
  </r>
  <r>
    <x v="110"/>
    <n v="0"/>
    <x v="18"/>
    <n v="5"/>
    <s v="MAI"/>
    <n v="0"/>
    <x v="18"/>
    <n v="0"/>
    <x v="2"/>
    <s v=""/>
    <n v="0"/>
    <n v="0"/>
    <n v="0"/>
    <n v="0"/>
    <n v="0"/>
    <n v="0"/>
    <n v="0"/>
    <n v="0"/>
    <x v="5"/>
  </r>
  <r>
    <x v="110"/>
    <n v="0"/>
    <x v="18"/>
    <n v="5"/>
    <s v="MAI"/>
    <n v="0"/>
    <x v="18"/>
    <n v="0"/>
    <x v="2"/>
    <s v=""/>
    <n v="0"/>
    <n v="0"/>
    <n v="0"/>
    <n v="0"/>
    <n v="0"/>
    <n v="0"/>
    <n v="0"/>
    <n v="0"/>
    <x v="5"/>
  </r>
  <r>
    <x v="111"/>
    <s v="#LIU12Y8G1 "/>
    <x v="18"/>
    <n v="5"/>
    <s v="MAI"/>
    <s v="Ganhos garantidos"/>
    <x v="18"/>
    <n v="0"/>
    <x v="7"/>
    <d v="1899-12-30T00:48:00"/>
    <n v="7.45"/>
    <n v="13.156203096972581"/>
    <n v="0"/>
    <n v="0"/>
    <n v="1"/>
    <n v="0"/>
    <n v="0"/>
    <n v="0"/>
    <x v="5"/>
  </r>
  <r>
    <x v="111"/>
    <n v="0"/>
    <x v="18"/>
    <n v="5"/>
    <s v="MAI"/>
    <n v="0"/>
    <x v="18"/>
    <n v="0"/>
    <x v="7"/>
    <s v=""/>
    <n v="0"/>
    <n v="0"/>
    <n v="3.51"/>
    <n v="0"/>
    <n v="0"/>
    <n v="2.2995702418150263"/>
    <n v="2.7861033761835161"/>
    <n v="3.3033541201321999"/>
    <x v="5"/>
  </r>
  <r>
    <x v="111"/>
    <n v="0"/>
    <x v="18"/>
    <n v="5"/>
    <s v="MAI"/>
    <n v="0"/>
    <x v="18"/>
    <n v="0"/>
    <x v="2"/>
    <s v=""/>
    <n v="0"/>
    <n v="0"/>
    <n v="0"/>
    <n v="0"/>
    <n v="0"/>
    <n v="0"/>
    <n v="0"/>
    <n v="0"/>
    <x v="5"/>
  </r>
  <r>
    <x v="112"/>
    <s v="#LIKY1C3AE "/>
    <x v="19"/>
    <n v="5"/>
    <s v="MAI"/>
    <s v="MAI"/>
    <x v="19"/>
    <n v="27"/>
    <x v="11"/>
    <d v="1899-12-30T01:12:00"/>
    <n v="6.09"/>
    <n v="10.754533806786981"/>
    <n v="3.88"/>
    <n v="3.2333333333333338"/>
    <n v="1"/>
    <n v="2.541975082120314"/>
    <n v="3.0797951850689582"/>
    <n v="3.6515709362145117"/>
    <x v="6"/>
  </r>
  <r>
    <x v="112"/>
    <n v="0"/>
    <x v="19"/>
    <n v="5"/>
    <s v="MAI"/>
    <n v="0"/>
    <x v="19"/>
    <n v="0"/>
    <x v="6"/>
    <s v=""/>
    <n v="0"/>
    <n v="0"/>
    <n v="0"/>
    <n v="0"/>
    <n v="0"/>
    <n v="0"/>
    <n v="0"/>
    <n v="0"/>
    <x v="6"/>
  </r>
  <r>
    <x v="112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2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3"/>
    <s v="#LIPRSPYB9 "/>
    <x v="19"/>
    <n v="5"/>
    <s v="MAI"/>
    <n v="0"/>
    <x v="19"/>
    <n v="0"/>
    <x v="6"/>
    <d v="1899-12-30T00:29:00"/>
    <n v="4.3"/>
    <n v="7.5935131969103482"/>
    <n v="3"/>
    <n v="6.2068965517241432"/>
    <n v="1"/>
    <n v="1.9654446511239543"/>
    <n v="2.3812849369089886"/>
    <n v="2.823379589856581"/>
    <x v="6"/>
  </r>
  <r>
    <x v="113"/>
    <n v="0"/>
    <x v="19"/>
    <n v="5"/>
    <s v="MAI"/>
    <n v="0"/>
    <x v="19"/>
    <n v="0"/>
    <x v="6"/>
    <s v=""/>
    <n v="0"/>
    <n v="0"/>
    <n v="0"/>
    <n v="0"/>
    <n v="0"/>
    <n v="0"/>
    <n v="0"/>
    <n v="0"/>
    <x v="6"/>
  </r>
  <r>
    <x v="113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3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4"/>
    <s v="#LI19ULHEH "/>
    <x v="19"/>
    <n v="5"/>
    <s v="MAI"/>
    <n v="0"/>
    <x v="19"/>
    <n v="0"/>
    <x v="6"/>
    <d v="1899-12-30T00:58:00"/>
    <n v="17.600000000000001"/>
    <n v="31.080426108284218"/>
    <n v="7.66"/>
    <n v="7.9241379310344788"/>
    <n v="1"/>
    <n v="5.0184353425364963"/>
    <n v="6.0802142055742836"/>
    <n v="7.2090292194338037"/>
    <x v="6"/>
  </r>
  <r>
    <x v="114"/>
    <n v="0"/>
    <x v="19"/>
    <n v="5"/>
    <s v="MAI"/>
    <n v="0"/>
    <x v="19"/>
    <n v="0"/>
    <x v="7"/>
    <s v=""/>
    <n v="0"/>
    <n v="0"/>
    <n v="0"/>
    <n v="0"/>
    <n v="0"/>
    <n v="0"/>
    <n v="0"/>
    <n v="0"/>
    <x v="6"/>
  </r>
  <r>
    <x v="114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4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5"/>
    <s v="#LIX4SVWE1 "/>
    <x v="19"/>
    <n v="5"/>
    <s v="MAI"/>
    <n v="0"/>
    <x v="19"/>
    <n v="0"/>
    <x v="7"/>
    <d v="1899-12-30T00:24:00"/>
    <n v="6.26"/>
    <n v="11.054742468060182"/>
    <n v="3.68"/>
    <n v="9.1999999999999726"/>
    <n v="1"/>
    <n v="2.4109454387120506"/>
    <n v="2.9210428559416926"/>
    <n v="3.4633456302240728"/>
    <x v="6"/>
  </r>
  <r>
    <x v="115"/>
    <n v="0"/>
    <x v="19"/>
    <n v="5"/>
    <s v="MAI"/>
    <n v="0"/>
    <x v="19"/>
    <n v="0"/>
    <x v="8"/>
    <s v=""/>
    <n v="0"/>
    <n v="0"/>
    <n v="0"/>
    <n v="0"/>
    <n v="0"/>
    <n v="0"/>
    <n v="0"/>
    <n v="0"/>
    <x v="6"/>
  </r>
  <r>
    <x v="115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5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6"/>
    <s v="#LIEEVPFYE "/>
    <x v="19"/>
    <n v="5"/>
    <s v="MAI"/>
    <n v="0"/>
    <x v="19"/>
    <n v="0"/>
    <x v="8"/>
    <d v="1899-12-30T00:38:00"/>
    <n v="7.36"/>
    <n v="12.997269099827946"/>
    <n v="5.42"/>
    <n v="8.5578947368420994"/>
    <n v="1"/>
    <n v="3.5509033363639442"/>
    <n v="4.302188119348906"/>
    <n v="5.1009057923408898"/>
    <x v="6"/>
  </r>
  <r>
    <x v="116"/>
    <n v="0"/>
    <x v="19"/>
    <n v="5"/>
    <s v="MAI"/>
    <n v="0"/>
    <x v="19"/>
    <n v="0"/>
    <x v="8"/>
    <s v=""/>
    <n v="0"/>
    <n v="0"/>
    <n v="0"/>
    <n v="0"/>
    <n v="0"/>
    <n v="0"/>
    <n v="0"/>
    <n v="0"/>
    <x v="6"/>
  </r>
  <r>
    <x v="116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6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7"/>
    <s v="#LIKFG45X3 "/>
    <x v="19"/>
    <n v="5"/>
    <s v="MAI"/>
    <n v="0"/>
    <x v="19"/>
    <n v="0"/>
    <x v="8"/>
    <d v="1899-12-30T00:36:00"/>
    <n v="8.2899999999999991"/>
    <n v="14.639587070322508"/>
    <n v="5.72"/>
    <n v="9.533333333333367"/>
    <n v="1"/>
    <n v="3.7474478014763393"/>
    <n v="4.5403166130398045"/>
    <n v="5.3832437513265479"/>
    <x v="6"/>
  </r>
  <r>
    <x v="117"/>
    <n v="0"/>
    <x v="19"/>
    <n v="5"/>
    <s v="MAI"/>
    <n v="0"/>
    <x v="19"/>
    <n v="0"/>
    <x v="9"/>
    <s v=""/>
    <n v="0"/>
    <n v="0"/>
    <n v="0"/>
    <n v="0"/>
    <n v="0"/>
    <n v="0"/>
    <n v="0"/>
    <n v="0"/>
    <x v="6"/>
  </r>
  <r>
    <x v="117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7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8"/>
    <s v="#LIS8RLC5K "/>
    <x v="19"/>
    <n v="5"/>
    <s v="MAI"/>
    <n v="0"/>
    <x v="19"/>
    <n v="0"/>
    <x v="9"/>
    <d v="1899-12-30T00:24:00"/>
    <n v="4.7300000000000004"/>
    <n v="8.3528645166013842"/>
    <n v="3.15"/>
    <n v="7.8749999999999751"/>
    <n v="1"/>
    <n v="2.063716883680152"/>
    <n v="2.5003491837544378"/>
    <n v="2.96454856934941"/>
    <x v="6"/>
  </r>
  <r>
    <x v="118"/>
    <n v="0"/>
    <x v="19"/>
    <n v="5"/>
    <s v="MAI"/>
    <n v="0"/>
    <x v="19"/>
    <n v="0"/>
    <x v="9"/>
    <s v=""/>
    <n v="0"/>
    <n v="0"/>
    <n v="0"/>
    <n v="0"/>
    <n v="0"/>
    <n v="0"/>
    <n v="0"/>
    <n v="0"/>
    <x v="6"/>
  </r>
  <r>
    <x v="118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8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9"/>
    <s v="#LIDP1NDVP "/>
    <x v="19"/>
    <n v="5"/>
    <s v="MAI"/>
    <n v="0"/>
    <x v="19"/>
    <n v="0"/>
    <x v="10"/>
    <d v="1899-12-30T00:56:00"/>
    <n v="8.82"/>
    <n v="15.575531720174251"/>
    <n v="5.04"/>
    <n v="5.3999999999999888"/>
    <n v="1"/>
    <n v="3.3019470138882432"/>
    <n v="4.0005586940071005"/>
    <n v="4.743277710959056"/>
    <x v="6"/>
  </r>
  <r>
    <x v="119"/>
    <n v="0"/>
    <x v="19"/>
    <n v="5"/>
    <s v="MAI"/>
    <n v="0"/>
    <x v="19"/>
    <n v="0"/>
    <x v="12"/>
    <s v=""/>
    <n v="0"/>
    <n v="0"/>
    <n v="0"/>
    <n v="0"/>
    <n v="0"/>
    <n v="0"/>
    <n v="0"/>
    <n v="0"/>
    <x v="6"/>
  </r>
  <r>
    <x v="119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19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0"/>
    <s v="#LIC11AH8K "/>
    <x v="19"/>
    <n v="5"/>
    <s v="MAI"/>
    <n v="0"/>
    <x v="19"/>
    <n v="0"/>
    <x v="12"/>
    <d v="1899-12-30T00:03:00"/>
    <n v="2.97"/>
    <n v="5.2448219057729615"/>
    <n v="1.5"/>
    <n v="30.000000000000103"/>
    <n v="1"/>
    <n v="0.98272232556197714"/>
    <n v="1.1906424684544943"/>
    <n v="1.4116897949282905"/>
    <x v="6"/>
  </r>
  <r>
    <x v="120"/>
    <n v="0"/>
    <x v="19"/>
    <n v="5"/>
    <s v="MAI"/>
    <n v="0"/>
    <x v="19"/>
    <n v="0"/>
    <x v="12"/>
    <s v=""/>
    <n v="0"/>
    <n v="0"/>
    <n v="0"/>
    <n v="0"/>
    <n v="0"/>
    <n v="0"/>
    <n v="0"/>
    <n v="0"/>
    <x v="6"/>
  </r>
  <r>
    <x v="120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0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1"/>
    <s v="#LI7AGUGFM "/>
    <x v="19"/>
    <n v="5"/>
    <s v="MAI"/>
    <n v="0"/>
    <x v="19"/>
    <n v="0"/>
    <x v="12"/>
    <d v="1899-12-30T00:53:00"/>
    <n v="9.5"/>
    <n v="16.776366365267048"/>
    <n v="6.17"/>
    <n v="6.984905660377362"/>
    <n v="1"/>
    <n v="4.0422644991449328"/>
    <n v="4.8975093535761527"/>
    <n v="5.8067506898050354"/>
    <x v="6"/>
  </r>
  <r>
    <x v="121"/>
    <n v="0"/>
    <x v="19"/>
    <n v="5"/>
    <s v="MAI"/>
    <n v="0"/>
    <x v="19"/>
    <n v="0"/>
    <x v="12"/>
    <s v=""/>
    <n v="0"/>
    <n v="0"/>
    <n v="0"/>
    <n v="0"/>
    <n v="0"/>
    <n v="0"/>
    <n v="0"/>
    <n v="0"/>
    <x v="6"/>
  </r>
  <r>
    <x v="121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1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2"/>
    <s v="#LI2Q16V4R "/>
    <x v="19"/>
    <n v="5"/>
    <s v="MAI"/>
    <n v="0"/>
    <x v="19"/>
    <n v="0"/>
    <x v="1"/>
    <d v="1899-12-30T00:16:00"/>
    <n v="11.57"/>
    <n v="20.431848299593657"/>
    <n v="6.66"/>
    <n v="24.974999999999838"/>
    <n v="1"/>
    <n v="4.3632871254951784"/>
    <n v="5.2864525599379544"/>
    <n v="6.2679026894816099"/>
    <x v="6"/>
  </r>
  <r>
    <x v="122"/>
    <n v="0"/>
    <x v="19"/>
    <n v="5"/>
    <s v="MAI"/>
    <n v="0"/>
    <x v="19"/>
    <n v="0"/>
    <x v="1"/>
    <s v=""/>
    <n v="0"/>
    <n v="0"/>
    <n v="0"/>
    <n v="0"/>
    <n v="0"/>
    <n v="0"/>
    <n v="0"/>
    <n v="0"/>
    <x v="6"/>
  </r>
  <r>
    <x v="122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2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3"/>
    <s v="#LI9N5S32J "/>
    <x v="19"/>
    <n v="5"/>
    <s v="MAI"/>
    <n v="0"/>
    <x v="19"/>
    <n v="0"/>
    <x v="1"/>
    <d v="1899-12-30T00:30:00"/>
    <n v="5.55"/>
    <n v="9.8009298239191693"/>
    <n v="4.33"/>
    <n v="8.6599999999999842"/>
    <n v="1"/>
    <n v="2.8367917797889075"/>
    <n v="3.4369879256053064"/>
    <n v="4.0750778746929992"/>
    <x v="6"/>
  </r>
  <r>
    <x v="123"/>
    <n v="0"/>
    <x v="19"/>
    <n v="5"/>
    <s v="MAI"/>
    <n v="0"/>
    <x v="19"/>
    <n v="0"/>
    <x v="3"/>
    <s v=""/>
    <n v="0"/>
    <n v="0"/>
    <n v="0"/>
    <n v="0"/>
    <n v="0"/>
    <n v="0"/>
    <n v="0"/>
    <n v="0"/>
    <x v="6"/>
  </r>
  <r>
    <x v="123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3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4"/>
    <s v="#LIUY1TULF "/>
    <x v="19"/>
    <n v="5"/>
    <s v="MAI"/>
    <n v="0"/>
    <x v="19"/>
    <n v="0"/>
    <x v="3"/>
    <d v="1899-12-30T00:27:00"/>
    <n v="4.0599999999999996"/>
    <n v="7.1696892045246541"/>
    <n v="2.97"/>
    <n v="6.6000000000000236"/>
    <n v="1"/>
    <n v="1.9457902046127149"/>
    <n v="2.3574720875398985"/>
    <n v="2.7951457939580155"/>
    <x v="6"/>
  </r>
  <r>
    <x v="124"/>
    <n v="0"/>
    <x v="19"/>
    <n v="5"/>
    <s v="MAI"/>
    <n v="0"/>
    <x v="19"/>
    <n v="0"/>
    <x v="3"/>
    <s v=""/>
    <n v="0"/>
    <n v="0"/>
    <n v="0"/>
    <n v="0"/>
    <n v="0"/>
    <n v="0"/>
    <n v="0"/>
    <n v="0"/>
    <x v="6"/>
  </r>
  <r>
    <x v="124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4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5"/>
    <s v="#LILHZJWWL "/>
    <x v="19"/>
    <n v="5"/>
    <s v="MAI"/>
    <n v="0"/>
    <x v="19"/>
    <n v="0"/>
    <x v="3"/>
    <d v="1899-12-30T00:51:00"/>
    <n v="6.07"/>
    <n v="10.719215140754841"/>
    <n v="3.62"/>
    <n v="4.2588235294117665"/>
    <n v="1"/>
    <n v="2.3716365456895714"/>
    <n v="2.8734171572035128"/>
    <n v="3.4068780384269415"/>
    <x v="6"/>
  </r>
  <r>
    <x v="125"/>
    <n v="0"/>
    <x v="19"/>
    <n v="5"/>
    <s v="MAI"/>
    <n v="0"/>
    <x v="19"/>
    <n v="0"/>
    <x v="5"/>
    <s v=""/>
    <n v="0"/>
    <n v="0"/>
    <n v="0"/>
    <n v="0"/>
    <n v="0"/>
    <n v="0"/>
    <n v="0"/>
    <n v="0"/>
    <x v="6"/>
  </r>
  <r>
    <x v="125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5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6"/>
    <s v="#LIVR9ATZE "/>
    <x v="19"/>
    <n v="5"/>
    <s v="MAI"/>
    <n v="0"/>
    <x v="19"/>
    <n v="0"/>
    <x v="3"/>
    <d v="1899-12-30T00:34:00"/>
    <n v="6.56"/>
    <n v="11.584522458542299"/>
    <n v="3.91"/>
    <n v="6.8999999999999924"/>
    <n v="1"/>
    <n v="2.561629528631554"/>
    <n v="3.1036080344380483"/>
    <n v="3.6798047321130776"/>
    <x v="6"/>
  </r>
  <r>
    <x v="126"/>
    <n v="0"/>
    <x v="19"/>
    <n v="5"/>
    <s v="MAI"/>
    <n v="0"/>
    <x v="19"/>
    <n v="0"/>
    <x v="5"/>
    <s v=""/>
    <n v="0"/>
    <n v="0"/>
    <n v="0"/>
    <n v="0"/>
    <n v="0"/>
    <n v="0"/>
    <n v="0"/>
    <n v="0"/>
    <x v="6"/>
  </r>
  <r>
    <x v="126"/>
    <n v="0"/>
    <x v="19"/>
    <n v="5"/>
    <s v="MAI"/>
    <n v="0"/>
    <x v="19"/>
    <n v="0"/>
    <x v="2"/>
    <s v=""/>
    <n v="0"/>
    <n v="0"/>
    <n v="0"/>
    <n v="0"/>
    <n v="0"/>
    <n v="0"/>
    <n v="0"/>
    <n v="0"/>
    <x v="6"/>
  </r>
  <r>
    <x v="127"/>
    <s v="#LIJSK1NN9 "/>
    <x v="20"/>
    <n v="5"/>
    <s v="MAI"/>
    <s v="MAI"/>
    <x v="20"/>
    <n v="28"/>
    <x v="8"/>
    <d v="1899-12-30T00:38:00"/>
    <n v="4.72"/>
    <n v="8.3352051835853125"/>
    <n v="3.15"/>
    <n v="4.9736842105263124"/>
    <n v="1"/>
    <n v="2.063716883680152"/>
    <n v="2.5003491837544378"/>
    <n v="2.96454856934941"/>
    <x v="0"/>
  </r>
  <r>
    <x v="127"/>
    <n v="0"/>
    <x v="20"/>
    <n v="5"/>
    <s v="MAI"/>
    <n v="0"/>
    <x v="20"/>
    <n v="0"/>
    <x v="9"/>
    <s v=""/>
    <n v="0"/>
    <n v="0"/>
    <n v="0"/>
    <n v="0"/>
    <n v="0"/>
    <n v="0"/>
    <n v="0"/>
    <n v="0"/>
    <x v="0"/>
  </r>
  <r>
    <x v="127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27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28"/>
    <s v="#LI9GMG76S "/>
    <x v="20"/>
    <n v="5"/>
    <s v="MAI"/>
    <n v="0"/>
    <x v="20"/>
    <n v="0"/>
    <x v="13"/>
    <d v="1899-12-30T00:41:00"/>
    <n v="4.43"/>
    <n v="7.8230845261192652"/>
    <n v="3.05"/>
    <n v="4.4634146341463401"/>
    <n v="1"/>
    <n v="1.9982020619760201"/>
    <n v="2.4209730191908045"/>
    <n v="2.8704359163541908"/>
    <x v="0"/>
  </r>
  <r>
    <x v="128"/>
    <n v="0"/>
    <x v="20"/>
    <n v="5"/>
    <s v="MAI"/>
    <n v="0"/>
    <x v="20"/>
    <n v="0"/>
    <x v="13"/>
    <s v=""/>
    <n v="0"/>
    <n v="0"/>
    <n v="0"/>
    <n v="0"/>
    <n v="0"/>
    <n v="0"/>
    <n v="0"/>
    <n v="0"/>
    <x v="0"/>
  </r>
  <r>
    <x v="128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28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29"/>
    <s v="#LIGEJ1L3M "/>
    <x v="20"/>
    <n v="5"/>
    <s v="MAI"/>
    <n v="0"/>
    <x v="20"/>
    <n v="0"/>
    <x v="14"/>
    <d v="1899-12-30T00:36:00"/>
    <n v="2.31"/>
    <n v="4.0793059267123031"/>
    <n v="2.2999999999999998"/>
    <n v="3.8333333333333468"/>
    <n v="1"/>
    <n v="1.5068408991950315"/>
    <n v="1.8256517849635576"/>
    <n v="2.1645910188900452"/>
    <x v="0"/>
  </r>
  <r>
    <x v="129"/>
    <n v="0"/>
    <x v="20"/>
    <n v="5"/>
    <s v="MAI"/>
    <n v="0"/>
    <x v="20"/>
    <n v="0"/>
    <x v="14"/>
    <s v=""/>
    <n v="0"/>
    <n v="0"/>
    <n v="0"/>
    <n v="0"/>
    <n v="0"/>
    <n v="0"/>
    <n v="0"/>
    <n v="0"/>
    <x v="0"/>
  </r>
  <r>
    <x v="129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29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0"/>
    <s v="#LIPSQD9SM "/>
    <x v="20"/>
    <n v="5"/>
    <s v="MAI"/>
    <n v="0"/>
    <x v="20"/>
    <n v="0"/>
    <x v="0"/>
    <d v="1899-12-30T00:21:00"/>
    <n v="3.02"/>
    <n v="5.3331185708533146"/>
    <n v="2.56"/>
    <n v="7.3142857142857958"/>
    <n v="1"/>
    <n v="1.6771794356257743"/>
    <n v="2.0320298128290033"/>
    <n v="2.4092839166776159"/>
    <x v="0"/>
  </r>
  <r>
    <x v="130"/>
    <n v="0"/>
    <x v="20"/>
    <n v="5"/>
    <s v="MAI"/>
    <n v="0"/>
    <x v="20"/>
    <n v="0"/>
    <x v="0"/>
    <s v=""/>
    <n v="0"/>
    <n v="0"/>
    <n v="0"/>
    <n v="0"/>
    <n v="0"/>
    <n v="0"/>
    <n v="0"/>
    <n v="0"/>
    <x v="0"/>
  </r>
  <r>
    <x v="130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0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1"/>
    <s v="#LIFT7UKD1 "/>
    <x v="20"/>
    <n v="5"/>
    <s v="MAI"/>
    <n v="0"/>
    <x v="20"/>
    <n v="0"/>
    <x v="0"/>
    <d v="1899-12-30T00:42:00"/>
    <n v="3.13"/>
    <n v="5.5273712340300909"/>
    <n v="2.59"/>
    <n v="3.7000000000000131"/>
    <n v="1"/>
    <n v="1.6968338821370137"/>
    <n v="2.055842662198093"/>
    <n v="2.4375177125761818"/>
    <x v="0"/>
  </r>
  <r>
    <x v="131"/>
    <n v="0"/>
    <x v="20"/>
    <n v="5"/>
    <s v="MAI"/>
    <n v="0"/>
    <x v="20"/>
    <n v="0"/>
    <x v="1"/>
    <s v=""/>
    <n v="0"/>
    <n v="0"/>
    <n v="0"/>
    <n v="0"/>
    <n v="0"/>
    <n v="0"/>
    <n v="0"/>
    <n v="0"/>
    <x v="0"/>
  </r>
  <r>
    <x v="131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1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2"/>
    <s v="#LISLRCUME "/>
    <x v="20"/>
    <n v="5"/>
    <s v="MAI"/>
    <n v="0"/>
    <x v="20"/>
    <n v="0"/>
    <x v="1"/>
    <d v="1899-12-30T00:22:00"/>
    <n v="3"/>
    <n v="5.297799904821173"/>
    <n v="2.54"/>
    <n v="6.9272727272727534"/>
    <n v="1"/>
    <n v="1.6640764712849481"/>
    <n v="2.016154579916277"/>
    <n v="2.3904613860785719"/>
    <x v="0"/>
  </r>
  <r>
    <x v="132"/>
    <n v="0"/>
    <x v="20"/>
    <n v="5"/>
    <s v="MAI"/>
    <n v="0"/>
    <x v="20"/>
    <n v="0"/>
    <x v="1"/>
    <s v=""/>
    <n v="0"/>
    <n v="0"/>
    <n v="0"/>
    <n v="0"/>
    <n v="0"/>
    <n v="0"/>
    <n v="0"/>
    <n v="0"/>
    <x v="0"/>
  </r>
  <r>
    <x v="132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2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3"/>
    <s v="#LIV3WP5TL "/>
    <x v="20"/>
    <n v="5"/>
    <s v="MAI"/>
    <n v="0"/>
    <x v="20"/>
    <n v="0"/>
    <x v="1"/>
    <d v="1899-12-30T00:38:00"/>
    <n v="2.3199999999999998"/>
    <n v="4.0969652597283739"/>
    <n v="3.1"/>
    <n v="4.8947368421052806"/>
    <n v="1"/>
    <n v="2.0309594728280862"/>
    <n v="2.4606611014726214"/>
    <n v="2.9174922428518006"/>
    <x v="0"/>
  </r>
  <r>
    <x v="133"/>
    <n v="0"/>
    <x v="20"/>
    <n v="5"/>
    <s v="MAI"/>
    <n v="0"/>
    <x v="20"/>
    <n v="0"/>
    <x v="3"/>
    <s v=""/>
    <n v="0"/>
    <n v="0"/>
    <n v="0"/>
    <n v="0"/>
    <n v="0"/>
    <n v="0"/>
    <n v="0"/>
    <n v="0"/>
    <x v="0"/>
  </r>
  <r>
    <x v="133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3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4"/>
    <s v="#LIDNZ19JN "/>
    <x v="20"/>
    <n v="5"/>
    <s v="MAI"/>
    <n v="0"/>
    <x v="20"/>
    <n v="0"/>
    <x v="3"/>
    <d v="1899-12-30T00:27:00"/>
    <n v="4.05"/>
    <n v="7.1520298715085833"/>
    <n v="2.91"/>
    <n v="6.4666666666666899"/>
    <n v="1"/>
    <n v="1.9064813115902357"/>
    <n v="2.3098463888017187"/>
    <n v="2.7386782021608838"/>
    <x v="0"/>
  </r>
  <r>
    <x v="134"/>
    <n v="0"/>
    <x v="20"/>
    <n v="5"/>
    <s v="MAI"/>
    <n v="0"/>
    <x v="20"/>
    <n v="0"/>
    <x v="3"/>
    <s v=""/>
    <n v="0"/>
    <n v="0"/>
    <n v="0"/>
    <n v="0"/>
    <n v="0"/>
    <n v="0"/>
    <n v="0"/>
    <n v="0"/>
    <x v="0"/>
  </r>
  <r>
    <x v="134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4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5"/>
    <s v="#LICWH2RHW "/>
    <x v="20"/>
    <n v="5"/>
    <s v="MAI"/>
    <n v="0"/>
    <x v="20"/>
    <n v="0"/>
    <x v="5"/>
    <d v="1899-12-30T00:43:00"/>
    <n v="14.53"/>
    <n v="25.659010872350549"/>
    <n v="7.3"/>
    <n v="10.186046511627943"/>
    <n v="1"/>
    <n v="4.782581984401622"/>
    <n v="5.7944600131452049"/>
    <n v="6.8702236686510139"/>
    <x v="0"/>
  </r>
  <r>
    <x v="135"/>
    <n v="0"/>
    <x v="20"/>
    <n v="5"/>
    <s v="MAI"/>
    <n v="0"/>
    <x v="20"/>
    <n v="0"/>
    <x v="5"/>
    <s v=""/>
    <n v="0"/>
    <n v="0"/>
    <n v="0"/>
    <n v="0"/>
    <n v="0"/>
    <n v="0"/>
    <n v="0"/>
    <n v="0"/>
    <x v="0"/>
  </r>
  <r>
    <x v="135"/>
    <n v="0"/>
    <x v="20"/>
    <n v="5"/>
    <s v="MAI"/>
    <n v="0"/>
    <x v="20"/>
    <n v="0"/>
    <x v="2"/>
    <s v=""/>
    <n v="0"/>
    <n v="0"/>
    <n v="0"/>
    <n v="0"/>
    <n v="0"/>
    <n v="0"/>
    <n v="0"/>
    <n v="0"/>
    <x v="0"/>
  </r>
  <r>
    <x v="136"/>
    <s v="#LI1LFUAUJ "/>
    <x v="21"/>
    <n v="5"/>
    <s v="MAI"/>
    <s v="MAI"/>
    <x v="21"/>
    <n v="29"/>
    <x v="7"/>
    <d v="1899-12-30T00:31:00"/>
    <n v="2.57"/>
    <n v="4.5384485851301379"/>
    <n v="2.4"/>
    <n v="4.645161290322573"/>
    <n v="1"/>
    <n v="1.5723557208991634"/>
    <n v="1.9050279495271907"/>
    <n v="2.2587036718852649"/>
    <x v="1"/>
  </r>
  <r>
    <x v="136"/>
    <n v="0"/>
    <x v="21"/>
    <n v="5"/>
    <s v="MAI"/>
    <n v="0"/>
    <x v="21"/>
    <n v="0"/>
    <x v="7"/>
    <s v=""/>
    <n v="0"/>
    <n v="0"/>
    <n v="0"/>
    <n v="0"/>
    <n v="0"/>
    <n v="0"/>
    <n v="0"/>
    <n v="0"/>
    <x v="1"/>
  </r>
  <r>
    <x v="136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6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7"/>
    <s v="#LI28XH6J1 "/>
    <x v="21"/>
    <n v="5"/>
    <s v="MAI"/>
    <n v="0"/>
    <x v="21"/>
    <n v="0"/>
    <x v="7"/>
    <d v="1899-12-30T00:32:00"/>
    <n v="3.54"/>
    <n v="6.2514038876889844"/>
    <n v="2.73"/>
    <n v="5.1187499999999924"/>
    <n v="1"/>
    <n v="1.7885546325227983"/>
    <n v="2.1669692925871793"/>
    <n v="2.5692754267694888"/>
    <x v="1"/>
  </r>
  <r>
    <x v="137"/>
    <n v="0"/>
    <x v="21"/>
    <n v="5"/>
    <s v="MAI"/>
    <n v="0"/>
    <x v="21"/>
    <n v="0"/>
    <x v="8"/>
    <s v=""/>
    <n v="0"/>
    <n v="0"/>
    <n v="0"/>
    <n v="0"/>
    <n v="0"/>
    <n v="0"/>
    <n v="0"/>
    <n v="0"/>
    <x v="1"/>
  </r>
  <r>
    <x v="137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7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8"/>
    <s v="#LIHJWWDRK "/>
    <x v="21"/>
    <n v="5"/>
    <s v="MAI"/>
    <n v="0"/>
    <x v="21"/>
    <n v="0"/>
    <x v="8"/>
    <d v="1899-12-30T00:28:00"/>
    <n v="2.9"/>
    <n v="5.1212065746604676"/>
    <n v="2.5099999999999998"/>
    <n v="5.3785714285714477"/>
    <n v="1"/>
    <n v="1.6444220247737082"/>
    <n v="1.9923417305471867"/>
    <n v="2.3622275901800061"/>
    <x v="1"/>
  </r>
  <r>
    <x v="138"/>
    <n v="0"/>
    <x v="21"/>
    <n v="5"/>
    <s v="MAI"/>
    <n v="0"/>
    <x v="21"/>
    <n v="0"/>
    <x v="8"/>
    <s v=""/>
    <n v="0"/>
    <n v="0"/>
    <n v="0"/>
    <n v="0"/>
    <n v="0"/>
    <n v="0"/>
    <n v="0"/>
    <n v="0"/>
    <x v="1"/>
  </r>
  <r>
    <x v="138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8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9"/>
    <s v="#LILYXFPXW "/>
    <x v="21"/>
    <n v="5"/>
    <s v="MAI"/>
    <n v="0"/>
    <x v="21"/>
    <n v="0"/>
    <x v="0"/>
    <d v="1899-12-30T00:57:00"/>
    <n v="6.93"/>
    <n v="12.237917780136909"/>
    <n v="3.92"/>
    <n v="4.1263157894736642"/>
    <n v="1"/>
    <n v="2.5681810108019669"/>
    <n v="3.1115456508944113"/>
    <n v="3.6892159974125991"/>
    <x v="1"/>
  </r>
  <r>
    <x v="139"/>
    <n v="0"/>
    <x v="21"/>
    <n v="5"/>
    <s v="MAI"/>
    <n v="0"/>
    <x v="21"/>
    <n v="0"/>
    <x v="1"/>
    <s v=""/>
    <n v="0"/>
    <n v="0"/>
    <n v="0"/>
    <n v="0"/>
    <n v="0"/>
    <n v="0"/>
    <n v="0"/>
    <n v="0"/>
    <x v="1"/>
  </r>
  <r>
    <x v="139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39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40"/>
    <s v="#LIGGEUDV3 "/>
    <x v="21"/>
    <n v="5"/>
    <s v="MAI"/>
    <n v="0"/>
    <x v="21"/>
    <n v="0"/>
    <x v="1"/>
    <d v="1899-12-30T00:33:00"/>
    <n v="4.21"/>
    <n v="7.4345791997657127"/>
    <n v="3.27"/>
    <n v="5.9454545454545951"/>
    <n v="1"/>
    <n v="2.14233466972511"/>
    <n v="2.5956005812307974"/>
    <n v="3.0774837529436736"/>
    <x v="1"/>
  </r>
  <r>
    <x v="140"/>
    <n v="0"/>
    <x v="21"/>
    <n v="5"/>
    <s v="MAI"/>
    <n v="0"/>
    <x v="21"/>
    <n v="0"/>
    <x v="1"/>
    <s v=""/>
    <n v="0"/>
    <n v="0"/>
    <n v="0"/>
    <n v="0"/>
    <n v="0"/>
    <n v="0"/>
    <n v="0"/>
    <n v="0"/>
    <x v="1"/>
  </r>
  <r>
    <x v="140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40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41"/>
    <s v="#LI5NCRWZT "/>
    <x v="21"/>
    <n v="5"/>
    <s v="MAI"/>
    <n v="0"/>
    <x v="21"/>
    <n v="0"/>
    <x v="3"/>
    <d v="1899-12-30T00:34:00"/>
    <n v="12.34"/>
    <n v="21.791616941831091"/>
    <n v="6.13"/>
    <n v="10.817647058823518"/>
    <n v="1"/>
    <n v="4.0160585704632794"/>
    <n v="4.8657588877506992"/>
    <n v="5.7691056286069475"/>
    <x v="1"/>
  </r>
  <r>
    <x v="141"/>
    <n v="0"/>
    <x v="21"/>
    <n v="5"/>
    <s v="MAI"/>
    <n v="0"/>
    <x v="21"/>
    <n v="0"/>
    <x v="5"/>
    <s v=""/>
    <n v="0"/>
    <n v="0"/>
    <n v="0"/>
    <n v="0"/>
    <n v="0"/>
    <n v="0"/>
    <n v="0"/>
    <n v="0"/>
    <x v="1"/>
  </r>
  <r>
    <x v="141"/>
    <n v="0"/>
    <x v="21"/>
    <n v="5"/>
    <s v="MAI"/>
    <n v="0"/>
    <x v="21"/>
    <n v="0"/>
    <x v="2"/>
    <s v=""/>
    <n v="0"/>
    <n v="0"/>
    <n v="0"/>
    <n v="0"/>
    <n v="0"/>
    <n v="0"/>
    <n v="0"/>
    <n v="0"/>
    <x v="1"/>
  </r>
  <r>
    <x v="142"/>
    <s v="#LIL2LC8WQ "/>
    <x v="22"/>
    <n v="5"/>
    <s v="MAI"/>
    <s v="MAI"/>
    <x v="22"/>
    <n v="30"/>
    <x v="7"/>
    <d v="1899-12-30T00:40:00"/>
    <n v="7.28"/>
    <n v="12.855994435699381"/>
    <n v="4.04"/>
    <n v="6.0599999999999969"/>
    <n v="1"/>
    <n v="2.6467987968469253"/>
    <n v="3.2067970483707708"/>
    <n v="3.8021511810068627"/>
    <x v="2"/>
  </r>
  <r>
    <x v="142"/>
    <n v="0"/>
    <x v="22"/>
    <n v="5"/>
    <s v="MAI"/>
    <n v="0"/>
    <x v="22"/>
    <n v="0"/>
    <x v="7"/>
    <s v=""/>
    <n v="0"/>
    <n v="0"/>
    <n v="0"/>
    <n v="0"/>
    <n v="0"/>
    <n v="0"/>
    <n v="0"/>
    <n v="0"/>
    <x v="2"/>
  </r>
  <r>
    <x v="142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2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3"/>
    <s v="#LIEV1PAUV "/>
    <x v="22"/>
    <n v="5"/>
    <s v="MAI"/>
    <n v="0"/>
    <x v="22"/>
    <n v="0"/>
    <x v="7"/>
    <d v="1899-12-30T00:23:00"/>
    <n v="5.23"/>
    <n v="9.2358311674049123"/>
    <n v="4.32"/>
    <n v="11.269565217391348"/>
    <n v="1"/>
    <n v="2.8302402976184942"/>
    <n v="3.4290503091489435"/>
    <n v="4.0656666093934772"/>
    <x v="2"/>
  </r>
  <r>
    <x v="143"/>
    <n v="0"/>
    <x v="22"/>
    <n v="5"/>
    <s v="MAI"/>
    <n v="0"/>
    <x v="22"/>
    <n v="0"/>
    <x v="8"/>
    <s v=""/>
    <n v="0"/>
    <n v="0"/>
    <n v="0"/>
    <n v="0"/>
    <n v="0"/>
    <n v="0"/>
    <n v="0"/>
    <n v="0"/>
    <x v="2"/>
  </r>
  <r>
    <x v="143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3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4"/>
    <s v="#LIA4FV9AQ "/>
    <x v="22"/>
    <n v="5"/>
    <s v="MAI"/>
    <n v="0"/>
    <x v="22"/>
    <n v="0"/>
    <x v="8"/>
    <d v="1899-12-30T00:27:00"/>
    <n v="3.81"/>
    <n v="6.72820587912289"/>
    <n v="2.83"/>
    <n v="6.2888888888888745"/>
    <n v="1"/>
    <n v="1.8540694542269303"/>
    <n v="2.2463454571508126"/>
    <n v="2.663388079764708"/>
    <x v="2"/>
  </r>
  <r>
    <x v="144"/>
    <n v="0"/>
    <x v="22"/>
    <n v="5"/>
    <s v="MAI"/>
    <n v="0"/>
    <x v="22"/>
    <n v="0"/>
    <x v="8"/>
    <s v=""/>
    <n v="0"/>
    <n v="0"/>
    <n v="0"/>
    <n v="0"/>
    <n v="0"/>
    <n v="0"/>
    <n v="0"/>
    <n v="0"/>
    <x v="2"/>
  </r>
  <r>
    <x v="144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4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5"/>
    <s v="#LIUDVJDU4 "/>
    <x v="22"/>
    <n v="5"/>
    <s v="MAI"/>
    <n v="0"/>
    <x v="22"/>
    <n v="0"/>
    <x v="8"/>
    <d v="1899-12-30T00:34:00"/>
    <n v="6.79"/>
    <n v="11.990687117911921"/>
    <n v="3.87"/>
    <n v="6.829411764705875"/>
    <n v="1"/>
    <n v="2.5354235999499011"/>
    <n v="3.0718575686125948"/>
    <n v="3.6421596709149897"/>
    <x v="2"/>
  </r>
  <r>
    <x v="145"/>
    <n v="0"/>
    <x v="22"/>
    <n v="5"/>
    <s v="MAI"/>
    <n v="0"/>
    <x v="22"/>
    <n v="0"/>
    <x v="9"/>
    <s v=""/>
    <n v="0"/>
    <n v="0"/>
    <n v="0"/>
    <n v="0"/>
    <n v="0"/>
    <n v="0"/>
    <n v="0"/>
    <n v="0"/>
    <x v="2"/>
  </r>
  <r>
    <x v="145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5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6"/>
    <s v="#LIBNSL1MN "/>
    <x v="22"/>
    <n v="5"/>
    <s v="MAI"/>
    <n v="0"/>
    <x v="22"/>
    <n v="0"/>
    <x v="9"/>
    <d v="1899-12-30T00:40:00"/>
    <n v="5.42"/>
    <n v="9.5713584947102532"/>
    <n v="3.39"/>
    <n v="5.0850000000000186"/>
    <n v="1"/>
    <n v="2.2209524557700684"/>
    <n v="2.690851978707157"/>
    <n v="3.1904189365379367"/>
    <x v="2"/>
  </r>
  <r>
    <x v="146"/>
    <n v="0"/>
    <x v="22"/>
    <n v="5"/>
    <s v="MAI"/>
    <n v="0"/>
    <x v="22"/>
    <n v="0"/>
    <x v="9"/>
    <s v=""/>
    <n v="0"/>
    <n v="0"/>
    <n v="0"/>
    <n v="0"/>
    <n v="0"/>
    <n v="0"/>
    <n v="0"/>
    <n v="0"/>
    <x v="2"/>
  </r>
  <r>
    <x v="146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6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7"/>
    <s v="#LIVTHPDHY "/>
    <x v="22"/>
    <n v="5"/>
    <s v="MAI"/>
    <n v="0"/>
    <x v="22"/>
    <n v="0"/>
    <x v="0"/>
    <d v="1899-12-30T00:26:00"/>
    <n v="4.09"/>
    <n v="7.2226672035728656"/>
    <n v="2.98"/>
    <n v="6.8769230769231013"/>
    <n v="1"/>
    <n v="1.9523416867831278"/>
    <n v="2.3654097039962618"/>
    <n v="2.8045570592575371"/>
    <x v="2"/>
  </r>
  <r>
    <x v="147"/>
    <n v="0"/>
    <x v="22"/>
    <n v="5"/>
    <s v="MAI"/>
    <n v="0"/>
    <x v="22"/>
    <n v="0"/>
    <x v="0"/>
    <s v=""/>
    <n v="0"/>
    <n v="0"/>
    <n v="0"/>
    <n v="0"/>
    <n v="0"/>
    <n v="0"/>
    <n v="0"/>
    <n v="0"/>
    <x v="2"/>
  </r>
  <r>
    <x v="147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7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8"/>
    <s v="#LIW8MG1AF "/>
    <x v="22"/>
    <n v="5"/>
    <s v="MAI"/>
    <n v="0"/>
    <x v="22"/>
    <n v="0"/>
    <x v="0"/>
    <d v="1899-12-30T00:46:00"/>
    <n v="6.52"/>
    <n v="11.513885126478016"/>
    <n v="3.78"/>
    <n v="4.9304347826086952"/>
    <n v="1"/>
    <n v="2.4764602604161823"/>
    <n v="3.0004190205053254"/>
    <n v="3.557458283219292"/>
    <x v="2"/>
  </r>
  <r>
    <x v="148"/>
    <n v="0"/>
    <x v="22"/>
    <n v="5"/>
    <s v="MAI"/>
    <n v="0"/>
    <x v="22"/>
    <n v="0"/>
    <x v="1"/>
    <s v=""/>
    <n v="0"/>
    <n v="0"/>
    <n v="0"/>
    <n v="0"/>
    <n v="0"/>
    <n v="0"/>
    <n v="0"/>
    <n v="0"/>
    <x v="2"/>
  </r>
  <r>
    <x v="148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8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9"/>
    <s v="#LIJJ4HGLV "/>
    <x v="22"/>
    <n v="5"/>
    <s v="MAI"/>
    <n v="0"/>
    <x v="22"/>
    <n v="0"/>
    <x v="1"/>
    <d v="1899-12-30T00:50:00"/>
    <n v="17.43"/>
    <n v="30.780217447011015"/>
    <n v="8.91"/>
    <n v="10.69199999999997"/>
    <n v="1"/>
    <n v="5.8373706138381447"/>
    <n v="7.0724162626196954"/>
    <n v="8.3854373818740466"/>
    <x v="2"/>
  </r>
  <r>
    <x v="149"/>
    <n v="0"/>
    <x v="22"/>
    <n v="5"/>
    <s v="MAI"/>
    <n v="0"/>
    <x v="22"/>
    <n v="0"/>
    <x v="3"/>
    <s v=""/>
    <n v="0"/>
    <n v="0"/>
    <n v="0"/>
    <n v="0"/>
    <n v="0"/>
    <n v="0"/>
    <n v="0"/>
    <n v="0"/>
    <x v="2"/>
  </r>
  <r>
    <x v="149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49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50"/>
    <s v="#LIUAHR5F1 "/>
    <x v="22"/>
    <n v="5"/>
    <s v="MAI"/>
    <n v="0"/>
    <x v="22"/>
    <n v="0"/>
    <x v="5"/>
    <d v="1899-12-30T00:10:00"/>
    <n v="2.92"/>
    <n v="5.1565252406926083"/>
    <n v="2.52"/>
    <n v="15.120000000000296"/>
    <n v="1"/>
    <n v="1.6509735069441216"/>
    <n v="2.0002793470035503"/>
    <n v="2.371638855479528"/>
    <x v="2"/>
  </r>
  <r>
    <x v="150"/>
    <n v="0"/>
    <x v="22"/>
    <n v="5"/>
    <s v="MAI"/>
    <n v="0"/>
    <x v="22"/>
    <n v="0"/>
    <x v="5"/>
    <s v=""/>
    <n v="0"/>
    <n v="0"/>
    <n v="0"/>
    <n v="0"/>
    <n v="0"/>
    <n v="0"/>
    <n v="0"/>
    <n v="0"/>
    <x v="2"/>
  </r>
  <r>
    <x v="150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50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51"/>
    <s v="#LIVFTHRQT "/>
    <x v="22"/>
    <n v="5"/>
    <s v="MAI"/>
    <n v="0"/>
    <x v="22"/>
    <n v="0"/>
    <x v="5"/>
    <d v="1899-12-30T00:36:00"/>
    <n v="11.11"/>
    <n v="19.619518980854412"/>
    <n v="6.46"/>
    <n v="10.766666666666609"/>
    <n v="1"/>
    <n v="4.232257482086915"/>
    <n v="5.1277002308106878"/>
    <n v="6.0796773834911715"/>
    <x v="2"/>
  </r>
  <r>
    <x v="151"/>
    <n v="0"/>
    <x v="22"/>
    <n v="5"/>
    <s v="MAI"/>
    <n v="0"/>
    <x v="22"/>
    <n v="0"/>
    <x v="5"/>
    <s v=""/>
    <n v="0"/>
    <n v="0"/>
    <n v="0"/>
    <n v="0"/>
    <n v="0"/>
    <n v="0"/>
    <n v="0"/>
    <n v="0"/>
    <x v="2"/>
  </r>
  <r>
    <x v="151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51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52"/>
    <s v="#LILK1C1J4 "/>
    <x v="22"/>
    <n v="5"/>
    <s v="MAI"/>
    <n v="0"/>
    <x v="22"/>
    <n v="0"/>
    <x v="5"/>
    <d v="1899-12-30T00:36:00"/>
    <n v="15.25"/>
    <n v="26.93048284950763"/>
    <n v="7.85"/>
    <n v="13.083333333333321"/>
    <n v="1"/>
    <n v="5.1429135037743468"/>
    <n v="6.2310289182451859"/>
    <n v="7.3878432601247201"/>
    <x v="2"/>
  </r>
  <r>
    <x v="152"/>
    <n v="0"/>
    <x v="22"/>
    <n v="5"/>
    <s v="MAI"/>
    <n v="0"/>
    <x v="22"/>
    <n v="0"/>
    <x v="4"/>
    <s v=""/>
    <n v="0"/>
    <n v="0"/>
    <n v="0"/>
    <n v="0"/>
    <n v="0"/>
    <n v="0"/>
    <n v="0"/>
    <n v="0"/>
    <x v="2"/>
  </r>
  <r>
    <x v="152"/>
    <n v="0"/>
    <x v="22"/>
    <n v="5"/>
    <s v="MAI"/>
    <n v="0"/>
    <x v="22"/>
    <n v="0"/>
    <x v="2"/>
    <s v=""/>
    <n v="0"/>
    <n v="0"/>
    <n v="0"/>
    <n v="0"/>
    <n v="0"/>
    <n v="0"/>
    <n v="0"/>
    <n v="0"/>
    <x v="2"/>
  </r>
  <r>
    <x v="153"/>
    <s v="#LIL47E3ZX "/>
    <x v="23"/>
    <n v="6"/>
    <s v="JUN"/>
    <s v="JUN"/>
    <x v="23"/>
    <n v="1"/>
    <x v="11"/>
    <d v="1899-12-30T00:48:00"/>
    <n v="3.87"/>
    <n v="6.834161877219314"/>
    <n v="3.32"/>
    <n v="4.1500000000000004"/>
    <n v="1"/>
    <n v="2.1750920805771758"/>
    <n v="2.6352886635126138"/>
    <n v="3.124540079441283"/>
    <x v="4"/>
  </r>
  <r>
    <x v="153"/>
    <n v="0"/>
    <x v="23"/>
    <n v="6"/>
    <s v="JUN"/>
    <n v="0"/>
    <x v="23"/>
    <n v="0"/>
    <x v="11"/>
    <s v=""/>
    <n v="0"/>
    <n v="0"/>
    <n v="0"/>
    <n v="0"/>
    <n v="0"/>
    <n v="0"/>
    <n v="0"/>
    <n v="0"/>
    <x v="4"/>
  </r>
  <r>
    <x v="153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3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4"/>
    <s v="#LIEL7LQAZ "/>
    <x v="23"/>
    <n v="6"/>
    <s v="JUN"/>
    <n v="0"/>
    <x v="23"/>
    <n v="0"/>
    <x v="7"/>
    <d v="1899-12-30T00:26:00"/>
    <n v="3.9"/>
    <n v="6.8871398762675247"/>
    <n v="2.93"/>
    <n v="6.7615384615384864"/>
    <n v="1"/>
    <n v="1.9195842759310622"/>
    <n v="2.3257216217144454"/>
    <n v="2.7575007327599277"/>
    <x v="4"/>
  </r>
  <r>
    <x v="154"/>
    <n v="0"/>
    <x v="23"/>
    <n v="6"/>
    <s v="JUN"/>
    <n v="0"/>
    <x v="23"/>
    <n v="0"/>
    <x v="7"/>
    <s v=""/>
    <n v="0"/>
    <n v="0"/>
    <n v="0"/>
    <n v="0"/>
    <n v="0"/>
    <n v="0"/>
    <n v="0"/>
    <n v="0"/>
    <x v="4"/>
  </r>
  <r>
    <x v="154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4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5"/>
    <s v="#LIB3MBFVS "/>
    <x v="23"/>
    <n v="6"/>
    <s v="JUN"/>
    <n v="0"/>
    <x v="23"/>
    <n v="0"/>
    <x v="7"/>
    <d v="1899-12-30T00:51:00"/>
    <n v="7.98"/>
    <n v="14.092147746824322"/>
    <n v="5.05"/>
    <n v="5.9411764705882373"/>
    <n v="1"/>
    <n v="3.3084984960586561"/>
    <n v="4.0084963104634639"/>
    <n v="4.752688976258578"/>
    <x v="4"/>
  </r>
  <r>
    <x v="155"/>
    <n v="0"/>
    <x v="23"/>
    <n v="6"/>
    <s v="JUN"/>
    <n v="0"/>
    <x v="23"/>
    <n v="0"/>
    <x v="8"/>
    <s v=""/>
    <n v="0"/>
    <n v="0"/>
    <n v="0"/>
    <n v="0"/>
    <n v="0"/>
    <n v="0"/>
    <n v="0"/>
    <n v="0"/>
    <x v="4"/>
  </r>
  <r>
    <x v="155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5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6"/>
    <s v="#LIFR26H9Y "/>
    <x v="23"/>
    <n v="6"/>
    <s v="JUN"/>
    <n v="0"/>
    <x v="23"/>
    <n v="0"/>
    <x v="8"/>
    <d v="1899-12-30T00:42:00"/>
    <n v="5.66"/>
    <n v="9.9951824870959474"/>
    <n v="3.47"/>
    <n v="4.9571428571428573"/>
    <n v="1"/>
    <n v="2.2733643131333738"/>
    <n v="2.7543529103580635"/>
    <n v="3.2657090589341125"/>
    <x v="4"/>
  </r>
  <r>
    <x v="156"/>
    <n v="0"/>
    <x v="23"/>
    <n v="6"/>
    <s v="JUN"/>
    <n v="0"/>
    <x v="23"/>
    <n v="0"/>
    <x v="9"/>
    <s v=""/>
    <n v="0"/>
    <n v="0"/>
    <n v="0"/>
    <n v="0"/>
    <n v="0"/>
    <n v="0"/>
    <n v="0"/>
    <n v="0"/>
    <x v="4"/>
  </r>
  <r>
    <x v="156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6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7"/>
    <s v="#LISVLV2VP "/>
    <x v="23"/>
    <n v="6"/>
    <s v="JUN"/>
    <n v="0"/>
    <x v="23"/>
    <n v="0"/>
    <x v="9"/>
    <d v="1899-12-30T00:29:00"/>
    <n v="1.61"/>
    <n v="2.8431526155873632"/>
    <n v="2.06"/>
    <n v="4.2620689655172335"/>
    <n v="1"/>
    <n v="1.3496053271051154"/>
    <n v="1.6351489900108387"/>
    <n v="1.938720651701519"/>
    <x v="4"/>
  </r>
  <r>
    <x v="157"/>
    <n v="0"/>
    <x v="23"/>
    <n v="6"/>
    <s v="JUN"/>
    <n v="0"/>
    <x v="23"/>
    <n v="0"/>
    <x v="9"/>
    <s v=""/>
    <n v="0"/>
    <n v="0"/>
    <n v="0"/>
    <n v="0"/>
    <n v="0"/>
    <n v="0"/>
    <n v="0"/>
    <n v="0"/>
    <x v="4"/>
  </r>
  <r>
    <x v="157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7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8"/>
    <s v="#LINVPVKD1 "/>
    <x v="23"/>
    <n v="6"/>
    <s v="JUN"/>
    <n v="0"/>
    <x v="23"/>
    <n v="0"/>
    <x v="9"/>
    <d v="1899-12-30T00:52:00"/>
    <n v="9.5"/>
    <n v="16.776366365267048"/>
    <n v="4.82"/>
    <n v="5.5615384615384471"/>
    <n v="1"/>
    <n v="3.1578144061391535"/>
    <n v="3.8259311319671081"/>
    <n v="4.5362298743695737"/>
    <x v="4"/>
  </r>
  <r>
    <x v="158"/>
    <n v="0"/>
    <x v="23"/>
    <n v="6"/>
    <s v="JUN"/>
    <n v="0"/>
    <x v="23"/>
    <n v="0"/>
    <x v="10"/>
    <s v=""/>
    <n v="0"/>
    <n v="0"/>
    <n v="0"/>
    <n v="0"/>
    <n v="0"/>
    <n v="0"/>
    <n v="0"/>
    <n v="0"/>
    <x v="4"/>
  </r>
  <r>
    <x v="158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8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9"/>
    <s v="#LIQHJFXR6 "/>
    <x v="23"/>
    <n v="6"/>
    <s v="JUN"/>
    <n v="0"/>
    <x v="23"/>
    <n v="0"/>
    <x v="0"/>
    <d v="1899-12-30T00:30:00"/>
    <n v="7.65"/>
    <n v="13.509389757293992"/>
    <n v="4.17"/>
    <n v="8.3400000000000301"/>
    <n v="1"/>
    <n v="2.7319680650622966"/>
    <n v="3.3099860623034938"/>
    <n v="3.9244976299006478"/>
    <x v="4"/>
  </r>
  <r>
    <x v="159"/>
    <n v="0"/>
    <x v="23"/>
    <n v="6"/>
    <s v="JUN"/>
    <n v="0"/>
    <x v="23"/>
    <n v="0"/>
    <x v="1"/>
    <s v=""/>
    <n v="0"/>
    <n v="0"/>
    <n v="0"/>
    <n v="0"/>
    <n v="0"/>
    <n v="0"/>
    <n v="0"/>
    <n v="0"/>
    <x v="4"/>
  </r>
  <r>
    <x v="159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59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0"/>
    <s v="#LIQG28ALL "/>
    <x v="23"/>
    <n v="6"/>
    <s v="JUN"/>
    <n v="0"/>
    <x v="23"/>
    <n v="0"/>
    <x v="1"/>
    <d v="1899-12-30T00:43:00"/>
    <n v="5.93"/>
    <n v="10.471984478529851"/>
    <n v="4.68"/>
    <n v="6.5302325581395095"/>
    <n v="1"/>
    <n v="3.0660936557533685"/>
    <n v="3.7148045015780218"/>
    <n v="4.4044721601762662"/>
    <x v="4"/>
  </r>
  <r>
    <x v="160"/>
    <n v="0"/>
    <x v="23"/>
    <n v="6"/>
    <s v="JUN"/>
    <n v="0"/>
    <x v="23"/>
    <n v="0"/>
    <x v="3"/>
    <s v=""/>
    <n v="0"/>
    <n v="0"/>
    <n v="0"/>
    <n v="0"/>
    <n v="0"/>
    <n v="0"/>
    <n v="0"/>
    <n v="0"/>
    <x v="4"/>
  </r>
  <r>
    <x v="160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0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1"/>
    <s v="#LIAAWA9K2 "/>
    <x v="23"/>
    <n v="6"/>
    <s v="JUN"/>
    <n v="0"/>
    <x v="23"/>
    <n v="0"/>
    <x v="3"/>
    <d v="1899-12-30T00:17:00"/>
    <n v="3.65"/>
    <n v="6.4456565508657606"/>
    <n v="2.77"/>
    <n v="9.7764705882353287"/>
    <n v="1"/>
    <n v="1.8147605612044511"/>
    <n v="2.1987197584126328"/>
    <n v="2.6069204879675767"/>
    <x v="4"/>
  </r>
  <r>
    <x v="161"/>
    <n v="0"/>
    <x v="23"/>
    <n v="6"/>
    <s v="JUN"/>
    <n v="0"/>
    <x v="23"/>
    <n v="0"/>
    <x v="3"/>
    <s v=""/>
    <n v="0"/>
    <n v="0"/>
    <n v="0"/>
    <n v="0"/>
    <n v="0"/>
    <n v="0"/>
    <n v="0"/>
    <n v="0"/>
    <x v="4"/>
  </r>
  <r>
    <x v="161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1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2"/>
    <s v="#LIB4EE11L "/>
    <x v="23"/>
    <n v="6"/>
    <s v="JUN"/>
    <n v="0"/>
    <x v="23"/>
    <n v="0"/>
    <x v="3"/>
    <d v="1899-12-30T00:30:00"/>
    <n v="5.44"/>
    <n v="9.6066771607423949"/>
    <n v="3.4"/>
    <n v="6.8000000000000238"/>
    <n v="1"/>
    <n v="2.2275039379404813"/>
    <n v="2.6987895951635199"/>
    <n v="3.1998302018374587"/>
    <x v="4"/>
  </r>
  <r>
    <x v="162"/>
    <n v="0"/>
    <x v="23"/>
    <n v="6"/>
    <s v="JUN"/>
    <n v="0"/>
    <x v="23"/>
    <n v="0"/>
    <x v="5"/>
    <s v=""/>
    <n v="0"/>
    <n v="0"/>
    <n v="0"/>
    <n v="0"/>
    <n v="0"/>
    <n v="0"/>
    <n v="0"/>
    <n v="0"/>
    <x v="4"/>
  </r>
  <r>
    <x v="162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2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3"/>
    <s v="#LICCMWWWZ "/>
    <x v="23"/>
    <n v="6"/>
    <s v="JUN"/>
    <n v="0"/>
    <x v="23"/>
    <n v="0"/>
    <x v="5"/>
    <d v="1899-12-30T00:36:00"/>
    <n v="3.4"/>
    <n v="6.0041732254639966"/>
    <n v="2.68"/>
    <n v="4.4666666666666632"/>
    <n v="1"/>
    <n v="1.7557972216707325"/>
    <n v="2.1272812103053629"/>
    <n v="2.5222191002718795"/>
    <x v="4"/>
  </r>
  <r>
    <x v="163"/>
    <n v="0"/>
    <x v="23"/>
    <n v="6"/>
    <s v="JUN"/>
    <n v="0"/>
    <x v="23"/>
    <n v="0"/>
    <x v="4"/>
    <s v=""/>
    <n v="0"/>
    <n v="0"/>
    <n v="0"/>
    <n v="0"/>
    <n v="0"/>
    <n v="0"/>
    <n v="0"/>
    <n v="0"/>
    <x v="4"/>
  </r>
  <r>
    <x v="163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3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4"/>
    <s v="#LIRTBPKJK "/>
    <x v="23"/>
    <n v="6"/>
    <s v="JUN"/>
    <n v="0"/>
    <x v="23"/>
    <n v="0"/>
    <x v="4"/>
    <d v="1899-12-30T00:31:00"/>
    <n v="3.82"/>
    <n v="6.74586521213896"/>
    <n v="2.83"/>
    <n v="5.4774193548387009"/>
    <n v="1"/>
    <n v="1.8540694542269303"/>
    <n v="2.2463454571508126"/>
    <n v="2.663388079764708"/>
    <x v="4"/>
  </r>
  <r>
    <x v="164"/>
    <n v="0"/>
    <x v="23"/>
    <n v="6"/>
    <s v="JUN"/>
    <n v="0"/>
    <x v="23"/>
    <n v="0"/>
    <x v="4"/>
    <s v=""/>
    <n v="0"/>
    <n v="0"/>
    <n v="0"/>
    <n v="0"/>
    <n v="0"/>
    <n v="0"/>
    <n v="0"/>
    <n v="0"/>
    <x v="4"/>
  </r>
  <r>
    <x v="164"/>
    <n v="0"/>
    <x v="23"/>
    <n v="6"/>
    <s v="JUN"/>
    <n v="0"/>
    <x v="23"/>
    <n v="0"/>
    <x v="2"/>
    <s v=""/>
    <n v="0"/>
    <n v="0"/>
    <n v="0"/>
    <n v="0"/>
    <n v="0"/>
    <n v="0"/>
    <n v="0"/>
    <n v="0"/>
    <x v="4"/>
  </r>
  <r>
    <x v="165"/>
    <s v="#LISJHTJKW "/>
    <x v="24"/>
    <n v="6"/>
    <s v="JUN"/>
    <s v="JUN"/>
    <x v="24"/>
    <n v="2"/>
    <x v="6"/>
    <d v="1899-12-30T00:41:00"/>
    <n v="2.69"/>
    <n v="4.750360581322985"/>
    <n v="2.44"/>
    <n v="3.570731707317079"/>
    <n v="1"/>
    <n v="1.5985616495808161"/>
    <n v="1.9367784153526437"/>
    <n v="2.2963487330833527"/>
    <x v="5"/>
  </r>
  <r>
    <x v="165"/>
    <n v="0"/>
    <x v="24"/>
    <n v="6"/>
    <s v="JUN"/>
    <n v="0"/>
    <x v="24"/>
    <n v="0"/>
    <x v="6"/>
    <s v=""/>
    <n v="0"/>
    <n v="0"/>
    <n v="0"/>
    <n v="0"/>
    <n v="0"/>
    <n v="0"/>
    <n v="0"/>
    <n v="0"/>
    <x v="5"/>
  </r>
  <r>
    <x v="165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5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6"/>
    <s v="#LIT81SXWM "/>
    <x v="24"/>
    <n v="6"/>
    <s v="JUN"/>
    <n v="0"/>
    <x v="24"/>
    <n v="0"/>
    <x v="6"/>
    <d v="1899-12-30T00:49:00"/>
    <n v="5.33"/>
    <n v="9.4124244975656186"/>
    <n v="3.36"/>
    <n v="4.1142857142857157"/>
    <n v="1"/>
    <n v="2.2012980092588288"/>
    <n v="2.6670391293380669"/>
    <n v="3.1621851406393708"/>
    <x v="5"/>
  </r>
  <r>
    <x v="166"/>
    <n v="0"/>
    <x v="24"/>
    <n v="6"/>
    <s v="JUN"/>
    <n v="0"/>
    <x v="24"/>
    <n v="0"/>
    <x v="7"/>
    <s v=""/>
    <n v="0"/>
    <n v="0"/>
    <n v="0"/>
    <n v="0"/>
    <n v="0"/>
    <n v="0"/>
    <n v="0"/>
    <n v="0"/>
    <x v="5"/>
  </r>
  <r>
    <x v="166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6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7"/>
    <s v="#LIART713T "/>
    <x v="24"/>
    <n v="6"/>
    <s v="JUN"/>
    <n v="0"/>
    <x v="24"/>
    <n v="0"/>
    <x v="7"/>
    <d v="1899-12-30T00:53:00"/>
    <n v="5.24"/>
    <n v="9.2534905004209822"/>
    <n v="3.33"/>
    <n v="3.769811320754719"/>
    <n v="1"/>
    <n v="2.1816435627475892"/>
    <n v="2.6432262799689772"/>
    <n v="3.1339513447408049"/>
    <x v="5"/>
  </r>
  <r>
    <x v="167"/>
    <n v="0"/>
    <x v="24"/>
    <n v="6"/>
    <s v="JUN"/>
    <n v="0"/>
    <x v="24"/>
    <n v="0"/>
    <x v="8"/>
    <s v=""/>
    <n v="0"/>
    <n v="0"/>
    <n v="0"/>
    <n v="0"/>
    <n v="0"/>
    <n v="0"/>
    <n v="0"/>
    <n v="0"/>
    <x v="5"/>
  </r>
  <r>
    <x v="167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7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8"/>
    <s v="#LIJ5DHYF4 "/>
    <x v="24"/>
    <n v="6"/>
    <s v="JUN"/>
    <n v="0"/>
    <x v="24"/>
    <n v="0"/>
    <x v="8"/>
    <d v="1899-12-30T00:22:00"/>
    <n v="8.9"/>
    <n v="15.716806384302815"/>
    <n v="4.6100000000000003"/>
    <n v="12.572727272727224"/>
    <n v="1"/>
    <n v="3.0202332805604768"/>
    <n v="3.6592411863834791"/>
    <n v="4.3385933030796133"/>
    <x v="5"/>
  </r>
  <r>
    <x v="168"/>
    <n v="0"/>
    <x v="24"/>
    <n v="6"/>
    <s v="JUN"/>
    <n v="0"/>
    <x v="24"/>
    <n v="0"/>
    <x v="8"/>
    <s v=""/>
    <n v="0"/>
    <n v="0"/>
    <n v="0"/>
    <n v="0"/>
    <n v="0"/>
    <n v="0"/>
    <n v="0"/>
    <n v="0"/>
    <x v="5"/>
  </r>
  <r>
    <x v="168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8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9"/>
    <s v="#LIACWA1ZL "/>
    <x v="24"/>
    <n v="6"/>
    <s v="JUN"/>
    <n v="0"/>
    <x v="24"/>
    <n v="0"/>
    <x v="8"/>
    <d v="1899-12-30T00:21:00"/>
    <n v="5.38"/>
    <n v="9.50072116264597"/>
    <n v="3.38"/>
    <n v="9.6571428571428903"/>
    <n v="1"/>
    <n v="2.214400973599655"/>
    <n v="2.6829143622507936"/>
    <n v="3.1810076712384148"/>
    <x v="5"/>
  </r>
  <r>
    <x v="169"/>
    <n v="0"/>
    <x v="24"/>
    <n v="6"/>
    <s v="JUN"/>
    <n v="0"/>
    <x v="24"/>
    <n v="0"/>
    <x v="9"/>
    <s v=""/>
    <n v="0"/>
    <n v="0"/>
    <n v="0"/>
    <n v="0"/>
    <n v="0"/>
    <n v="0"/>
    <n v="0"/>
    <n v="0"/>
    <x v="5"/>
  </r>
  <r>
    <x v="169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69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0"/>
    <s v="#LI2XL9EGD "/>
    <x v="24"/>
    <n v="6"/>
    <s v="JUN"/>
    <n v="0"/>
    <x v="24"/>
    <n v="0"/>
    <x v="9"/>
    <d v="1899-12-30T00:33:00"/>
    <n v="2.11"/>
    <n v="3.7261192663908917"/>
    <n v="2.5499999999999998"/>
    <n v="4.6363636363636305"/>
    <n v="1"/>
    <n v="1.670627953455361"/>
    <n v="2.0240921963726399"/>
    <n v="2.3998726513780939"/>
    <x v="5"/>
  </r>
  <r>
    <x v="170"/>
    <n v="0"/>
    <x v="24"/>
    <n v="6"/>
    <s v="JUN"/>
    <n v="0"/>
    <x v="24"/>
    <n v="0"/>
    <x v="10"/>
    <s v=""/>
    <n v="0"/>
    <n v="0"/>
    <n v="0"/>
    <n v="0"/>
    <n v="0"/>
    <n v="0"/>
    <n v="0"/>
    <n v="0"/>
    <x v="5"/>
  </r>
  <r>
    <x v="170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0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1"/>
    <s v="#LI2VF1TTS "/>
    <x v="24"/>
    <n v="6"/>
    <s v="JUN"/>
    <n v="0"/>
    <x v="24"/>
    <n v="0"/>
    <x v="13"/>
    <d v="1899-12-30T01:10:00"/>
    <n v="15.39"/>
    <n v="27.17771351173262"/>
    <n v="6.88"/>
    <n v="5.8971428571428515"/>
    <n v="1"/>
    <n v="4.5074197332442685"/>
    <n v="5.4610801219779468"/>
    <n v="6.4749505260710922"/>
    <x v="5"/>
  </r>
  <r>
    <x v="171"/>
    <n v="0"/>
    <x v="24"/>
    <n v="6"/>
    <s v="JUN"/>
    <n v="0"/>
    <x v="24"/>
    <n v="0"/>
    <x v="14"/>
    <s v=""/>
    <n v="0"/>
    <n v="0"/>
    <n v="0"/>
    <n v="0"/>
    <n v="0"/>
    <n v="0"/>
    <n v="0"/>
    <n v="0"/>
    <x v="5"/>
  </r>
  <r>
    <x v="171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1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2"/>
    <s v="#LI5DDAW9J "/>
    <x v="24"/>
    <n v="6"/>
    <s v="JUN"/>
    <n v="0"/>
    <x v="24"/>
    <n v="0"/>
    <x v="1"/>
    <d v="1899-12-30T00:47:00"/>
    <n v="14.74"/>
    <n v="26.029856865688032"/>
    <n v="8.08"/>
    <n v="10.314893617021243"/>
    <n v="1"/>
    <n v="5.2935975936938506"/>
    <n v="6.4135940967415417"/>
    <n v="7.6043023620137253"/>
    <x v="5"/>
  </r>
  <r>
    <x v="172"/>
    <n v="0"/>
    <x v="24"/>
    <n v="6"/>
    <s v="JUN"/>
    <n v="0"/>
    <x v="24"/>
    <n v="0"/>
    <x v="1"/>
    <s v=""/>
    <n v="0"/>
    <n v="0"/>
    <n v="0"/>
    <n v="0"/>
    <n v="0"/>
    <n v="0"/>
    <n v="0"/>
    <n v="0"/>
    <x v="5"/>
  </r>
  <r>
    <x v="172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2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3"/>
    <s v="#LIAGR4DUE "/>
    <x v="24"/>
    <n v="6"/>
    <s v="JUN"/>
    <n v="0"/>
    <x v="24"/>
    <n v="0"/>
    <x v="3"/>
    <d v="1899-12-30T00:44:00"/>
    <n v="10.45"/>
    <n v="18.454003001793751"/>
    <n v="5.38"/>
    <n v="7.3363636363636369"/>
    <n v="1"/>
    <n v="3.5246974076822912"/>
    <n v="4.2704376535234525"/>
    <n v="5.063260731142802"/>
    <x v="5"/>
  </r>
  <r>
    <x v="173"/>
    <n v="0"/>
    <x v="24"/>
    <n v="6"/>
    <s v="JUN"/>
    <n v="0"/>
    <x v="24"/>
    <n v="0"/>
    <x v="5"/>
    <s v=""/>
    <n v="0"/>
    <n v="0"/>
    <n v="0"/>
    <n v="0"/>
    <n v="0"/>
    <n v="0"/>
    <n v="0"/>
    <n v="0"/>
    <x v="5"/>
  </r>
  <r>
    <x v="173"/>
    <n v="0"/>
    <x v="24"/>
    <n v="6"/>
    <s v="JUN"/>
    <n v="0"/>
    <x v="24"/>
    <n v="0"/>
    <x v="2"/>
    <s v=""/>
    <n v="0"/>
    <n v="0"/>
    <n v="0"/>
    <n v="0"/>
    <n v="0"/>
    <n v="0"/>
    <n v="0"/>
    <n v="0"/>
    <x v="5"/>
  </r>
  <r>
    <x v="174"/>
    <s v="#LIGAE7B2R "/>
    <x v="25"/>
    <n v="6"/>
    <s v="JUN"/>
    <s v="JUN"/>
    <x v="25"/>
    <n v="3"/>
    <x v="6"/>
    <d v="1899-12-30T00:33:00"/>
    <n v="4.37"/>
    <n v="7.7171285280228421"/>
    <n v="3.02"/>
    <n v="5.4909090909090841"/>
    <n v="1"/>
    <n v="1.9785476154647808"/>
    <n v="2.3971601698217149"/>
    <n v="2.8422021204556249"/>
    <x v="6"/>
  </r>
  <r>
    <x v="174"/>
    <n v="0"/>
    <x v="25"/>
    <n v="6"/>
    <s v="JUN"/>
    <n v="0"/>
    <x v="25"/>
    <n v="0"/>
    <x v="6"/>
    <s v=""/>
    <n v="0"/>
    <n v="0"/>
    <n v="0"/>
    <n v="0"/>
    <n v="0"/>
    <n v="0"/>
    <n v="0"/>
    <n v="0"/>
    <x v="6"/>
  </r>
  <r>
    <x v="174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4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5"/>
    <s v="#LIAFFLYLA "/>
    <x v="25"/>
    <n v="6"/>
    <s v="JUN"/>
    <n v="0"/>
    <x v="25"/>
    <n v="0"/>
    <x v="6"/>
    <d v="1899-12-30T00:27:00"/>
    <n v="2.73"/>
    <n v="4.8209979133872674"/>
    <n v="2.48"/>
    <n v="5.5111111111111306"/>
    <n v="1"/>
    <n v="1.6247675782624689"/>
    <n v="1.968528881178097"/>
    <n v="2.3339937942814402"/>
    <x v="6"/>
  </r>
  <r>
    <x v="175"/>
    <n v="0"/>
    <x v="25"/>
    <n v="6"/>
    <s v="JUN"/>
    <n v="0"/>
    <x v="25"/>
    <n v="0"/>
    <x v="7"/>
    <s v=""/>
    <n v="0"/>
    <n v="0"/>
    <n v="0"/>
    <n v="0"/>
    <n v="0"/>
    <n v="0"/>
    <n v="0"/>
    <n v="0"/>
    <x v="6"/>
  </r>
  <r>
    <x v="175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5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6"/>
    <s v="#LIPVZX9VQ "/>
    <x v="25"/>
    <n v="6"/>
    <s v="JUN"/>
    <n v="0"/>
    <x v="25"/>
    <n v="0"/>
    <x v="7"/>
    <d v="1899-12-30T00:34:00"/>
    <n v="2.78"/>
    <n v="4.9092945784676205"/>
    <n v="2.4700000000000002"/>
    <n v="4.3588235294117803"/>
    <n v="1"/>
    <n v="1.6182160960920557"/>
    <n v="1.9605912647217338"/>
    <n v="2.3245825289819186"/>
    <x v="6"/>
  </r>
  <r>
    <x v="176"/>
    <n v="0"/>
    <x v="25"/>
    <n v="6"/>
    <s v="JUN"/>
    <n v="0"/>
    <x v="25"/>
    <n v="0"/>
    <x v="8"/>
    <s v=""/>
    <n v="0"/>
    <n v="0"/>
    <n v="0"/>
    <n v="0"/>
    <n v="0"/>
    <n v="0"/>
    <n v="0"/>
    <n v="0"/>
    <x v="6"/>
  </r>
  <r>
    <x v="176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6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7"/>
    <s v="#LIP4LJKF6 "/>
    <x v="25"/>
    <n v="6"/>
    <s v="JUN"/>
    <n v="0"/>
    <x v="25"/>
    <n v="0"/>
    <x v="8"/>
    <d v="1899-12-30T00:24:00"/>
    <n v="4.5199999999999996"/>
    <n v="7.9820185232639007"/>
    <n v="3.08"/>
    <n v="7.7000000000000268"/>
    <n v="1"/>
    <n v="2.0178565084872599"/>
    <n v="2.4447858685598947"/>
    <n v="2.8986697122527567"/>
    <x v="6"/>
  </r>
  <r>
    <x v="177"/>
    <n v="0"/>
    <x v="25"/>
    <n v="6"/>
    <s v="JUN"/>
    <n v="0"/>
    <x v="25"/>
    <n v="0"/>
    <x v="8"/>
    <s v=""/>
    <n v="0"/>
    <n v="0"/>
    <n v="0"/>
    <n v="0"/>
    <n v="0"/>
    <n v="0"/>
    <n v="0"/>
    <n v="0"/>
    <x v="6"/>
  </r>
  <r>
    <x v="177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7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8"/>
    <s v="#LI2LKLXBA "/>
    <x v="25"/>
    <n v="6"/>
    <s v="JUN"/>
    <n v="0"/>
    <x v="25"/>
    <n v="0"/>
    <x v="8"/>
    <d v="1899-12-30T00:22:00"/>
    <n v="2.83"/>
    <n v="4.9975912435479737"/>
    <n v="2.48"/>
    <n v="6.763636363636337"/>
    <n v="1"/>
    <n v="1.6247675782624689"/>
    <n v="1.968528881178097"/>
    <n v="2.3339937942814402"/>
    <x v="6"/>
  </r>
  <r>
    <x v="178"/>
    <n v="0"/>
    <x v="25"/>
    <n v="6"/>
    <s v="JUN"/>
    <n v="0"/>
    <x v="25"/>
    <n v="0"/>
    <x v="9"/>
    <s v=""/>
    <n v="0"/>
    <n v="0"/>
    <n v="0"/>
    <n v="0"/>
    <n v="0"/>
    <n v="0"/>
    <n v="0"/>
    <n v="0"/>
    <x v="6"/>
  </r>
  <r>
    <x v="178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8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9"/>
    <s v="#LIRVHA7W1 "/>
    <x v="25"/>
    <n v="6"/>
    <s v="JUN"/>
    <n v="0"/>
    <x v="25"/>
    <n v="0"/>
    <x v="9"/>
    <d v="1899-12-30T00:33:00"/>
    <n v="6.2"/>
    <n v="10.948786469963759"/>
    <n v="3.69"/>
    <n v="6.7090909090909001"/>
    <n v="1"/>
    <n v="2.4174969208824639"/>
    <n v="2.9289804723980555"/>
    <n v="3.4727568955235948"/>
    <x v="6"/>
  </r>
  <r>
    <x v="179"/>
    <n v="0"/>
    <x v="25"/>
    <n v="6"/>
    <s v="JUN"/>
    <n v="0"/>
    <x v="25"/>
    <n v="0"/>
    <x v="9"/>
    <s v=""/>
    <n v="0"/>
    <n v="0"/>
    <n v="0"/>
    <n v="0"/>
    <n v="0"/>
    <n v="0"/>
    <n v="0"/>
    <n v="0"/>
    <x v="6"/>
  </r>
  <r>
    <x v="179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79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0"/>
    <s v="#LIZSURSAP "/>
    <x v="25"/>
    <n v="6"/>
    <s v="JUN"/>
    <n v="0"/>
    <x v="25"/>
    <n v="0"/>
    <x v="9"/>
    <d v="1899-12-30T00:39:00"/>
    <n v="6.06"/>
    <n v="10.701555807738769"/>
    <n v="3.8"/>
    <n v="5.8461538461538423"/>
    <n v="1"/>
    <n v="2.4895632247570085"/>
    <n v="3.0162942534180517"/>
    <n v="3.576280813818336"/>
    <x v="6"/>
  </r>
  <r>
    <x v="180"/>
    <n v="0"/>
    <x v="25"/>
    <n v="6"/>
    <s v="JUN"/>
    <n v="0"/>
    <x v="25"/>
    <n v="0"/>
    <x v="10"/>
    <s v=""/>
    <n v="0"/>
    <n v="0"/>
    <n v="0"/>
    <n v="0"/>
    <n v="0"/>
    <n v="0"/>
    <n v="0"/>
    <n v="0"/>
    <x v="6"/>
  </r>
  <r>
    <x v="180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0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1"/>
    <s v="#LIW6MJNPB "/>
    <x v="25"/>
    <n v="6"/>
    <s v="JUN"/>
    <n v="0"/>
    <x v="25"/>
    <n v="0"/>
    <x v="10"/>
    <d v="1899-12-30T00:33:00"/>
    <n v="4.38"/>
    <n v="7.7347878610389129"/>
    <n v="3.09"/>
    <n v="5.6181818181818111"/>
    <n v="1"/>
    <n v="2.0244079906576729"/>
    <n v="2.452723485016258"/>
    <n v="2.9080809775522782"/>
    <x v="6"/>
  </r>
  <r>
    <x v="181"/>
    <n v="0"/>
    <x v="25"/>
    <n v="6"/>
    <s v="JUN"/>
    <n v="0"/>
    <x v="25"/>
    <n v="0"/>
    <x v="12"/>
    <s v=""/>
    <n v="0"/>
    <n v="0"/>
    <n v="0"/>
    <n v="0"/>
    <n v="0"/>
    <n v="0"/>
    <n v="0"/>
    <n v="0"/>
    <x v="6"/>
  </r>
  <r>
    <x v="181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1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2"/>
    <s v="#LIEWNZE5L "/>
    <x v="25"/>
    <n v="6"/>
    <s v="JUN"/>
    <n v="0"/>
    <x v="25"/>
    <n v="0"/>
    <x v="14"/>
    <d v="1899-12-30T00:23:00"/>
    <n v="3.48"/>
    <n v="6.1454478895925613"/>
    <n v="2.71"/>
    <n v="7.0695652173913306"/>
    <n v="1"/>
    <n v="1.7754516681819721"/>
    <n v="2.151094059674453"/>
    <n v="2.5504528961704449"/>
    <x v="6"/>
  </r>
  <r>
    <x v="182"/>
    <n v="0"/>
    <x v="25"/>
    <n v="6"/>
    <s v="JUN"/>
    <n v="0"/>
    <x v="25"/>
    <n v="0"/>
    <x v="14"/>
    <s v=""/>
    <n v="0"/>
    <n v="0"/>
    <n v="0"/>
    <n v="0"/>
    <n v="0"/>
    <n v="0"/>
    <n v="0"/>
    <n v="0"/>
    <x v="6"/>
  </r>
  <r>
    <x v="182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2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3"/>
    <s v="#LI11LRZL3 "/>
    <x v="25"/>
    <n v="6"/>
    <s v="JUN"/>
    <n v="0"/>
    <x v="25"/>
    <n v="0"/>
    <x v="14"/>
    <d v="1899-12-30T00:36:00"/>
    <n v="5.72"/>
    <n v="10.10113848519237"/>
    <n v="3.5"/>
    <n v="5.8333333333333544"/>
    <n v="1"/>
    <n v="2.2930187596446134"/>
    <n v="2.7781657597271532"/>
    <n v="3.2939428548326779"/>
    <x v="6"/>
  </r>
  <r>
    <x v="183"/>
    <n v="0"/>
    <x v="25"/>
    <n v="6"/>
    <s v="JUN"/>
    <n v="0"/>
    <x v="25"/>
    <n v="0"/>
    <x v="0"/>
    <s v=""/>
    <n v="0"/>
    <n v="0"/>
    <n v="0"/>
    <n v="0"/>
    <n v="0"/>
    <n v="0"/>
    <n v="0"/>
    <n v="0"/>
    <x v="6"/>
  </r>
  <r>
    <x v="183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3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4"/>
    <s v="#LIFXU96EG "/>
    <x v="25"/>
    <n v="6"/>
    <s v="JUN"/>
    <n v="0"/>
    <x v="25"/>
    <n v="0"/>
    <x v="0"/>
    <d v="1899-12-30T00:28:00"/>
    <n v="4.9400000000000004"/>
    <n v="8.7237105099388668"/>
    <n v="3.22"/>
    <n v="6.8999999999999853"/>
    <n v="1"/>
    <n v="2.1095772588730446"/>
    <n v="2.555912498948981"/>
    <n v="3.0304274264460638"/>
    <x v="6"/>
  </r>
  <r>
    <x v="184"/>
    <n v="0"/>
    <x v="25"/>
    <n v="6"/>
    <s v="JUN"/>
    <n v="0"/>
    <x v="25"/>
    <n v="0"/>
    <x v="0"/>
    <s v=""/>
    <n v="0"/>
    <n v="0"/>
    <n v="0"/>
    <n v="0"/>
    <n v="0"/>
    <n v="0"/>
    <n v="0"/>
    <n v="0"/>
    <x v="6"/>
  </r>
  <r>
    <x v="184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4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5"/>
    <s v="#LIQL1JYJZ "/>
    <x v="25"/>
    <n v="6"/>
    <s v="JUN"/>
    <n v="0"/>
    <x v="25"/>
    <n v="0"/>
    <x v="1"/>
    <d v="1899-12-30T01:40:00"/>
    <n v="8.5"/>
    <n v="15.01043306365999"/>
    <n v="1.95"/>
    <n v="1.1700000000000004"/>
    <n v="1"/>
    <n v="1.2775390232305703"/>
    <n v="1.5478352089908425"/>
    <n v="1.8351967334067776"/>
    <x v="6"/>
  </r>
  <r>
    <x v="185"/>
    <n v="0"/>
    <x v="25"/>
    <n v="6"/>
    <s v="JUN"/>
    <n v="0"/>
    <x v="25"/>
    <n v="0"/>
    <x v="3"/>
    <s v=""/>
    <n v="0"/>
    <n v="0"/>
    <n v="0"/>
    <n v="0"/>
    <n v="0"/>
    <n v="0"/>
    <n v="0"/>
    <n v="0"/>
    <x v="6"/>
  </r>
  <r>
    <x v="185"/>
    <n v="0"/>
    <x v="25"/>
    <n v="6"/>
    <s v="JUN"/>
    <n v="0"/>
    <x v="25"/>
    <n v="0"/>
    <x v="2"/>
    <s v=""/>
    <n v="0"/>
    <n v="0"/>
    <n v="0"/>
    <n v="0"/>
    <n v="0"/>
    <n v="0"/>
    <n v="0"/>
    <n v="0"/>
    <x v="6"/>
  </r>
  <r>
    <x v="186"/>
    <s v="#LIWGSXK3N "/>
    <x v="26"/>
    <n v="6"/>
    <s v="JUN"/>
    <s v="JUN"/>
    <x v="26"/>
    <n v="4"/>
    <x v="7"/>
    <d v="1899-12-30T00:45:00"/>
    <n v="7.75"/>
    <n v="13.685983087454698"/>
    <n v="4.21"/>
    <n v="5.6133333333333333"/>
    <n v="1"/>
    <n v="2.7581739937439491"/>
    <n v="3.3417365281289468"/>
    <n v="3.9621426910987356"/>
    <x v="0"/>
  </r>
  <r>
    <x v="186"/>
    <n v="0"/>
    <x v="26"/>
    <n v="6"/>
    <s v="JUN"/>
    <n v="0"/>
    <x v="26"/>
    <n v="0"/>
    <x v="8"/>
    <s v=""/>
    <n v="0"/>
    <n v="0"/>
    <n v="0"/>
    <n v="0"/>
    <n v="0"/>
    <n v="0"/>
    <n v="0"/>
    <n v="0"/>
    <x v="0"/>
  </r>
  <r>
    <x v="186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6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7"/>
    <s v="#LIVVV6G5V "/>
    <x v="26"/>
    <n v="6"/>
    <s v="JUN"/>
    <n v="0"/>
    <x v="26"/>
    <n v="0"/>
    <x v="8"/>
    <d v="1899-12-30T00:33:00"/>
    <n v="10.95"/>
    <n v="19.336969652597283"/>
    <n v="6.23"/>
    <n v="11.327272727272714"/>
    <n v="1"/>
    <n v="4.081573392167412"/>
    <n v="4.9451350523143329"/>
    <n v="5.8632182816021672"/>
    <x v="0"/>
  </r>
  <r>
    <x v="187"/>
    <n v="0"/>
    <x v="26"/>
    <n v="6"/>
    <s v="JUN"/>
    <n v="0"/>
    <x v="26"/>
    <n v="0"/>
    <x v="8"/>
    <s v=""/>
    <n v="0"/>
    <n v="0"/>
    <n v="0"/>
    <n v="0"/>
    <n v="0"/>
    <n v="0"/>
    <n v="0"/>
    <n v="0"/>
    <x v="0"/>
  </r>
  <r>
    <x v="187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7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8"/>
    <s v="#LIMHRMT2Y "/>
    <x v="26"/>
    <n v="6"/>
    <s v="JUN"/>
    <n v="0"/>
    <x v="26"/>
    <n v="0"/>
    <x v="8"/>
    <d v="1899-12-30T00:37:00"/>
    <n v="10.11"/>
    <n v="17.853585679247352"/>
    <n v="6.53"/>
    <n v="10.589189189189181"/>
    <n v="1"/>
    <n v="4.2781178572798071"/>
    <n v="5.1832635460052314"/>
    <n v="6.1455562405878252"/>
    <x v="0"/>
  </r>
  <r>
    <x v="188"/>
    <n v="0"/>
    <x v="26"/>
    <n v="6"/>
    <s v="JUN"/>
    <n v="0"/>
    <x v="26"/>
    <n v="0"/>
    <x v="9"/>
    <s v=""/>
    <n v="0"/>
    <n v="0"/>
    <n v="0"/>
    <n v="0"/>
    <n v="0"/>
    <n v="0"/>
    <n v="0"/>
    <n v="0"/>
    <x v="0"/>
  </r>
  <r>
    <x v="188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8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9"/>
    <s v="#LILTKETTX "/>
    <x v="26"/>
    <n v="6"/>
    <s v="JUN"/>
    <n v="0"/>
    <x v="26"/>
    <n v="0"/>
    <x v="9"/>
    <d v="1899-12-30T00:26:00"/>
    <n v="3.4"/>
    <n v="6.0041732254639966"/>
    <n v="2.68"/>
    <n v="6.1846153846153689"/>
    <n v="1"/>
    <n v="1.7557972216707325"/>
    <n v="2.1272812103053629"/>
    <n v="2.5222191002718795"/>
    <x v="0"/>
  </r>
  <r>
    <x v="189"/>
    <n v="0"/>
    <x v="26"/>
    <n v="6"/>
    <s v="JUN"/>
    <n v="0"/>
    <x v="26"/>
    <n v="0"/>
    <x v="9"/>
    <s v=""/>
    <n v="0"/>
    <n v="0"/>
    <n v="0"/>
    <n v="0"/>
    <n v="0"/>
    <n v="0"/>
    <n v="0"/>
    <n v="0"/>
    <x v="0"/>
  </r>
  <r>
    <x v="189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89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0"/>
    <s v="#LISTUETWJ "/>
    <x v="26"/>
    <n v="6"/>
    <s v="JUN"/>
    <n v="0"/>
    <x v="26"/>
    <n v="0"/>
    <x v="0"/>
    <d v="1899-12-30T00:51:00"/>
    <n v="8.4600000000000009"/>
    <n v="14.93979573159571"/>
    <n v="4.45"/>
    <n v="5.2352941176470775"/>
    <n v="1"/>
    <n v="2.9154095658338655"/>
    <n v="3.532239323081666"/>
    <n v="4.1880130582872619"/>
    <x v="0"/>
  </r>
  <r>
    <x v="190"/>
    <n v="0"/>
    <x v="26"/>
    <n v="6"/>
    <s v="JUN"/>
    <n v="0"/>
    <x v="26"/>
    <n v="0"/>
    <x v="1"/>
    <s v=""/>
    <n v="0"/>
    <n v="0"/>
    <n v="0"/>
    <n v="0"/>
    <n v="0"/>
    <n v="0"/>
    <n v="0"/>
    <n v="0"/>
    <x v="0"/>
  </r>
  <r>
    <x v="190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0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1"/>
    <s v="#LILDLMHSL "/>
    <x v="26"/>
    <n v="6"/>
    <s v="JUN"/>
    <n v="0"/>
    <x v="26"/>
    <n v="0"/>
    <x v="1"/>
    <d v="1899-12-30T00:52:00"/>
    <n v="9.85"/>
    <n v="17.394443020829517"/>
    <n v="6.44"/>
    <n v="7.4307692307692346"/>
    <n v="1"/>
    <n v="4.2191545177460892"/>
    <n v="5.111824997897962"/>
    <n v="6.0608548528921276"/>
    <x v="0"/>
  </r>
  <r>
    <x v="191"/>
    <n v="0"/>
    <x v="26"/>
    <n v="6"/>
    <s v="JUN"/>
    <n v="0"/>
    <x v="26"/>
    <n v="0"/>
    <x v="3"/>
    <s v=""/>
    <n v="0"/>
    <n v="0"/>
    <n v="0"/>
    <n v="0"/>
    <n v="0"/>
    <n v="0"/>
    <n v="0"/>
    <n v="0"/>
    <x v="0"/>
  </r>
  <r>
    <x v="191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1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2"/>
    <s v="#LIDJ2ATFF "/>
    <x v="26"/>
    <n v="6"/>
    <s v="JUN"/>
    <n v="0"/>
    <x v="26"/>
    <n v="0"/>
    <x v="3"/>
    <d v="1899-12-30T00:31:00"/>
    <n v="10.35"/>
    <n v="18.277409671633048"/>
    <n v="1.95"/>
    <n v="3.7741935483870908"/>
    <n v="1"/>
    <n v="1.2775390232305703"/>
    <n v="1.5478352089908425"/>
    <n v="1.8351967334067776"/>
    <x v="0"/>
  </r>
  <r>
    <x v="192"/>
    <n v="0"/>
    <x v="26"/>
    <n v="6"/>
    <s v="JUN"/>
    <n v="0"/>
    <x v="26"/>
    <n v="0"/>
    <x v="5"/>
    <s v=""/>
    <n v="0"/>
    <n v="0"/>
    <n v="0"/>
    <n v="0"/>
    <n v="0"/>
    <n v="0"/>
    <n v="0"/>
    <n v="0"/>
    <x v="0"/>
  </r>
  <r>
    <x v="192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2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3"/>
    <s v="#LI6UWWQAP "/>
    <x v="26"/>
    <n v="6"/>
    <s v="JUN"/>
    <n v="0"/>
    <x v="26"/>
    <n v="0"/>
    <x v="5"/>
    <d v="1899-12-30T00:34:00"/>
    <n v="4.1500000000000004"/>
    <n v="7.3286232016692905"/>
    <n v="4.7"/>
    <n v="8.2941176470588136"/>
    <n v="1"/>
    <n v="3.0791966200941951"/>
    <n v="3.7306797344907485"/>
    <n v="4.423294690775311"/>
    <x v="0"/>
  </r>
  <r>
    <x v="193"/>
    <n v="0"/>
    <x v="26"/>
    <n v="6"/>
    <s v="JUN"/>
    <n v="0"/>
    <x v="26"/>
    <n v="0"/>
    <x v="4"/>
    <s v=""/>
    <n v="0"/>
    <n v="0"/>
    <n v="0"/>
    <n v="0"/>
    <n v="0"/>
    <n v="0"/>
    <n v="0"/>
    <n v="0"/>
    <x v="0"/>
  </r>
  <r>
    <x v="193"/>
    <n v="0"/>
    <x v="26"/>
    <n v="6"/>
    <s v="JUN"/>
    <n v="0"/>
    <x v="26"/>
    <n v="0"/>
    <x v="2"/>
    <s v=""/>
    <n v="0"/>
    <n v="0"/>
    <n v="0"/>
    <n v="0"/>
    <n v="0"/>
    <n v="0"/>
    <n v="0"/>
    <n v="0"/>
    <x v="0"/>
  </r>
  <r>
    <x v="194"/>
    <s v="#LIR6CCDCZ "/>
    <x v="27"/>
    <n v="6"/>
    <s v="JUN"/>
    <s v="JUN"/>
    <x v="27"/>
    <n v="5"/>
    <x v="7"/>
    <d v="1899-12-30T00:46:00"/>
    <n v="5.7"/>
    <n v="10.065819819160229"/>
    <n v="3.49"/>
    <n v="4.552173913043478"/>
    <n v="1"/>
    <n v="2.2864672774742001"/>
    <n v="2.7702281432707898"/>
    <n v="3.2845315895331564"/>
    <x v="1"/>
  </r>
  <r>
    <x v="194"/>
    <n v="0"/>
    <x v="27"/>
    <n v="6"/>
    <s v="JUN"/>
    <n v="0"/>
    <x v="27"/>
    <n v="0"/>
    <x v="7"/>
    <s v=""/>
    <n v="0"/>
    <n v="0"/>
    <n v="0"/>
    <n v="0"/>
    <n v="0"/>
    <n v="0"/>
    <n v="0"/>
    <n v="0"/>
    <x v="1"/>
  </r>
  <r>
    <x v="194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4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5"/>
    <s v="#LI9TBUANM "/>
    <x v="27"/>
    <n v="6"/>
    <s v="JUN"/>
    <n v="0"/>
    <x v="27"/>
    <n v="0"/>
    <x v="8"/>
    <d v="1899-12-30T00:25:00"/>
    <n v="6.62"/>
    <n v="11.690478456638722"/>
    <n v="3.83"/>
    <n v="9.1920000000000321"/>
    <n v="1"/>
    <n v="2.5092176712682481"/>
    <n v="3.0401071027871418"/>
    <n v="3.6045146097169019"/>
    <x v="1"/>
  </r>
  <r>
    <x v="195"/>
    <n v="0"/>
    <x v="27"/>
    <n v="6"/>
    <s v="JUN"/>
    <n v="0"/>
    <x v="27"/>
    <n v="0"/>
    <x v="8"/>
    <s v=""/>
    <n v="0"/>
    <n v="0"/>
    <n v="0"/>
    <n v="0"/>
    <n v="0"/>
    <n v="0"/>
    <n v="0"/>
    <n v="0"/>
    <x v="1"/>
  </r>
  <r>
    <x v="195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5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6"/>
    <s v="#LI1ZBXKSU "/>
    <x v="27"/>
    <n v="6"/>
    <s v="JUN"/>
    <n v="0"/>
    <x v="27"/>
    <n v="0"/>
    <x v="9"/>
    <d v="1899-12-30T00:52:00"/>
    <n v="3.93"/>
    <n v="6.9401178753157371"/>
    <n v="2.87"/>
    <n v="3.3115384615384631"/>
    <n v="1"/>
    <n v="1.880275382908583"/>
    <n v="2.2780959229762656"/>
    <n v="2.7010331409627959"/>
    <x v="1"/>
  </r>
  <r>
    <x v="196"/>
    <n v="0"/>
    <x v="27"/>
    <n v="6"/>
    <s v="JUN"/>
    <n v="0"/>
    <x v="27"/>
    <n v="0"/>
    <x v="9"/>
    <s v=""/>
    <n v="0"/>
    <n v="0"/>
    <n v="0"/>
    <n v="0"/>
    <n v="0"/>
    <n v="0"/>
    <n v="0"/>
    <n v="0"/>
    <x v="1"/>
  </r>
  <r>
    <x v="196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6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7"/>
    <s v="#LIVKKH2GC "/>
    <x v="27"/>
    <n v="6"/>
    <s v="JUN"/>
    <n v="0"/>
    <x v="27"/>
    <n v="0"/>
    <x v="0"/>
    <d v="1899-12-30T00:38:00"/>
    <n v="2.74"/>
    <n v="4.8386572464033382"/>
    <n v="2.5499999999999998"/>
    <n v="4.0263157894736983"/>
    <n v="1"/>
    <n v="1.670627953455361"/>
    <n v="2.0240921963726399"/>
    <n v="2.3998726513780939"/>
    <x v="1"/>
  </r>
  <r>
    <x v="197"/>
    <n v="0"/>
    <x v="27"/>
    <n v="6"/>
    <s v="JUN"/>
    <n v="0"/>
    <x v="27"/>
    <n v="0"/>
    <x v="1"/>
    <s v=""/>
    <n v="0"/>
    <n v="0"/>
    <n v="0"/>
    <n v="0"/>
    <n v="0"/>
    <n v="0"/>
    <n v="0"/>
    <n v="0"/>
    <x v="1"/>
  </r>
  <r>
    <x v="197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7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8"/>
    <s v="#LISBD2LS1 "/>
    <x v="27"/>
    <n v="6"/>
    <s v="JUN"/>
    <n v="0"/>
    <x v="27"/>
    <n v="0"/>
    <x v="1"/>
    <d v="1899-12-30T00:41:00"/>
    <n v="4.04"/>
    <n v="7.1343705384925133"/>
    <n v="3.78"/>
    <n v="5.5317073170731685"/>
    <n v="1"/>
    <n v="2.4764602604161823"/>
    <n v="3.0004190205053254"/>
    <n v="3.557458283219292"/>
    <x v="1"/>
  </r>
  <r>
    <x v="198"/>
    <n v="0"/>
    <x v="27"/>
    <n v="6"/>
    <s v="JUN"/>
    <n v="0"/>
    <x v="27"/>
    <n v="0"/>
    <x v="1"/>
    <s v=""/>
    <n v="0"/>
    <n v="0"/>
    <n v="0"/>
    <n v="0"/>
    <n v="0"/>
    <n v="0"/>
    <n v="0"/>
    <n v="0"/>
    <x v="1"/>
  </r>
  <r>
    <x v="198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8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199"/>
    <s v="#LICH6JS1G "/>
    <x v="27"/>
    <n v="6"/>
    <s v="JUN"/>
    <n v="0"/>
    <x v="27"/>
    <n v="0"/>
    <x v="1"/>
    <d v="1899-12-30T00:36:00"/>
    <n v="8.2899999999999991"/>
    <n v="14.639587070322508"/>
    <n v="5.72"/>
    <n v="9.533333333333367"/>
    <n v="1"/>
    <n v="3.7474478014763393"/>
    <n v="4.5403166130398045"/>
    <n v="5.3832437513265479"/>
    <x v="1"/>
  </r>
  <r>
    <x v="199"/>
    <n v="0"/>
    <x v="27"/>
    <n v="6"/>
    <s v="JUN"/>
    <n v="0"/>
    <x v="27"/>
    <n v="0"/>
    <x v="3"/>
    <s v=""/>
    <n v="0"/>
    <n v="0"/>
    <n v="0"/>
    <n v="0"/>
    <n v="0"/>
    <n v="0"/>
    <n v="0"/>
    <n v="0"/>
    <x v="1"/>
  </r>
  <r>
    <x v="199"/>
    <n v="0"/>
    <x v="27"/>
    <n v="6"/>
    <s v="JUN"/>
    <n v="0"/>
    <x v="27"/>
    <n v="0"/>
    <x v="2"/>
    <s v=""/>
    <n v="0"/>
    <n v="0"/>
    <n v="0"/>
    <n v="0"/>
    <n v="0"/>
    <n v="0"/>
    <n v="0"/>
    <n v="0"/>
    <x v="1"/>
  </r>
  <r>
    <x v="200"/>
    <s v="#LIJP3CKZP "/>
    <x v="28"/>
    <n v="6"/>
    <s v="JUN"/>
    <s v="JUN"/>
    <x v="28"/>
    <n v="6"/>
    <x v="7"/>
    <d v="1899-12-30T00:56:00"/>
    <n v="7.18"/>
    <n v="12.679401105538673"/>
    <n v="4.01"/>
    <n v="4.2964285714285744"/>
    <n v="1"/>
    <n v="2.6271443503356853"/>
    <n v="3.1829841990016807"/>
    <n v="3.7739173851082963"/>
    <x v="2"/>
  </r>
  <r>
    <x v="200"/>
    <n v="0"/>
    <x v="28"/>
    <n v="6"/>
    <s v="JUN"/>
    <n v="0"/>
    <x v="28"/>
    <n v="0"/>
    <x v="8"/>
    <s v=""/>
    <n v="0"/>
    <n v="0"/>
    <n v="0"/>
    <n v="0"/>
    <n v="0"/>
    <n v="0"/>
    <n v="0"/>
    <n v="0"/>
    <x v="2"/>
  </r>
  <r>
    <x v="200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0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1"/>
    <s v="#LIUYCYB3Y "/>
    <x v="28"/>
    <n v="6"/>
    <s v="JUN"/>
    <n v="0"/>
    <x v="28"/>
    <n v="0"/>
    <x v="0"/>
    <d v="1899-12-30T00:35:00"/>
    <n v="6.23"/>
    <n v="11.00176446901197"/>
    <n v="3.68"/>
    <n v="6.30857142857145"/>
    <n v="1"/>
    <n v="2.4109454387120506"/>
    <n v="2.9210428559416926"/>
    <n v="3.4633456302240728"/>
    <x v="2"/>
  </r>
  <r>
    <x v="201"/>
    <n v="0"/>
    <x v="28"/>
    <n v="6"/>
    <s v="JUN"/>
    <n v="0"/>
    <x v="28"/>
    <n v="0"/>
    <x v="1"/>
    <s v=""/>
    <n v="0"/>
    <n v="0"/>
    <n v="0"/>
    <n v="0"/>
    <n v="0"/>
    <n v="0"/>
    <n v="0"/>
    <n v="0"/>
    <x v="2"/>
  </r>
  <r>
    <x v="201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1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2"/>
    <s v="#LIWVBTKSQ "/>
    <x v="28"/>
    <n v="6"/>
    <s v="JUN"/>
    <n v="0"/>
    <x v="28"/>
    <n v="0"/>
    <x v="1"/>
    <d v="1899-12-30T00:47:00"/>
    <n v="3.68"/>
    <n v="6.498634549913973"/>
    <n v="2.78"/>
    <n v="3.548936170212754"/>
    <n v="1"/>
    <n v="1.8213120433748642"/>
    <n v="2.2066573748689957"/>
    <n v="2.6163317532670982"/>
    <x v="2"/>
  </r>
  <r>
    <x v="202"/>
    <n v="0"/>
    <x v="28"/>
    <n v="6"/>
    <s v="JUN"/>
    <n v="0"/>
    <x v="28"/>
    <n v="0"/>
    <x v="3"/>
    <s v=""/>
    <n v="0"/>
    <n v="0"/>
    <n v="0"/>
    <n v="0"/>
    <n v="0"/>
    <n v="0"/>
    <n v="0"/>
    <n v="0"/>
    <x v="2"/>
  </r>
  <r>
    <x v="202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2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3"/>
    <s v="#LIRZ1U33E "/>
    <x v="28"/>
    <n v="6"/>
    <s v="JUN"/>
    <n v="0"/>
    <x v="28"/>
    <n v="0"/>
    <x v="3"/>
    <d v="1899-12-30T00:33:00"/>
    <n v="4.87"/>
    <n v="8.600095178826372"/>
    <n v="3.62"/>
    <n v="6.5818181818182371"/>
    <n v="1"/>
    <n v="2.3716365456895714"/>
    <n v="2.8734171572035128"/>
    <n v="3.4068780384269415"/>
    <x v="2"/>
  </r>
  <r>
    <x v="203"/>
    <n v="0"/>
    <x v="28"/>
    <n v="6"/>
    <s v="JUN"/>
    <n v="0"/>
    <x v="28"/>
    <n v="0"/>
    <x v="3"/>
    <s v=""/>
    <n v="0"/>
    <n v="0"/>
    <n v="0"/>
    <n v="0"/>
    <n v="0"/>
    <n v="0"/>
    <n v="0"/>
    <n v="0"/>
    <x v="2"/>
  </r>
  <r>
    <x v="203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3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4"/>
    <s v="#LITKYA1WA "/>
    <x v="28"/>
    <n v="6"/>
    <s v="JUN"/>
    <n v="0"/>
    <x v="28"/>
    <n v="0"/>
    <x v="3"/>
    <d v="1899-12-30T00:50:00"/>
    <n v="5.73"/>
    <n v="10.118797818208442"/>
    <n v="4.74"/>
    <n v="5.6880000000000024"/>
    <n v="1"/>
    <n v="3.1054025487758481"/>
    <n v="3.7624302003162016"/>
    <n v="4.460939751973398"/>
    <x v="2"/>
  </r>
  <r>
    <x v="204"/>
    <n v="0"/>
    <x v="28"/>
    <n v="6"/>
    <s v="JUN"/>
    <n v="0"/>
    <x v="28"/>
    <n v="0"/>
    <x v="5"/>
    <s v=""/>
    <n v="0"/>
    <n v="0"/>
    <n v="0"/>
    <n v="0"/>
    <n v="0"/>
    <n v="0"/>
    <n v="0"/>
    <n v="0"/>
    <x v="2"/>
  </r>
  <r>
    <x v="204"/>
    <n v="0"/>
    <x v="28"/>
    <n v="6"/>
    <s v="JUN"/>
    <n v="0"/>
    <x v="28"/>
    <n v="0"/>
    <x v="2"/>
    <s v=""/>
    <n v="0"/>
    <n v="0"/>
    <n v="0"/>
    <n v="0"/>
    <n v="0"/>
    <n v="0"/>
    <n v="0"/>
    <n v="0"/>
    <x v="2"/>
  </r>
  <r>
    <x v="205"/>
    <s v="#LIVFRMREH "/>
    <x v="29"/>
    <n v="6"/>
    <s v="JUN"/>
    <s v="JUN"/>
    <x v="0"/>
    <n v="7"/>
    <x v="7"/>
    <d v="1899-12-30T01:09:00"/>
    <n v="6.41"/>
    <n v="11.319632463301241"/>
    <n v="4.96"/>
    <n v="4.3130434782608651"/>
    <n v="1"/>
    <n v="3.2495351565249377"/>
    <n v="3.937057762356194"/>
    <n v="4.6679875885628803"/>
    <x v="3"/>
  </r>
  <r>
    <x v="205"/>
    <n v="0"/>
    <x v="29"/>
    <n v="6"/>
    <s v="JUN"/>
    <n v="0"/>
    <x v="0"/>
    <n v="0"/>
    <x v="8"/>
    <s v=""/>
    <n v="0"/>
    <n v="0"/>
    <n v="0"/>
    <n v="0"/>
    <n v="0"/>
    <n v="0"/>
    <n v="0"/>
    <n v="0"/>
    <x v="3"/>
  </r>
  <r>
    <x v="205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5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6"/>
    <s v="#LI1EE6BDY "/>
    <x v="29"/>
    <n v="6"/>
    <s v="JUN"/>
    <n v="0"/>
    <x v="0"/>
    <n v="0"/>
    <x v="8"/>
    <d v="1899-12-30T00:23:00"/>
    <n v="4.7"/>
    <n v="8.2998865175531709"/>
    <n v="4.08"/>
    <n v="10.643478260869605"/>
    <n v="1"/>
    <n v="2.6730047255285778"/>
    <n v="3.2385475141962243"/>
    <n v="3.8397962422049505"/>
    <x v="3"/>
  </r>
  <r>
    <x v="206"/>
    <n v="0"/>
    <x v="29"/>
    <n v="6"/>
    <s v="JUN"/>
    <n v="0"/>
    <x v="0"/>
    <n v="0"/>
    <x v="8"/>
    <s v=""/>
    <n v="0"/>
    <n v="0"/>
    <n v="0"/>
    <n v="0"/>
    <n v="0"/>
    <n v="0"/>
    <n v="0"/>
    <n v="0"/>
    <x v="3"/>
  </r>
  <r>
    <x v="206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6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7"/>
    <s v="#LIFSJE8JA "/>
    <x v="29"/>
    <n v="6"/>
    <s v="JUN"/>
    <n v="0"/>
    <x v="0"/>
    <n v="0"/>
    <x v="0"/>
    <d v="1899-12-30T00:44:00"/>
    <n v="5.92"/>
    <n v="10.454325145513781"/>
    <n v="4.6500000000000004"/>
    <n v="6.3409090909091148"/>
    <n v="1"/>
    <n v="3.0464392092421293"/>
    <n v="3.6909916522089321"/>
    <n v="4.3762383642777012"/>
    <x v="3"/>
  </r>
  <r>
    <x v="207"/>
    <n v="0"/>
    <x v="29"/>
    <n v="6"/>
    <s v="JUN"/>
    <n v="0"/>
    <x v="0"/>
    <n v="0"/>
    <x v="1"/>
    <s v=""/>
    <n v="0"/>
    <n v="0"/>
    <n v="0"/>
    <n v="0"/>
    <n v="0"/>
    <n v="0"/>
    <n v="0"/>
    <n v="0"/>
    <x v="3"/>
  </r>
  <r>
    <x v="207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7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8"/>
    <s v="#LIGA7C6AH "/>
    <x v="29"/>
    <n v="6"/>
    <s v="JUN"/>
    <n v="0"/>
    <x v="0"/>
    <n v="0"/>
    <x v="1"/>
    <d v="1899-12-30T00:28:00"/>
    <n v="11.59"/>
    <n v="20.4671669656258"/>
    <n v="7.21"/>
    <n v="15.449999999999967"/>
    <n v="1"/>
    <n v="4.7236186448679032"/>
    <n v="5.7230214650379354"/>
    <n v="6.7855222809553162"/>
    <x v="3"/>
  </r>
  <r>
    <x v="208"/>
    <n v="0"/>
    <x v="29"/>
    <n v="6"/>
    <s v="JUN"/>
    <n v="0"/>
    <x v="0"/>
    <n v="0"/>
    <x v="1"/>
    <s v=""/>
    <n v="0"/>
    <n v="0"/>
    <n v="0"/>
    <n v="0"/>
    <n v="0"/>
    <n v="0"/>
    <n v="0"/>
    <n v="0"/>
    <x v="3"/>
  </r>
  <r>
    <x v="208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8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9"/>
    <s v="#LIWLMBDMZ "/>
    <x v="29"/>
    <n v="6"/>
    <s v="JUN"/>
    <n v="0"/>
    <x v="0"/>
    <n v="0"/>
    <x v="3"/>
    <d v="1899-12-30T02:02:00"/>
    <n v="9.3000000000000007"/>
    <n v="16.423179704945639"/>
    <n v="6.17"/>
    <n v="3.0344262295081954"/>
    <n v="1"/>
    <n v="4.0422644991449328"/>
    <n v="4.8975093535761527"/>
    <n v="5.8067506898050354"/>
    <x v="3"/>
  </r>
  <r>
    <x v="209"/>
    <n v="0"/>
    <x v="29"/>
    <n v="6"/>
    <s v="JUN"/>
    <n v="0"/>
    <x v="0"/>
    <n v="0"/>
    <x v="4"/>
    <s v=""/>
    <n v="0"/>
    <n v="0"/>
    <n v="0"/>
    <n v="0"/>
    <n v="0"/>
    <n v="0"/>
    <n v="0"/>
    <n v="0"/>
    <x v="3"/>
  </r>
  <r>
    <x v="209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09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0"/>
    <s v="#LI2NSU1XL "/>
    <x v="29"/>
    <n v="6"/>
    <s v="JUN"/>
    <n v="0"/>
    <x v="0"/>
    <n v="0"/>
    <x v="1"/>
    <d v="1899-12-30T00:36:00"/>
    <n v="2.82"/>
    <n v="4.9799319105319029"/>
    <n v="4.2300000000000004"/>
    <n v="7.0500000000000256"/>
    <n v="1"/>
    <n v="2.7712769580847758"/>
    <n v="3.357611761041674"/>
    <n v="3.9809652216977796"/>
    <x v="3"/>
  </r>
  <r>
    <x v="210"/>
    <n v="0"/>
    <x v="29"/>
    <n v="6"/>
    <s v="JUN"/>
    <n v="0"/>
    <x v="0"/>
    <n v="0"/>
    <x v="3"/>
    <s v=""/>
    <n v="0"/>
    <n v="0"/>
    <n v="0"/>
    <n v="0"/>
    <n v="0"/>
    <n v="0"/>
    <n v="0"/>
    <n v="0"/>
    <x v="3"/>
  </r>
  <r>
    <x v="210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0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1"/>
    <s v="#LILL3CYAX "/>
    <x v="29"/>
    <n v="6"/>
    <s v="JUN"/>
    <n v="0"/>
    <x v="0"/>
    <n v="0"/>
    <x v="3"/>
    <d v="1899-12-30T00:54:00"/>
    <n v="13.01"/>
    <n v="22.974792253907822"/>
    <n v="9.7799999999999994"/>
    <n v="10.86666666666664"/>
    <n v="1"/>
    <n v="6.4073495626640904"/>
    <n v="7.7629888943233016"/>
    <n v="9.2042174629324531"/>
    <x v="3"/>
  </r>
  <r>
    <x v="211"/>
    <n v="0"/>
    <x v="29"/>
    <n v="6"/>
    <s v="JUN"/>
    <n v="0"/>
    <x v="0"/>
    <n v="0"/>
    <x v="5"/>
    <s v=""/>
    <n v="0"/>
    <n v="0"/>
    <n v="0"/>
    <n v="0"/>
    <n v="0"/>
    <n v="0"/>
    <n v="0"/>
    <n v="0"/>
    <x v="3"/>
  </r>
  <r>
    <x v="211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1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2"/>
    <s v="#LIPRQ97NR "/>
    <x v="29"/>
    <n v="6"/>
    <s v="JUN"/>
    <n v="0"/>
    <x v="0"/>
    <n v="0"/>
    <x v="2"/>
    <d v="1899-12-30T00:00:00"/>
    <n v="6.22"/>
    <n v="10.984105135995899"/>
    <n v="6.36"/>
    <n v="0"/>
    <n v="1"/>
    <n v="4.1667426603827833"/>
    <n v="5.0483240662470559"/>
    <n v="5.9855647304959518"/>
    <x v="3"/>
  </r>
  <r>
    <x v="212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2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2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3"/>
    <s v="#LIKJBFDY1 "/>
    <x v="29"/>
    <n v="6"/>
    <s v="JUN"/>
    <n v="0"/>
    <x v="0"/>
    <n v="0"/>
    <x v="5"/>
    <d v="1899-12-30T00:17:00"/>
    <n v="5.62"/>
    <n v="9.9245451550316641"/>
    <n v="4.6500000000000004"/>
    <n v="16.411764705882412"/>
    <n v="1"/>
    <n v="3.0464392092421293"/>
    <n v="3.6909916522089321"/>
    <n v="4.3762383642777012"/>
    <x v="3"/>
  </r>
  <r>
    <x v="213"/>
    <n v="0"/>
    <x v="29"/>
    <n v="6"/>
    <s v="JUN"/>
    <n v="0"/>
    <x v="0"/>
    <n v="0"/>
    <x v="5"/>
    <s v=""/>
    <n v="0"/>
    <n v="0"/>
    <n v="0"/>
    <n v="0"/>
    <n v="0"/>
    <n v="0"/>
    <n v="0"/>
    <n v="0"/>
    <x v="3"/>
  </r>
  <r>
    <x v="213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3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4"/>
    <s v="#LILQYWHPP "/>
    <x v="29"/>
    <n v="6"/>
    <s v="JUN"/>
    <n v="0"/>
    <x v="0"/>
    <n v="0"/>
    <x v="5"/>
    <d v="1899-12-30T01:21:00"/>
    <n v="13.89"/>
    <n v="24.528813559322032"/>
    <n v="1.95"/>
    <n v="1.4444444444444438"/>
    <n v="1"/>
    <n v="1.2775390232305703"/>
    <n v="1.5478352089908425"/>
    <n v="1.8351967334067776"/>
    <x v="3"/>
  </r>
  <r>
    <x v="214"/>
    <n v="0"/>
    <x v="29"/>
    <n v="6"/>
    <s v="JUN"/>
    <n v="0"/>
    <x v="0"/>
    <n v="0"/>
    <x v="4"/>
    <s v=""/>
    <n v="0"/>
    <n v="0"/>
    <n v="0"/>
    <n v="0"/>
    <n v="0"/>
    <n v="0"/>
    <n v="0"/>
    <n v="0"/>
    <x v="3"/>
  </r>
  <r>
    <x v="214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4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5"/>
    <s v="#LIBU2YDEF "/>
    <x v="29"/>
    <n v="6"/>
    <s v="JUN"/>
    <n v="0"/>
    <x v="0"/>
    <n v="0"/>
    <x v="4"/>
    <d v="1899-12-30T00:10:00"/>
    <n v="5.27"/>
    <n v="9.3064684994691937"/>
    <n v="4.34"/>
    <n v="26.040000000000092"/>
    <n v="1"/>
    <n v="2.8433432619593204"/>
    <n v="3.4449255420616698"/>
    <n v="4.0844891399925203"/>
    <x v="3"/>
  </r>
  <r>
    <x v="215"/>
    <n v="0"/>
    <x v="29"/>
    <n v="6"/>
    <s v="JUN"/>
    <n v="0"/>
    <x v="0"/>
    <n v="0"/>
    <x v="4"/>
    <s v=""/>
    <n v="0"/>
    <n v="0"/>
    <n v="0"/>
    <n v="0"/>
    <n v="0"/>
    <n v="0"/>
    <n v="0"/>
    <n v="0"/>
    <x v="3"/>
  </r>
  <r>
    <x v="215"/>
    <n v="0"/>
    <x v="29"/>
    <n v="6"/>
    <s v="JUN"/>
    <n v="0"/>
    <x v="0"/>
    <n v="0"/>
    <x v="2"/>
    <s v=""/>
    <n v="0"/>
    <n v="0"/>
    <n v="0"/>
    <n v="0"/>
    <n v="0"/>
    <n v="0"/>
    <n v="0"/>
    <n v="0"/>
    <x v="3"/>
  </r>
  <r>
    <x v="216"/>
    <s v="#LI1LDFBRE "/>
    <x v="30"/>
    <n v="6"/>
    <s v="JUN"/>
    <s v="JUN"/>
    <x v="1"/>
    <n v="8"/>
    <x v="0"/>
    <d v="1899-12-30T00:48:00"/>
    <n v="3.32"/>
    <n v="5.8628985613354319"/>
    <n v="2.66"/>
    <n v="3.3250000000000117"/>
    <n v="1"/>
    <n v="1.7426942573299062"/>
    <n v="2.1114059773926366"/>
    <n v="2.5033965696728355"/>
    <x v="4"/>
  </r>
  <r>
    <x v="216"/>
    <n v="0"/>
    <x v="30"/>
    <n v="6"/>
    <s v="JUN"/>
    <n v="0"/>
    <x v="1"/>
    <n v="0"/>
    <x v="1"/>
    <s v=""/>
    <n v="0"/>
    <n v="0"/>
    <n v="0"/>
    <n v="0"/>
    <n v="0"/>
    <n v="0"/>
    <n v="0"/>
    <n v="0"/>
    <x v="4"/>
  </r>
  <r>
    <x v="216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6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7"/>
    <s v="#LIYRVLZUF "/>
    <x v="30"/>
    <n v="6"/>
    <s v="JUN"/>
    <n v="0"/>
    <x v="1"/>
    <n v="0"/>
    <x v="1"/>
    <d v="1899-12-30T00:36:00"/>
    <n v="2.57"/>
    <n v="4.5384485851301379"/>
    <n v="3.61"/>
    <n v="6.0166666666666613"/>
    <n v="1"/>
    <n v="2.365085063519158"/>
    <n v="2.8654795407471494"/>
    <n v="3.3974667731274191"/>
    <x v="4"/>
  </r>
  <r>
    <x v="217"/>
    <n v="0"/>
    <x v="30"/>
    <n v="6"/>
    <s v="JUN"/>
    <n v="0"/>
    <x v="1"/>
    <n v="0"/>
    <x v="3"/>
    <s v=""/>
    <n v="0"/>
    <n v="0"/>
    <n v="0"/>
    <n v="0"/>
    <n v="0"/>
    <n v="0"/>
    <n v="0"/>
    <n v="0"/>
    <x v="4"/>
  </r>
  <r>
    <x v="217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7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8"/>
    <s v="#LIXHTWQVZ "/>
    <x v="30"/>
    <n v="6"/>
    <s v="JUN"/>
    <n v="0"/>
    <x v="1"/>
    <n v="0"/>
    <x v="3"/>
    <d v="1899-12-30T00:36:00"/>
    <n v="3.21"/>
    <n v="5.6686458981586556"/>
    <n v="3.19"/>
    <n v="5.316666666666638"/>
    <n v="1"/>
    <n v="2.0899228123618045"/>
    <n v="2.5320996495798909"/>
    <n v="3.0021936305474979"/>
    <x v="4"/>
  </r>
  <r>
    <x v="218"/>
    <n v="0"/>
    <x v="30"/>
    <n v="6"/>
    <s v="JUN"/>
    <n v="0"/>
    <x v="1"/>
    <n v="0"/>
    <x v="3"/>
    <s v=""/>
    <n v="0"/>
    <n v="0"/>
    <n v="0"/>
    <n v="0"/>
    <n v="0"/>
    <n v="0"/>
    <n v="0"/>
    <n v="0"/>
    <x v="4"/>
  </r>
  <r>
    <x v="218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8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9"/>
    <s v="#LISJZXNNK "/>
    <x v="30"/>
    <n v="6"/>
    <s v="JUN"/>
    <n v="0"/>
    <x v="1"/>
    <n v="0"/>
    <x v="3"/>
    <d v="1899-12-30T00:37:00"/>
    <n v="5.13"/>
    <n v="9.0592378372442059"/>
    <n v="3.29"/>
    <n v="5.3351351351351308"/>
    <n v="1"/>
    <n v="2.1554376340659367"/>
    <n v="2.6114758141435237"/>
    <n v="3.0963062835427175"/>
    <x v="4"/>
  </r>
  <r>
    <x v="219"/>
    <n v="0"/>
    <x v="30"/>
    <n v="6"/>
    <s v="JUN"/>
    <n v="0"/>
    <x v="1"/>
    <n v="0"/>
    <x v="5"/>
    <s v=""/>
    <n v="0"/>
    <n v="0"/>
    <n v="0"/>
    <n v="0"/>
    <n v="0"/>
    <n v="0"/>
    <n v="0"/>
    <n v="0"/>
    <x v="4"/>
  </r>
  <r>
    <x v="219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19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20"/>
    <s v="#LIA1Z7Q2L "/>
    <x v="30"/>
    <n v="6"/>
    <s v="JUN"/>
    <n v="0"/>
    <x v="1"/>
    <n v="0"/>
    <x v="5"/>
    <d v="1899-12-30T00:30:00"/>
    <n v="3.68"/>
    <n v="6.498634549913973"/>
    <n v="2.78"/>
    <n v="5.5599999999999898"/>
    <n v="1"/>
    <n v="1.8213120433748642"/>
    <n v="2.2066573748689957"/>
    <n v="2.6163317532670982"/>
    <x v="4"/>
  </r>
  <r>
    <x v="220"/>
    <n v="0"/>
    <x v="30"/>
    <n v="6"/>
    <s v="JUN"/>
    <n v="0"/>
    <x v="1"/>
    <n v="0"/>
    <x v="4"/>
    <s v=""/>
    <n v="0"/>
    <n v="0"/>
    <n v="0"/>
    <n v="0"/>
    <n v="0"/>
    <n v="0"/>
    <n v="0"/>
    <n v="0"/>
    <x v="4"/>
  </r>
  <r>
    <x v="220"/>
    <n v="0"/>
    <x v="30"/>
    <n v="6"/>
    <s v="JUN"/>
    <n v="0"/>
    <x v="1"/>
    <n v="0"/>
    <x v="2"/>
    <s v=""/>
    <n v="0"/>
    <n v="0"/>
    <n v="0"/>
    <n v="0"/>
    <n v="0"/>
    <n v="0"/>
    <n v="0"/>
    <n v="0"/>
    <x v="4"/>
  </r>
  <r>
    <x v="221"/>
    <s v="#LIT9YFULG "/>
    <x v="31"/>
    <n v="6"/>
    <s v="JUN"/>
    <s v="JUN"/>
    <x v="2"/>
    <n v="9"/>
    <x v="13"/>
    <d v="1899-12-30T02:32:00"/>
    <n v="6.58"/>
    <n v="11.619841124574441"/>
    <n v="1.5"/>
    <n v="0.59210526315789436"/>
    <n v="1"/>
    <n v="0.98272232556197714"/>
    <n v="1.1906424684544943"/>
    <n v="1.4116897949282905"/>
    <x v="5"/>
  </r>
  <r>
    <x v="221"/>
    <n v="0"/>
    <x v="31"/>
    <n v="6"/>
    <s v="JUN"/>
    <n v="0"/>
    <x v="2"/>
    <n v="0"/>
    <x v="0"/>
    <s v=""/>
    <n v="0"/>
    <n v="0"/>
    <n v="0"/>
    <n v="0"/>
    <n v="0"/>
    <n v="0"/>
    <n v="0"/>
    <n v="0"/>
    <x v="5"/>
  </r>
  <r>
    <x v="221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1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2"/>
    <s v="#LIM1M171B "/>
    <x v="31"/>
    <n v="6"/>
    <s v="JUN"/>
    <n v="0"/>
    <x v="2"/>
    <n v="0"/>
    <x v="1"/>
    <d v="1899-12-30T00:43:00"/>
    <n v="7.04"/>
    <n v="12.432170443313687"/>
    <n v="3.96"/>
    <n v="5.5255813953488566"/>
    <n v="1"/>
    <n v="2.5943869394836194"/>
    <n v="3.1432961167198648"/>
    <n v="3.7268610586106869"/>
    <x v="5"/>
  </r>
  <r>
    <x v="222"/>
    <n v="0"/>
    <x v="31"/>
    <n v="6"/>
    <s v="JUN"/>
    <n v="0"/>
    <x v="2"/>
    <n v="0"/>
    <x v="3"/>
    <s v=""/>
    <n v="0"/>
    <n v="0"/>
    <n v="0"/>
    <n v="0"/>
    <n v="0"/>
    <n v="0"/>
    <n v="0"/>
    <n v="0"/>
    <x v="5"/>
  </r>
  <r>
    <x v="222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2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3"/>
    <s v="#LIRLMPAFB "/>
    <x v="31"/>
    <n v="6"/>
    <s v="JUN"/>
    <n v="0"/>
    <x v="2"/>
    <n v="0"/>
    <x v="3"/>
    <d v="1899-12-30T00:28:00"/>
    <n v="8.58"/>
    <n v="15.151707727788555"/>
    <n v="4.59"/>
    <n v="9.8357142857143209"/>
    <n v="1"/>
    <n v="3.0071303162196501"/>
    <n v="3.6433659534707519"/>
    <n v="4.3197707724805694"/>
    <x v="5"/>
  </r>
  <r>
    <x v="223"/>
    <n v="0"/>
    <x v="31"/>
    <n v="6"/>
    <s v="JUN"/>
    <n v="0"/>
    <x v="2"/>
    <n v="0"/>
    <x v="5"/>
    <s v=""/>
    <n v="0"/>
    <n v="0"/>
    <n v="0"/>
    <n v="0"/>
    <n v="0"/>
    <n v="0"/>
    <n v="0"/>
    <n v="0"/>
    <x v="5"/>
  </r>
  <r>
    <x v="223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3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4"/>
    <s v="#LIQZXV4DU "/>
    <x v="31"/>
    <n v="6"/>
    <s v="JUN"/>
    <n v="0"/>
    <x v="2"/>
    <n v="0"/>
    <x v="3"/>
    <d v="1899-12-30T00:34:00"/>
    <n v="11.15"/>
    <n v="19.690156312918695"/>
    <n v="5.78"/>
    <n v="10.200000000000037"/>
    <n v="1"/>
    <n v="3.7867566944988189"/>
    <n v="4.5879423117779847"/>
    <n v="5.4397113431236797"/>
    <x v="5"/>
  </r>
  <r>
    <x v="224"/>
    <n v="0"/>
    <x v="31"/>
    <n v="6"/>
    <s v="JUN"/>
    <n v="0"/>
    <x v="2"/>
    <n v="0"/>
    <x v="3"/>
    <s v=""/>
    <n v="0"/>
    <n v="0"/>
    <n v="0"/>
    <n v="0"/>
    <n v="0"/>
    <n v="0"/>
    <n v="0"/>
    <n v="0"/>
    <x v="5"/>
  </r>
  <r>
    <x v="224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4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5"/>
    <s v="#LI1369WZW "/>
    <x v="31"/>
    <n v="6"/>
    <s v="JUN"/>
    <n v="0"/>
    <x v="2"/>
    <n v="0"/>
    <x v="5"/>
    <d v="1899-12-30T00:25:00"/>
    <n v="7.7"/>
    <n v="13.597686422374345"/>
    <n v="4.28"/>
    <n v="10.271999999999972"/>
    <n v="1"/>
    <n v="2.8040343689368417"/>
    <n v="3.3972998433234904"/>
    <n v="4.0280215481953894"/>
    <x v="5"/>
  </r>
  <r>
    <x v="225"/>
    <n v="0"/>
    <x v="31"/>
    <n v="6"/>
    <s v="JUN"/>
    <n v="0"/>
    <x v="2"/>
    <n v="0"/>
    <x v="5"/>
    <s v=""/>
    <n v="0"/>
    <n v="0"/>
    <n v="0"/>
    <n v="0"/>
    <n v="0"/>
    <n v="0"/>
    <n v="0"/>
    <n v="0"/>
    <x v="5"/>
  </r>
  <r>
    <x v="225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5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6"/>
    <s v="#LIDVTT61Y "/>
    <x v="31"/>
    <n v="6"/>
    <s v="JUN"/>
    <n v="0"/>
    <x v="2"/>
    <n v="0"/>
    <x v="4"/>
    <d v="1899-12-30T00:39:00"/>
    <n v="15.32"/>
    <n v="27.054098180620127"/>
    <n v="6.92"/>
    <n v="10.646153846153796"/>
    <n v="1"/>
    <n v="4.533625661925921"/>
    <n v="5.4928305878033994"/>
    <n v="6.5125955872691801"/>
    <x v="5"/>
  </r>
  <r>
    <x v="226"/>
    <n v="0"/>
    <x v="31"/>
    <n v="6"/>
    <s v="JUN"/>
    <n v="0"/>
    <x v="2"/>
    <n v="0"/>
    <x v="4"/>
    <s v=""/>
    <n v="0"/>
    <n v="0"/>
    <n v="0"/>
    <n v="0"/>
    <n v="0"/>
    <n v="0"/>
    <n v="0"/>
    <n v="0"/>
    <x v="5"/>
  </r>
  <r>
    <x v="226"/>
    <n v="0"/>
    <x v="31"/>
    <n v="6"/>
    <s v="JUN"/>
    <n v="0"/>
    <x v="2"/>
    <n v="0"/>
    <x v="2"/>
    <s v=""/>
    <n v="0"/>
    <n v="0"/>
    <n v="0"/>
    <n v="0"/>
    <n v="0"/>
    <n v="0"/>
    <n v="0"/>
    <n v="0"/>
    <x v="5"/>
  </r>
  <r>
    <x v="227"/>
    <s v="#LISZ1PJGS "/>
    <x v="32"/>
    <n v="6"/>
    <s v="JUN"/>
    <s v="JUN"/>
    <x v="3"/>
    <n v="10"/>
    <x v="11"/>
    <d v="1899-12-30T00:36:00"/>
    <n v="2.44"/>
    <n v="4.308877255921221"/>
    <n v="2.35"/>
    <n v="3.9166666666666718"/>
    <n v="1"/>
    <n v="1.5395983100470976"/>
    <n v="1.8653398672453743"/>
    <n v="2.2116473453876555"/>
    <x v="6"/>
  </r>
  <r>
    <x v="227"/>
    <n v="0"/>
    <x v="32"/>
    <n v="6"/>
    <s v="JUN"/>
    <n v="0"/>
    <x v="3"/>
    <n v="0"/>
    <x v="11"/>
    <s v=""/>
    <n v="0"/>
    <n v="0"/>
    <n v="0"/>
    <n v="0"/>
    <n v="0"/>
    <n v="0"/>
    <n v="0"/>
    <n v="0"/>
    <x v="6"/>
  </r>
  <r>
    <x v="227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27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28"/>
    <s v="#LIJX1LUBX "/>
    <x v="32"/>
    <n v="6"/>
    <s v="JUN"/>
    <n v="0"/>
    <x v="3"/>
    <n v="0"/>
    <x v="11"/>
    <d v="1899-12-30T00:28:00"/>
    <n v="4.08"/>
    <n v="7.2050078705567957"/>
    <n v="3.04"/>
    <n v="6.5142857142857187"/>
    <n v="1"/>
    <n v="1.991650579805607"/>
    <n v="2.4130354027344416"/>
    <n v="2.8610246510546689"/>
    <x v="6"/>
  </r>
  <r>
    <x v="228"/>
    <n v="0"/>
    <x v="32"/>
    <n v="6"/>
    <s v="JUN"/>
    <n v="0"/>
    <x v="3"/>
    <n v="0"/>
    <x v="6"/>
    <s v=""/>
    <n v="0"/>
    <n v="0"/>
    <n v="0"/>
    <n v="0"/>
    <n v="0"/>
    <n v="0"/>
    <n v="0"/>
    <n v="0"/>
    <x v="6"/>
  </r>
  <r>
    <x v="228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28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29"/>
    <s v="#LIJ1RSW4X "/>
    <x v="32"/>
    <n v="6"/>
    <s v="JUN"/>
    <n v="0"/>
    <x v="3"/>
    <n v="0"/>
    <x v="6"/>
    <d v="1899-12-30T00:56:00"/>
    <n v="5.59"/>
    <n v="9.8715671559834526"/>
    <n v="4.22"/>
    <n v="4.521428571428574"/>
    <n v="1"/>
    <n v="2.764725475914362"/>
    <n v="3.3496741445853102"/>
    <n v="3.9715539563982571"/>
    <x v="6"/>
  </r>
  <r>
    <x v="229"/>
    <n v="0"/>
    <x v="32"/>
    <n v="6"/>
    <s v="JUN"/>
    <n v="0"/>
    <x v="3"/>
    <n v="0"/>
    <x v="7"/>
    <s v=""/>
    <n v="0"/>
    <n v="0"/>
    <n v="0"/>
    <n v="0"/>
    <n v="0"/>
    <n v="0"/>
    <n v="0"/>
    <n v="0"/>
    <x v="6"/>
  </r>
  <r>
    <x v="229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29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29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0"/>
    <s v="#LINFHGRHR "/>
    <x v="32"/>
    <n v="6"/>
    <s v="JUN"/>
    <n v="0"/>
    <x v="3"/>
    <n v="0"/>
    <x v="7"/>
    <d v="1899-12-30T00:35:00"/>
    <n v="10.16"/>
    <n v="17.941882344327706"/>
    <n v="5.19"/>
    <n v="8.8971428571428479"/>
    <n v="1"/>
    <n v="3.4002192464444412"/>
    <n v="4.1196229408525502"/>
    <n v="4.8844466904518855"/>
    <x v="6"/>
  </r>
  <r>
    <x v="230"/>
    <n v="0"/>
    <x v="32"/>
    <n v="6"/>
    <s v="JUN"/>
    <n v="0"/>
    <x v="3"/>
    <n v="0"/>
    <x v="7"/>
    <s v=""/>
    <n v="0"/>
    <n v="0"/>
    <n v="0"/>
    <n v="0"/>
    <n v="0"/>
    <n v="0"/>
    <n v="0"/>
    <n v="0"/>
    <x v="6"/>
  </r>
  <r>
    <x v="230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0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1"/>
    <s v="#LI1TRCDNR "/>
    <x v="32"/>
    <n v="6"/>
    <s v="JUN"/>
    <n v="0"/>
    <x v="3"/>
    <n v="0"/>
    <x v="8"/>
    <d v="1899-12-30T00:51:00"/>
    <n v="1.62"/>
    <n v="2.8608119486034336"/>
    <n v="2.4900000000000002"/>
    <n v="2.9294117647058839"/>
    <n v="1"/>
    <n v="1.6313190604328822"/>
    <n v="1.9764664976344606"/>
    <n v="2.3434050595809626"/>
    <x v="6"/>
  </r>
  <r>
    <x v="231"/>
    <n v="0"/>
    <x v="32"/>
    <n v="6"/>
    <s v="JUN"/>
    <n v="0"/>
    <x v="3"/>
    <n v="0"/>
    <x v="8"/>
    <s v=""/>
    <n v="0"/>
    <n v="0"/>
    <n v="0"/>
    <n v="0"/>
    <n v="0"/>
    <n v="0"/>
    <n v="0"/>
    <n v="0"/>
    <x v="6"/>
  </r>
  <r>
    <x v="231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1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2"/>
    <s v="#LIVBUHBTE "/>
    <x v="32"/>
    <n v="6"/>
    <s v="JUN"/>
    <n v="0"/>
    <x v="3"/>
    <n v="0"/>
    <x v="8"/>
    <d v="1899-12-30T00:52:00"/>
    <n v="6.85"/>
    <n v="12.096643116008345"/>
    <n v="3.89"/>
    <n v="4.4884615384615412"/>
    <n v="1"/>
    <n v="2.5485265642907273"/>
    <n v="3.0877328015253216"/>
    <n v="3.6609822015140336"/>
    <x v="6"/>
  </r>
  <r>
    <x v="232"/>
    <n v="0"/>
    <x v="32"/>
    <n v="6"/>
    <s v="JUN"/>
    <n v="0"/>
    <x v="3"/>
    <n v="0"/>
    <x v="9"/>
    <s v=""/>
    <n v="0"/>
    <n v="0"/>
    <n v="0"/>
    <n v="0"/>
    <n v="0"/>
    <n v="0"/>
    <n v="0"/>
    <n v="0"/>
    <x v="6"/>
  </r>
  <r>
    <x v="232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2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3"/>
    <s v="#LI1WTMGAE "/>
    <x v="32"/>
    <n v="6"/>
    <s v="JUN"/>
    <n v="0"/>
    <x v="3"/>
    <n v="0"/>
    <x v="9"/>
    <d v="1899-12-30T00:45:00"/>
    <n v="9.61"/>
    <n v="16.970619028443824"/>
    <n v="5.35"/>
    <n v="7.1333333333333329"/>
    <n v="1"/>
    <n v="3.5050429611710516"/>
    <n v="4.2466248041543624"/>
    <n v="5.0350269352442361"/>
    <x v="6"/>
  </r>
  <r>
    <x v="233"/>
    <n v="0"/>
    <x v="32"/>
    <n v="6"/>
    <s v="JUN"/>
    <n v="0"/>
    <x v="3"/>
    <n v="0"/>
    <x v="10"/>
    <s v=""/>
    <n v="0"/>
    <n v="0"/>
    <n v="0"/>
    <n v="0"/>
    <n v="0"/>
    <n v="0"/>
    <n v="0"/>
    <n v="0"/>
    <x v="6"/>
  </r>
  <r>
    <x v="233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3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4"/>
    <s v="#LIBCCVURP "/>
    <x v="32"/>
    <n v="6"/>
    <s v="JUN"/>
    <n v="0"/>
    <x v="3"/>
    <n v="0"/>
    <x v="10"/>
    <d v="1899-12-30T00:58:00"/>
    <n v="11.67"/>
    <n v="20.608441629754363"/>
    <n v="5.97"/>
    <n v="6.1758620689655217"/>
    <n v="1"/>
    <n v="3.911234855736669"/>
    <n v="4.738757024448887"/>
    <n v="5.6185253838145961"/>
    <x v="6"/>
  </r>
  <r>
    <x v="234"/>
    <n v="0"/>
    <x v="32"/>
    <n v="6"/>
    <s v="JUN"/>
    <n v="0"/>
    <x v="3"/>
    <n v="0"/>
    <x v="12"/>
    <s v=""/>
    <n v="0"/>
    <n v="0"/>
    <n v="0"/>
    <n v="0"/>
    <n v="0"/>
    <n v="0"/>
    <n v="0"/>
    <n v="0"/>
    <x v="6"/>
  </r>
  <r>
    <x v="234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4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5"/>
    <s v="#LIRLNLFEC "/>
    <x v="32"/>
    <n v="6"/>
    <s v="JUN"/>
    <n v="0"/>
    <x v="3"/>
    <n v="0"/>
    <x v="12"/>
    <d v="1899-12-30T00:33:00"/>
    <n v="10.1"/>
    <n v="17.835926346231282"/>
    <n v="6.66"/>
    <n v="12.109090909090893"/>
    <n v="1"/>
    <n v="4.3632871254951784"/>
    <n v="5.2864525599379544"/>
    <n v="6.2679026894816099"/>
    <x v="6"/>
  </r>
  <r>
    <x v="235"/>
    <n v="0"/>
    <x v="32"/>
    <n v="6"/>
    <s v="JUN"/>
    <n v="0"/>
    <x v="3"/>
    <n v="0"/>
    <x v="12"/>
    <s v=""/>
    <n v="0"/>
    <n v="0"/>
    <n v="0"/>
    <n v="0"/>
    <n v="0"/>
    <n v="0"/>
    <n v="0"/>
    <n v="0"/>
    <x v="6"/>
  </r>
  <r>
    <x v="235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5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6"/>
    <s v="#LIYEMWUGX "/>
    <x v="32"/>
    <n v="6"/>
    <s v="JUN"/>
    <n v="0"/>
    <x v="3"/>
    <n v="0"/>
    <x v="13"/>
    <d v="1899-12-30T01:14:00"/>
    <n v="13.24"/>
    <n v="23.380956913277444"/>
    <n v="6.13"/>
    <n v="4.9702702702702775"/>
    <n v="1"/>
    <n v="4.0160585704632794"/>
    <n v="4.8657588877506992"/>
    <n v="5.7691056286069475"/>
    <x v="6"/>
  </r>
  <r>
    <x v="236"/>
    <n v="0"/>
    <x v="32"/>
    <n v="6"/>
    <s v="JUN"/>
    <n v="0"/>
    <x v="3"/>
    <n v="0"/>
    <x v="14"/>
    <s v=""/>
    <n v="0"/>
    <n v="0"/>
    <n v="0"/>
    <n v="0"/>
    <n v="0"/>
    <n v="0"/>
    <n v="0"/>
    <n v="0"/>
    <x v="6"/>
  </r>
  <r>
    <x v="236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6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7"/>
    <s v="#LIGPNJ2LK "/>
    <x v="32"/>
    <n v="6"/>
    <s v="JUN"/>
    <n v="0"/>
    <x v="3"/>
    <n v="0"/>
    <x v="0"/>
    <d v="1899-12-30T00:54:00"/>
    <n v="6.44"/>
    <n v="11.372610462349453"/>
    <n v="3.96"/>
    <n v="4.4000000000000155"/>
    <n v="1"/>
    <n v="2.5943869394836194"/>
    <n v="3.1432961167198648"/>
    <n v="3.7268610586106869"/>
    <x v="6"/>
  </r>
  <r>
    <x v="237"/>
    <n v="0"/>
    <x v="32"/>
    <n v="6"/>
    <s v="JUN"/>
    <n v="0"/>
    <x v="3"/>
    <n v="0"/>
    <x v="1"/>
    <s v=""/>
    <n v="0"/>
    <n v="0"/>
    <n v="0"/>
    <n v="0"/>
    <n v="0"/>
    <n v="0"/>
    <n v="0"/>
    <n v="0"/>
    <x v="6"/>
  </r>
  <r>
    <x v="237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7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8"/>
    <s v="#LIE1PML1X "/>
    <x v="32"/>
    <n v="6"/>
    <s v="JUN"/>
    <n v="0"/>
    <x v="3"/>
    <n v="0"/>
    <x v="1"/>
    <d v="1899-12-30T00:26:00"/>
    <n v="7.73"/>
    <n v="13.650664421422556"/>
    <n v="5.04"/>
    <n v="11.6307692307692"/>
    <n v="1"/>
    <n v="3.3019470138882432"/>
    <n v="4.0005586940071005"/>
    <n v="4.743277710959056"/>
    <x v="6"/>
  </r>
  <r>
    <x v="238"/>
    <n v="0"/>
    <x v="32"/>
    <n v="6"/>
    <s v="JUN"/>
    <n v="0"/>
    <x v="3"/>
    <n v="0"/>
    <x v="3"/>
    <s v=""/>
    <n v="0"/>
    <n v="0"/>
    <n v="0"/>
    <n v="0"/>
    <n v="0"/>
    <n v="0"/>
    <n v="0"/>
    <n v="0"/>
    <x v="6"/>
  </r>
  <r>
    <x v="238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8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9"/>
    <s v="#LIR8GYC3F "/>
    <x v="32"/>
    <n v="6"/>
    <s v="JUN"/>
    <n v="0"/>
    <x v="3"/>
    <n v="0"/>
    <x v="3"/>
    <d v="1899-12-30T00:38:00"/>
    <n v="4.92"/>
    <n v="8.6883918439067234"/>
    <n v="3.34"/>
    <n v="5.2736842105263122"/>
    <n v="1"/>
    <n v="2.1881950449180025"/>
    <n v="2.6511638964253401"/>
    <n v="3.1433626100403269"/>
    <x v="6"/>
  </r>
  <r>
    <x v="239"/>
    <n v="0"/>
    <x v="32"/>
    <n v="6"/>
    <s v="JUN"/>
    <n v="0"/>
    <x v="3"/>
    <n v="0"/>
    <x v="3"/>
    <s v=""/>
    <n v="0"/>
    <n v="0"/>
    <n v="0"/>
    <n v="0"/>
    <n v="0"/>
    <n v="0"/>
    <n v="0"/>
    <n v="0"/>
    <x v="6"/>
  </r>
  <r>
    <x v="239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39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40"/>
    <s v="#LI4DPSDXD "/>
    <x v="32"/>
    <n v="6"/>
    <s v="JUN"/>
    <n v="0"/>
    <x v="3"/>
    <n v="0"/>
    <x v="3"/>
    <d v="1899-12-30T00:31:00"/>
    <n v="6.03"/>
    <n v="10.648577808690559"/>
    <n v="3.67"/>
    <n v="7.103225806451638"/>
    <n v="1"/>
    <n v="2.4043939565416372"/>
    <n v="2.9131052394853292"/>
    <n v="3.4539343649245509"/>
    <x v="6"/>
  </r>
  <r>
    <x v="240"/>
    <n v="0"/>
    <x v="32"/>
    <n v="6"/>
    <s v="JUN"/>
    <n v="0"/>
    <x v="3"/>
    <n v="0"/>
    <x v="5"/>
    <s v=""/>
    <n v="0"/>
    <n v="0"/>
    <n v="0"/>
    <n v="0"/>
    <n v="0"/>
    <n v="0"/>
    <n v="0"/>
    <n v="0"/>
    <x v="6"/>
  </r>
  <r>
    <x v="240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40"/>
    <n v="0"/>
    <x v="32"/>
    <n v="6"/>
    <s v="JUN"/>
    <n v="0"/>
    <x v="3"/>
    <n v="0"/>
    <x v="2"/>
    <s v=""/>
    <n v="0"/>
    <n v="0"/>
    <n v="0"/>
    <n v="0"/>
    <n v="0"/>
    <n v="0"/>
    <n v="0"/>
    <n v="0"/>
    <x v="6"/>
  </r>
  <r>
    <x v="241"/>
    <s v="#LIJHKCDZC "/>
    <x v="32"/>
    <n v="6"/>
    <s v="JUN"/>
    <n v="0"/>
    <x v="3"/>
    <n v="0"/>
    <x v="5"/>
    <d v="1899-12-30T00:30:00"/>
    <n v="5.48"/>
    <n v="9.6773144928066763"/>
    <n v="4.09"/>
    <n v="8.1799999999999855"/>
    <n v="1"/>
    <n v="2.6795562076989907"/>
    <n v="3.2464851306525873"/>
    <n v="3.849207507504472"/>
    <x v="6"/>
  </r>
  <r>
    <x v="241"/>
    <n v="0"/>
    <x v="32"/>
    <n v="6"/>
    <s v="JUN"/>
    <n v="0"/>
    <x v="3"/>
    <n v="0"/>
    <x v="5"/>
    <s v=""/>
    <n v="0"/>
    <n v="0"/>
    <n v="0"/>
    <n v="0"/>
    <n v="0"/>
    <n v="0"/>
    <n v="0"/>
    <n v="0"/>
    <x v="6"/>
  </r>
  <r>
    <x v="242"/>
    <m/>
    <x v="33"/>
    <m/>
    <m/>
    <m/>
    <x v="29"/>
    <m/>
    <x v="15"/>
    <m/>
    <m/>
    <m/>
    <m/>
    <m/>
    <m/>
    <m/>
    <m/>
    <m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41">
  <r>
    <x v="0"/>
    <s v="#LIVEFZCFA"/>
    <x v="0"/>
    <n v="5"/>
    <s v="MAI"/>
    <s v="MAI"/>
    <x v="0"/>
    <n v="7"/>
    <x v="0"/>
    <d v="1899-12-30T00:42:00"/>
    <n v="5.73"/>
    <n v="10.118797818208442"/>
    <n v="4.55"/>
    <n v="6.4999999999999742"/>
    <n v="1"/>
    <n v="2.9809243875379972"/>
  </r>
  <r>
    <x v="0"/>
    <n v="0"/>
    <x v="0"/>
    <n v="5"/>
    <s v="MAI"/>
    <n v="0"/>
    <x v="0"/>
    <n v="0"/>
    <x v="1"/>
    <m/>
    <n v="0"/>
    <n v="0"/>
    <n v="0"/>
    <n v="0"/>
    <n v="0"/>
    <n v="0"/>
  </r>
  <r>
    <x v="0"/>
    <n v="0"/>
    <x v="0"/>
    <n v="5"/>
    <s v="MAI"/>
    <n v="0"/>
    <x v="0"/>
    <n v="0"/>
    <x v="2"/>
    <s v=""/>
    <n v="0"/>
    <n v="0"/>
    <n v="0"/>
    <n v="0"/>
    <n v="0"/>
    <n v="0"/>
  </r>
  <r>
    <x v="0"/>
    <n v="0"/>
    <x v="0"/>
    <n v="5"/>
    <s v="MAI"/>
    <n v="0"/>
    <x v="0"/>
    <n v="0"/>
    <x v="2"/>
    <s v=""/>
    <n v="0"/>
    <n v="0"/>
    <n v="0"/>
    <n v="0"/>
    <n v="0"/>
    <n v="0"/>
  </r>
  <r>
    <x v="1"/>
    <s v="#LIVB495VL"/>
    <x v="0"/>
    <n v="5"/>
    <s v="MAI"/>
    <n v="0"/>
    <x v="0"/>
    <n v="0"/>
    <x v="1"/>
    <d v="1899-12-30T01:09:00"/>
    <n v="5.61"/>
    <n v="9.9068858220155942"/>
    <n v="4.6900000000000004"/>
    <n v="4.0782608695652236"/>
    <n v="1"/>
    <n v="3.0726451379237822"/>
  </r>
  <r>
    <x v="1"/>
    <n v="0"/>
    <x v="0"/>
    <n v="5"/>
    <s v="MAI"/>
    <n v="0"/>
    <x v="0"/>
    <n v="0"/>
    <x v="3"/>
    <s v=""/>
    <n v="0"/>
    <n v="0"/>
    <n v="0"/>
    <n v="0"/>
    <n v="0"/>
    <n v="0"/>
  </r>
  <r>
    <x v="1"/>
    <n v="0"/>
    <x v="0"/>
    <n v="5"/>
    <s v="MAI"/>
    <n v="0"/>
    <x v="0"/>
    <n v="0"/>
    <x v="2"/>
    <s v=""/>
    <n v="0"/>
    <n v="0"/>
    <n v="0"/>
    <n v="0"/>
    <n v="0"/>
    <n v="0"/>
  </r>
  <r>
    <x v="2"/>
    <s v="#LIZXTQ1UU"/>
    <x v="1"/>
    <n v="5"/>
    <s v="MAI"/>
    <s v="MAI"/>
    <x v="1"/>
    <n v="8"/>
    <x v="0"/>
    <d v="1899-12-30T00:12:00"/>
    <n v="10.65"/>
    <n v="18.807189662115167"/>
    <n v="5.22"/>
    <n v="26.099999999999742"/>
    <n v="1"/>
    <n v="3.4198736929556803"/>
  </r>
  <r>
    <x v="2"/>
    <n v="0"/>
    <x v="1"/>
    <n v="5"/>
    <s v="MAI"/>
    <n v="0"/>
    <x v="1"/>
    <n v="0"/>
    <x v="0"/>
    <s v=""/>
    <n v="0"/>
    <n v="0"/>
    <n v="0"/>
    <n v="0"/>
    <n v="0"/>
    <n v="0"/>
  </r>
  <r>
    <x v="2"/>
    <n v="0"/>
    <x v="1"/>
    <n v="5"/>
    <s v="MAI"/>
    <n v="0"/>
    <x v="1"/>
    <n v="0"/>
    <x v="2"/>
    <s v=""/>
    <n v="0"/>
    <n v="0"/>
    <n v="0"/>
    <n v="0"/>
    <n v="0"/>
    <n v="0"/>
  </r>
  <r>
    <x v="2"/>
    <n v="0"/>
    <x v="1"/>
    <n v="5"/>
    <s v="MAI"/>
    <n v="0"/>
    <x v="1"/>
    <n v="0"/>
    <x v="2"/>
    <s v=""/>
    <n v="0"/>
    <n v="0"/>
    <n v="0"/>
    <n v="0"/>
    <n v="0"/>
    <n v="0"/>
  </r>
  <r>
    <x v="3"/>
    <s v="#LIRP7TY1K"/>
    <x v="1"/>
    <n v="5"/>
    <s v="MAI"/>
    <n v="0"/>
    <x v="1"/>
    <n v="0"/>
    <x v="0"/>
    <d v="1899-12-30T00:49:00"/>
    <n v="10.029999999999999"/>
    <n v="17.712311015118789"/>
    <n v="5.01"/>
    <n v="6.134693877551002"/>
    <n v="1"/>
    <n v="3.2822925673770036"/>
  </r>
  <r>
    <x v="3"/>
    <n v="0"/>
    <x v="1"/>
    <n v="5"/>
    <s v="MAI"/>
    <n v="0"/>
    <x v="1"/>
    <n v="0"/>
    <x v="1"/>
    <s v=""/>
    <n v="0"/>
    <n v="0"/>
    <n v="0"/>
    <n v="0"/>
    <n v="0"/>
    <n v="0"/>
  </r>
  <r>
    <x v="3"/>
    <n v="0"/>
    <x v="1"/>
    <n v="5"/>
    <s v="MAI"/>
    <n v="0"/>
    <x v="1"/>
    <n v="0"/>
    <x v="2"/>
    <s v=""/>
    <n v="0"/>
    <n v="0"/>
    <n v="0"/>
    <n v="0"/>
    <n v="0"/>
    <n v="0"/>
  </r>
  <r>
    <x v="3"/>
    <n v="0"/>
    <x v="1"/>
    <n v="5"/>
    <s v="MAI"/>
    <n v="0"/>
    <x v="1"/>
    <n v="0"/>
    <x v="2"/>
    <s v=""/>
    <n v="0"/>
    <n v="0"/>
    <n v="0"/>
    <n v="0"/>
    <n v="0"/>
    <n v="0"/>
  </r>
  <r>
    <x v="4"/>
    <s v="#LIL4LBFYX"/>
    <x v="1"/>
    <n v="5"/>
    <s v="MAI"/>
    <n v="0"/>
    <x v="1"/>
    <n v="0"/>
    <x v="1"/>
    <d v="1899-12-30T00:32:00"/>
    <n v="7.11"/>
    <n v="12.55578577442618"/>
    <n v="3.98"/>
    <n v="7.4625000000000261"/>
    <n v="1"/>
    <n v="2.6074899038244461"/>
  </r>
  <r>
    <x v="4"/>
    <n v="0"/>
    <x v="1"/>
    <n v="5"/>
    <s v="MAI"/>
    <n v="0"/>
    <x v="1"/>
    <n v="0"/>
    <x v="1"/>
    <s v=""/>
    <n v="0"/>
    <n v="0"/>
    <n v="0"/>
    <n v="0"/>
    <n v="0"/>
    <n v="0"/>
  </r>
  <r>
    <x v="4"/>
    <n v="0"/>
    <x v="1"/>
    <n v="5"/>
    <s v="MAI"/>
    <n v="0"/>
    <x v="1"/>
    <n v="0"/>
    <x v="2"/>
    <s v=""/>
    <n v="0"/>
    <n v="0"/>
    <n v="0"/>
    <n v="0"/>
    <n v="0"/>
    <n v="0"/>
  </r>
  <r>
    <x v="4"/>
    <n v="0"/>
    <x v="1"/>
    <n v="5"/>
    <s v="MAI"/>
    <n v="0"/>
    <x v="1"/>
    <n v="0"/>
    <x v="2"/>
    <s v=""/>
    <n v="0"/>
    <n v="0"/>
    <n v="0"/>
    <n v="0"/>
    <n v="0"/>
    <n v="0"/>
  </r>
  <r>
    <x v="5"/>
    <s v="#LIYNQ1UUZ"/>
    <x v="1"/>
    <n v="5"/>
    <s v="MAI"/>
    <n v="0"/>
    <x v="1"/>
    <n v="0"/>
    <x v="1"/>
    <d v="1899-12-30T00:21:00"/>
    <n v="3.81"/>
    <n v="6.72820587912289"/>
    <n v="2.83"/>
    <n v="8.0857142857143138"/>
    <n v="1"/>
    <n v="1.8540694542269303"/>
  </r>
  <r>
    <x v="5"/>
    <n v="0"/>
    <x v="1"/>
    <n v="5"/>
    <s v="MAI"/>
    <n v="0"/>
    <x v="1"/>
    <n v="0"/>
    <x v="3"/>
    <s v=""/>
    <n v="0"/>
    <n v="0"/>
    <n v="0"/>
    <n v="0"/>
    <n v="0"/>
    <n v="0"/>
  </r>
  <r>
    <x v="5"/>
    <n v="0"/>
    <x v="1"/>
    <n v="5"/>
    <s v="MAI"/>
    <n v="0"/>
    <x v="1"/>
    <n v="0"/>
    <x v="2"/>
    <s v=""/>
    <n v="0"/>
    <n v="0"/>
    <n v="0"/>
    <n v="0"/>
    <n v="0"/>
    <n v="0"/>
  </r>
  <r>
    <x v="5"/>
    <n v="0"/>
    <x v="1"/>
    <n v="5"/>
    <s v="MAI"/>
    <n v="0"/>
    <x v="1"/>
    <n v="0"/>
    <x v="2"/>
    <s v=""/>
    <n v="0"/>
    <n v="0"/>
    <n v="0"/>
    <n v="0"/>
    <n v="0"/>
    <n v="0"/>
  </r>
  <r>
    <x v="6"/>
    <s v="#LI9MLCHF8"/>
    <x v="1"/>
    <n v="5"/>
    <s v="MAI"/>
    <n v="0"/>
    <x v="1"/>
    <n v="0"/>
    <x v="4"/>
    <d v="1899-12-30T00:28:00"/>
    <n v="2.73"/>
    <n v="4.8209979133872674"/>
    <n v="2.4500000000000002"/>
    <n v="5.2499999999999893"/>
    <n v="1"/>
    <n v="1.6051131317512295"/>
  </r>
  <r>
    <x v="6"/>
    <n v="0"/>
    <x v="1"/>
    <n v="5"/>
    <s v="MAI"/>
    <n v="0"/>
    <x v="1"/>
    <n v="0"/>
    <x v="4"/>
    <s v=""/>
    <n v="0"/>
    <n v="0"/>
    <n v="0"/>
    <n v="0"/>
    <n v="0"/>
    <n v="0"/>
  </r>
  <r>
    <x v="6"/>
    <n v="0"/>
    <x v="1"/>
    <n v="5"/>
    <s v="MAI"/>
    <n v="0"/>
    <x v="1"/>
    <n v="0"/>
    <x v="2"/>
    <s v=""/>
    <n v="0"/>
    <n v="0"/>
    <n v="0"/>
    <n v="0"/>
    <n v="0"/>
    <n v="0"/>
  </r>
  <r>
    <x v="6"/>
    <n v="0"/>
    <x v="1"/>
    <n v="5"/>
    <s v="MAI"/>
    <n v="0"/>
    <x v="1"/>
    <n v="0"/>
    <x v="2"/>
    <s v=""/>
    <n v="0"/>
    <n v="0"/>
    <n v="0"/>
    <n v="0"/>
    <n v="0"/>
    <n v="0"/>
  </r>
  <r>
    <x v="7"/>
    <s v="#LIRVJFLLW"/>
    <x v="1"/>
    <n v="5"/>
    <s v="MAI"/>
    <n v="0"/>
    <x v="1"/>
    <n v="0"/>
    <x v="5"/>
    <d v="1899-12-30T00:47:00"/>
    <n v="11.78"/>
    <n v="20.80269429293114"/>
    <n v="5.93"/>
    <n v="7.5702127659574217"/>
    <n v="1"/>
    <n v="3.885028927055016"/>
  </r>
  <r>
    <x v="7"/>
    <n v="0"/>
    <x v="1"/>
    <n v="5"/>
    <s v="MAI"/>
    <n v="0"/>
    <x v="1"/>
    <n v="0"/>
    <x v="4"/>
    <s v=""/>
    <n v="0"/>
    <n v="0"/>
    <n v="0"/>
    <n v="0"/>
    <n v="0"/>
    <n v="0"/>
  </r>
  <r>
    <x v="7"/>
    <n v="0"/>
    <x v="1"/>
    <n v="5"/>
    <s v="MAI"/>
    <n v="0"/>
    <x v="1"/>
    <n v="0"/>
    <x v="5"/>
    <s v=""/>
    <n v="0"/>
    <n v="0"/>
    <n v="0.31"/>
    <n v="0"/>
    <n v="0"/>
    <n v="0.20309594728280861"/>
  </r>
  <r>
    <x v="7"/>
    <n v="0"/>
    <x v="1"/>
    <n v="5"/>
    <s v="MAI"/>
    <n v="0"/>
    <x v="1"/>
    <n v="0"/>
    <x v="2"/>
    <s v=""/>
    <n v="0"/>
    <n v="0"/>
    <n v="0"/>
    <n v="0"/>
    <n v="0"/>
    <n v="0"/>
  </r>
  <r>
    <x v="8"/>
    <s v="#LILGPHUM5"/>
    <x v="2"/>
    <n v="5"/>
    <s v="MAI"/>
    <s v="MAI"/>
    <x v="2"/>
    <n v="9"/>
    <x v="6"/>
    <d v="1899-12-30T00:39:00"/>
    <n v="12.46"/>
    <n v="22.00352893802394"/>
    <n v="5.86"/>
    <n v="9.015384615384594"/>
    <n v="1"/>
    <n v="3.8391685518621244"/>
  </r>
  <r>
    <x v="8"/>
    <n v="0"/>
    <x v="2"/>
    <n v="5"/>
    <s v="MAI"/>
    <n v="0"/>
    <x v="2"/>
    <n v="0"/>
    <x v="7"/>
    <s v=""/>
    <n v="0"/>
    <n v="0"/>
    <n v="0"/>
    <n v="0"/>
    <n v="0"/>
    <n v="0"/>
  </r>
  <r>
    <x v="8"/>
    <n v="0"/>
    <x v="2"/>
    <n v="5"/>
    <s v="MAI"/>
    <n v="0"/>
    <x v="2"/>
    <n v="0"/>
    <x v="2"/>
    <s v=""/>
    <n v="0"/>
    <n v="0"/>
    <n v="0"/>
    <n v="0"/>
    <n v="0"/>
    <n v="0"/>
  </r>
  <r>
    <x v="8"/>
    <n v="0"/>
    <x v="2"/>
    <n v="5"/>
    <s v="MAI"/>
    <n v="0"/>
    <x v="2"/>
    <n v="0"/>
    <x v="2"/>
    <s v=""/>
    <n v="0"/>
    <n v="0"/>
    <n v="0"/>
    <n v="0"/>
    <n v="0"/>
    <n v="0"/>
  </r>
  <r>
    <x v="9"/>
    <s v="#LIHYJKK5P"/>
    <x v="2"/>
    <n v="5"/>
    <s v="MAI"/>
    <n v="0"/>
    <x v="2"/>
    <n v="0"/>
    <x v="0"/>
    <d v="1899-12-30T00:35:00"/>
    <n v="1.94"/>
    <n v="3.425910605117692"/>
    <n v="2.17"/>
    <n v="3.7199999999999962"/>
    <n v="1"/>
    <n v="1.4216716309796602"/>
  </r>
  <r>
    <x v="9"/>
    <n v="0"/>
    <x v="2"/>
    <n v="5"/>
    <s v="MAI"/>
    <n v="0"/>
    <x v="2"/>
    <n v="0"/>
    <x v="1"/>
    <s v=""/>
    <n v="0"/>
    <n v="0"/>
    <n v="0"/>
    <n v="0"/>
    <n v="0"/>
    <n v="0"/>
  </r>
  <r>
    <x v="9"/>
    <n v="0"/>
    <x v="2"/>
    <n v="5"/>
    <s v="MAI"/>
    <n v="0"/>
    <x v="2"/>
    <n v="0"/>
    <x v="2"/>
    <s v=""/>
    <n v="0"/>
    <n v="0"/>
    <n v="0"/>
    <n v="0"/>
    <n v="0"/>
    <n v="0"/>
  </r>
  <r>
    <x v="9"/>
    <n v="0"/>
    <x v="2"/>
    <n v="5"/>
    <s v="MAI"/>
    <n v="0"/>
    <x v="2"/>
    <n v="0"/>
    <x v="2"/>
    <s v=""/>
    <n v="0"/>
    <n v="0"/>
    <n v="0"/>
    <n v="0"/>
    <n v="0"/>
    <n v="0"/>
  </r>
  <r>
    <x v="10"/>
    <s v="#LIFWMQBHA"/>
    <x v="2"/>
    <n v="5"/>
    <s v="MAI"/>
    <n v="0"/>
    <x v="2"/>
    <n v="0"/>
    <x v="1"/>
    <d v="1899-12-30T00:29:00"/>
    <n v="4.68"/>
    <n v="8.2645678515210292"/>
    <n v="3.13"/>
    <n v="6.4758620689655046"/>
    <n v="1"/>
    <n v="2.0506139193393254"/>
  </r>
  <r>
    <x v="10"/>
    <n v="0"/>
    <x v="2"/>
    <n v="5"/>
    <s v="MAI"/>
    <n v="0"/>
    <x v="2"/>
    <n v="0"/>
    <x v="1"/>
    <s v=""/>
    <n v="0"/>
    <n v="0"/>
    <n v="0"/>
    <n v="0"/>
    <n v="0"/>
    <n v="0"/>
  </r>
  <r>
    <x v="10"/>
    <n v="0"/>
    <x v="2"/>
    <n v="5"/>
    <s v="MAI"/>
    <n v="0"/>
    <x v="2"/>
    <n v="0"/>
    <x v="2"/>
    <s v=""/>
    <n v="0"/>
    <n v="0"/>
    <n v="0"/>
    <n v="0"/>
    <n v="0"/>
    <n v="0"/>
  </r>
  <r>
    <x v="10"/>
    <n v="0"/>
    <x v="2"/>
    <n v="5"/>
    <s v="MAI"/>
    <n v="0"/>
    <x v="2"/>
    <n v="0"/>
    <x v="2"/>
    <s v=""/>
    <n v="0"/>
    <n v="0"/>
    <n v="0"/>
    <n v="0"/>
    <n v="0"/>
    <n v="0"/>
  </r>
  <r>
    <x v="11"/>
    <s v="#LIL6LXRH8"/>
    <x v="2"/>
    <n v="5"/>
    <s v="MAI"/>
    <n v="0"/>
    <x v="2"/>
    <n v="0"/>
    <x v="3"/>
    <d v="1899-12-30T00:24:00"/>
    <n v="5.76"/>
    <n v="10.171775817256652"/>
    <n v="3.51"/>
    <n v="8.7749999999999719"/>
    <n v="1"/>
    <n v="2.2995702418150263"/>
  </r>
  <r>
    <x v="11"/>
    <n v="0"/>
    <x v="2"/>
    <n v="5"/>
    <s v="MAI"/>
    <n v="0"/>
    <x v="2"/>
    <n v="0"/>
    <x v="3"/>
    <s v=""/>
    <n v="0"/>
    <n v="0"/>
    <n v="0"/>
    <n v="0"/>
    <n v="0"/>
    <n v="0"/>
  </r>
  <r>
    <x v="11"/>
    <n v="0"/>
    <x v="2"/>
    <n v="5"/>
    <s v="MAI"/>
    <n v="0"/>
    <x v="2"/>
    <n v="0"/>
    <x v="3"/>
    <s v=""/>
    <n v="0"/>
    <n v="0"/>
    <n v="1.72"/>
    <n v="0"/>
    <n v="0"/>
    <n v="1.1268549333110671"/>
  </r>
  <r>
    <x v="11"/>
    <n v="0"/>
    <x v="2"/>
    <n v="5"/>
    <s v="MAI"/>
    <n v="0"/>
    <x v="2"/>
    <n v="0"/>
    <x v="2"/>
    <s v=""/>
    <n v="0"/>
    <n v="0"/>
    <n v="0"/>
    <n v="0"/>
    <n v="0"/>
    <n v="0"/>
  </r>
  <r>
    <x v="12"/>
    <s v="#LIDXWRDWZ"/>
    <x v="3"/>
    <n v="5"/>
    <s v="MAI"/>
    <s v="MAI"/>
    <x v="3"/>
    <n v="10"/>
    <x v="7"/>
    <d v="1899-12-30T00:38:00"/>
    <n v="3.99"/>
    <n v="7.0460738734121611"/>
    <n v="2.96"/>
    <n v="4.6736842105263321"/>
    <n v="1"/>
    <n v="1.9392387224423016"/>
  </r>
  <r>
    <x v="12"/>
    <n v="0"/>
    <x v="3"/>
    <n v="5"/>
    <s v="MAI"/>
    <n v="0"/>
    <x v="3"/>
    <n v="0"/>
    <x v="8"/>
    <s v=""/>
    <n v="0"/>
    <n v="0"/>
    <n v="0"/>
    <n v="0"/>
    <n v="0"/>
    <n v="0"/>
  </r>
  <r>
    <x v="12"/>
    <n v="0"/>
    <x v="3"/>
    <n v="5"/>
    <s v="MAI"/>
    <n v="0"/>
    <x v="3"/>
    <n v="0"/>
    <x v="2"/>
    <s v=""/>
    <n v="0"/>
    <n v="0"/>
    <n v="0"/>
    <n v="0"/>
    <n v="0"/>
    <n v="0"/>
  </r>
  <r>
    <x v="12"/>
    <n v="0"/>
    <x v="3"/>
    <n v="5"/>
    <s v="MAI"/>
    <n v="0"/>
    <x v="3"/>
    <n v="0"/>
    <x v="2"/>
    <s v=""/>
    <n v="0"/>
    <n v="0"/>
    <n v="0"/>
    <n v="0"/>
    <n v="0"/>
    <n v="0"/>
  </r>
  <r>
    <x v="13"/>
    <s v="#LITKZZ6CP"/>
    <x v="3"/>
    <n v="5"/>
    <s v="MAI"/>
    <n v="0"/>
    <x v="3"/>
    <n v="0"/>
    <x v="1"/>
    <d v="1899-12-30T00:46:00"/>
    <n v="4.66"/>
    <n v="8.2292491854888894"/>
    <n v="4.07"/>
    <n v="5.3086956521739133"/>
    <n v="1"/>
    <n v="2.6664532433581649"/>
  </r>
  <r>
    <x v="13"/>
    <n v="0"/>
    <x v="3"/>
    <n v="5"/>
    <s v="MAI"/>
    <n v="0"/>
    <x v="3"/>
    <n v="0"/>
    <x v="3"/>
    <s v=""/>
    <n v="0"/>
    <n v="0"/>
    <n v="0"/>
    <n v="0"/>
    <n v="0"/>
    <n v="0"/>
  </r>
  <r>
    <x v="13"/>
    <n v="0"/>
    <x v="3"/>
    <n v="5"/>
    <s v="MAI"/>
    <n v="0"/>
    <x v="3"/>
    <n v="0"/>
    <x v="2"/>
    <s v=""/>
    <n v="0"/>
    <n v="0"/>
    <n v="0"/>
    <n v="0"/>
    <n v="0"/>
    <n v="0"/>
  </r>
  <r>
    <x v="13"/>
    <n v="0"/>
    <x v="3"/>
    <n v="5"/>
    <s v="MAI"/>
    <n v="0"/>
    <x v="3"/>
    <n v="0"/>
    <x v="2"/>
    <s v=""/>
    <n v="0"/>
    <n v="0"/>
    <n v="0"/>
    <n v="0"/>
    <n v="0"/>
    <n v="0"/>
  </r>
  <r>
    <x v="14"/>
    <s v="#LIBE1R3U1"/>
    <x v="3"/>
    <n v="5"/>
    <s v="MAI"/>
    <n v="0"/>
    <x v="3"/>
    <n v="0"/>
    <x v="3"/>
    <d v="1899-12-30T00:55:00"/>
    <n v="4.4000000000000004"/>
    <n v="7.7701065270710545"/>
    <n v="3.04"/>
    <n v="3.3163636363636386"/>
    <n v="1"/>
    <n v="1.991650579805607"/>
  </r>
  <r>
    <x v="14"/>
    <n v="0"/>
    <x v="3"/>
    <n v="5"/>
    <s v="MAI"/>
    <n v="0"/>
    <x v="3"/>
    <n v="0"/>
    <x v="5"/>
    <s v=""/>
    <n v="0"/>
    <n v="0"/>
    <n v="0"/>
    <n v="0"/>
    <n v="0"/>
    <n v="0"/>
  </r>
  <r>
    <x v="14"/>
    <n v="0"/>
    <x v="3"/>
    <n v="5"/>
    <s v="MAI"/>
    <n v="0"/>
    <x v="3"/>
    <n v="0"/>
    <x v="2"/>
    <s v=""/>
    <n v="0"/>
    <n v="0"/>
    <n v="0"/>
    <n v="0"/>
    <n v="0"/>
    <n v="0"/>
  </r>
  <r>
    <x v="14"/>
    <n v="0"/>
    <x v="3"/>
    <n v="5"/>
    <s v="MAI"/>
    <n v="0"/>
    <x v="3"/>
    <n v="0"/>
    <x v="2"/>
    <s v=""/>
    <n v="0"/>
    <n v="0"/>
    <n v="0"/>
    <n v="0"/>
    <n v="0"/>
    <n v="0"/>
  </r>
  <r>
    <x v="15"/>
    <s v="#LI4JL72LL"/>
    <x v="3"/>
    <n v="5"/>
    <s v="MAI"/>
    <n v="0"/>
    <x v="3"/>
    <n v="0"/>
    <x v="5"/>
    <d v="1899-12-30T00:33:00"/>
    <n v="5.32"/>
    <n v="9.3947651645495469"/>
    <n v="3.36"/>
    <n v="6.1090909090909014"/>
    <n v="1"/>
    <n v="2.2012980092588288"/>
  </r>
  <r>
    <x v="15"/>
    <n v="0"/>
    <x v="3"/>
    <n v="5"/>
    <s v="MAI"/>
    <n v="0"/>
    <x v="3"/>
    <n v="0"/>
    <x v="5"/>
    <s v=""/>
    <n v="0"/>
    <n v="0"/>
    <n v="0"/>
    <n v="0"/>
    <n v="0"/>
    <n v="0"/>
  </r>
  <r>
    <x v="15"/>
    <n v="0"/>
    <x v="3"/>
    <n v="5"/>
    <s v="MAI"/>
    <n v="0"/>
    <x v="3"/>
    <n v="0"/>
    <x v="2"/>
    <s v=""/>
    <n v="0"/>
    <n v="0"/>
    <n v="0"/>
    <n v="0"/>
    <n v="0"/>
    <n v="0"/>
  </r>
  <r>
    <x v="16"/>
    <s v="#LIFU82JHE"/>
    <x v="4"/>
    <n v="5"/>
    <s v="MAI"/>
    <s v="MAI"/>
    <x v="4"/>
    <n v="11"/>
    <x v="7"/>
    <d v="1899-12-30T00:29:00"/>
    <n v="4.17"/>
    <n v="7.3639418677014303"/>
    <n v="2.95"/>
    <n v="6.1034482758620907"/>
    <n v="1"/>
    <n v="1.9326872402718884"/>
  </r>
  <r>
    <x v="16"/>
    <n v="0"/>
    <x v="4"/>
    <n v="5"/>
    <s v="MAI"/>
    <n v="0"/>
    <x v="4"/>
    <n v="0"/>
    <x v="8"/>
    <s v=""/>
    <n v="0"/>
    <n v="0"/>
    <n v="0"/>
    <n v="0"/>
    <n v="0"/>
    <n v="0"/>
  </r>
  <r>
    <x v="16"/>
    <n v="0"/>
    <x v="4"/>
    <n v="5"/>
    <s v="MAI"/>
    <n v="0"/>
    <x v="4"/>
    <n v="0"/>
    <x v="2"/>
    <s v=""/>
    <n v="0"/>
    <n v="0"/>
    <n v="0"/>
    <n v="0"/>
    <n v="0"/>
    <n v="0"/>
  </r>
  <r>
    <x v="16"/>
    <n v="0"/>
    <x v="4"/>
    <n v="5"/>
    <s v="MAI"/>
    <n v="0"/>
    <x v="4"/>
    <n v="0"/>
    <x v="2"/>
    <s v=""/>
    <n v="0"/>
    <n v="0"/>
    <n v="0"/>
    <n v="0"/>
    <n v="0"/>
    <n v="0"/>
  </r>
  <r>
    <x v="17"/>
    <s v="#LIP8HH7LC"/>
    <x v="4"/>
    <n v="5"/>
    <s v="MAI"/>
    <n v="0"/>
    <x v="4"/>
    <n v="0"/>
    <x v="1"/>
    <d v="1899-12-30T00:44:00"/>
    <n v="7.89"/>
    <n v="13.933213749679686"/>
    <n v="4.37"/>
    <n v="5.9590909090909099"/>
    <n v="1"/>
    <n v="2.86299770847056"/>
  </r>
  <r>
    <x v="17"/>
    <n v="0"/>
    <x v="4"/>
    <n v="5"/>
    <s v="MAI"/>
    <n v="0"/>
    <x v="4"/>
    <n v="0"/>
    <x v="1"/>
    <s v=""/>
    <n v="0"/>
    <n v="0"/>
    <n v="0"/>
    <n v="0"/>
    <n v="0"/>
    <n v="0"/>
  </r>
  <r>
    <x v="17"/>
    <n v="0"/>
    <x v="4"/>
    <n v="5"/>
    <s v="MAI"/>
    <n v="0"/>
    <x v="4"/>
    <n v="0"/>
    <x v="2"/>
    <s v=""/>
    <n v="0"/>
    <n v="0"/>
    <n v="0"/>
    <n v="0"/>
    <n v="0"/>
    <n v="0"/>
  </r>
  <r>
    <x v="17"/>
    <n v="0"/>
    <x v="4"/>
    <n v="5"/>
    <s v="MAI"/>
    <n v="0"/>
    <x v="4"/>
    <n v="0"/>
    <x v="2"/>
    <s v=""/>
    <n v="0"/>
    <n v="0"/>
    <n v="0"/>
    <n v="0"/>
    <n v="0"/>
    <n v="0"/>
  </r>
  <r>
    <x v="18"/>
    <s v="#LI8JFZ1EN"/>
    <x v="4"/>
    <n v="5"/>
    <s v="MAI"/>
    <n v="0"/>
    <x v="4"/>
    <n v="0"/>
    <x v="1"/>
    <d v="1899-12-30T00:27:00"/>
    <n v="4.78"/>
    <n v="8.4411611816817373"/>
    <n v="3.17"/>
    <n v="7.0444444444444692"/>
    <n v="1"/>
    <n v="2.0768198480209783"/>
  </r>
  <r>
    <x v="18"/>
    <n v="0"/>
    <x v="4"/>
    <n v="5"/>
    <s v="MAI"/>
    <n v="0"/>
    <x v="4"/>
    <n v="0"/>
    <x v="3"/>
    <s v=""/>
    <n v="0"/>
    <n v="0"/>
    <n v="0"/>
    <n v="0"/>
    <n v="0"/>
    <n v="0"/>
  </r>
  <r>
    <x v="18"/>
    <n v="0"/>
    <x v="4"/>
    <n v="5"/>
    <s v="MAI"/>
    <n v="0"/>
    <x v="4"/>
    <n v="0"/>
    <x v="2"/>
    <s v=""/>
    <n v="0"/>
    <n v="0"/>
    <n v="0"/>
    <n v="0"/>
    <n v="0"/>
    <n v="0"/>
  </r>
  <r>
    <x v="18"/>
    <n v="0"/>
    <x v="4"/>
    <n v="5"/>
    <s v="MAI"/>
    <n v="0"/>
    <x v="4"/>
    <n v="0"/>
    <x v="2"/>
    <s v=""/>
    <n v="0"/>
    <n v="0"/>
    <n v="0"/>
    <n v="0"/>
    <n v="0"/>
    <n v="0"/>
  </r>
  <r>
    <x v="19"/>
    <s v="#LID1HKHW3"/>
    <x v="4"/>
    <n v="5"/>
    <s v="MAI"/>
    <n v="0"/>
    <x v="4"/>
    <n v="0"/>
    <x v="3"/>
    <d v="1899-12-30T00:26:00"/>
    <n v="1.22"/>
    <n v="2.1544386279606105"/>
    <n v="2.29"/>
    <n v="5.2846153846153712"/>
    <n v="1"/>
    <n v="1.5002894170246184"/>
  </r>
  <r>
    <x v="19"/>
    <n v="0"/>
    <x v="4"/>
    <n v="5"/>
    <s v="MAI"/>
    <n v="0"/>
    <x v="4"/>
    <n v="0"/>
    <x v="3"/>
    <s v=""/>
    <n v="0"/>
    <n v="0"/>
    <n v="0"/>
    <n v="0"/>
    <n v="0"/>
    <n v="0"/>
  </r>
  <r>
    <x v="19"/>
    <n v="0"/>
    <x v="4"/>
    <n v="5"/>
    <s v="MAI"/>
    <n v="0"/>
    <x v="4"/>
    <n v="0"/>
    <x v="2"/>
    <s v=""/>
    <n v="0"/>
    <n v="0"/>
    <n v="0"/>
    <n v="0"/>
    <n v="0"/>
    <n v="0"/>
  </r>
  <r>
    <x v="19"/>
    <n v="0"/>
    <x v="4"/>
    <n v="5"/>
    <s v="MAI"/>
    <n v="0"/>
    <x v="4"/>
    <n v="0"/>
    <x v="2"/>
    <s v=""/>
    <n v="0"/>
    <n v="0"/>
    <n v="0"/>
    <n v="0"/>
    <n v="0"/>
    <n v="0"/>
  </r>
  <r>
    <x v="20"/>
    <s v="#LIEA9YL21"/>
    <x v="4"/>
    <n v="5"/>
    <s v="MAI"/>
    <n v="0"/>
    <x v="4"/>
    <n v="0"/>
    <x v="3"/>
    <d v="1899-12-30T00:44:00"/>
    <n v="5.72"/>
    <n v="10.10113848519237"/>
    <n v="4.45"/>
    <n v="6.0681818181818192"/>
    <n v="1"/>
    <n v="2.9154095658338655"/>
  </r>
  <r>
    <x v="20"/>
    <n v="0"/>
    <x v="4"/>
    <n v="5"/>
    <s v="MAI"/>
    <n v="0"/>
    <x v="4"/>
    <n v="0"/>
    <x v="5"/>
    <s v=""/>
    <n v="0"/>
    <n v="0"/>
    <n v="0"/>
    <n v="0"/>
    <n v="0"/>
    <n v="0"/>
  </r>
  <r>
    <x v="20"/>
    <n v="0"/>
    <x v="4"/>
    <n v="5"/>
    <s v="MAI"/>
    <n v="0"/>
    <x v="4"/>
    <n v="0"/>
    <x v="2"/>
    <s v=""/>
    <n v="0"/>
    <n v="0"/>
    <n v="0"/>
    <n v="0"/>
    <n v="0"/>
    <n v="0"/>
  </r>
  <r>
    <x v="20"/>
    <n v="0"/>
    <x v="4"/>
    <n v="5"/>
    <s v="MAI"/>
    <n v="0"/>
    <x v="4"/>
    <n v="0"/>
    <x v="2"/>
    <s v=""/>
    <n v="0"/>
    <n v="0"/>
    <n v="0"/>
    <n v="0"/>
    <n v="0"/>
    <n v="0"/>
  </r>
  <r>
    <x v="21"/>
    <s v="#LICNWV74N"/>
    <x v="4"/>
    <n v="5"/>
    <s v="MAI"/>
    <n v="0"/>
    <x v="4"/>
    <n v="0"/>
    <x v="5"/>
    <d v="1899-12-30T00:34:00"/>
    <n v="7.67"/>
    <n v="13.544708423326133"/>
    <n v="4.2300000000000004"/>
    <n v="7.4647058823529333"/>
    <n v="1"/>
    <n v="2.7712769580847758"/>
  </r>
  <r>
    <x v="21"/>
    <n v="0"/>
    <x v="4"/>
    <n v="5"/>
    <s v="MAI"/>
    <n v="0"/>
    <x v="4"/>
    <n v="0"/>
    <x v="4"/>
    <s v=""/>
    <n v="0"/>
    <n v="0"/>
    <n v="0"/>
    <n v="0"/>
    <n v="0"/>
    <n v="0"/>
  </r>
  <r>
    <x v="21"/>
    <n v="0"/>
    <x v="4"/>
    <n v="5"/>
    <s v="MAI"/>
    <n v="0"/>
    <x v="4"/>
    <n v="0"/>
    <x v="2"/>
    <s v=""/>
    <n v="0"/>
    <n v="0"/>
    <n v="0"/>
    <n v="0"/>
    <n v="0"/>
    <n v="0"/>
  </r>
  <r>
    <x v="22"/>
    <s v="#LITWQUWG4"/>
    <x v="5"/>
    <n v="5"/>
    <s v="MAI"/>
    <s v="MAI"/>
    <x v="5"/>
    <n v="12"/>
    <x v="7"/>
    <d v="1899-12-30T01:01:00"/>
    <n v="14.35"/>
    <n v="25.341142878061277"/>
    <n v="6.52"/>
    <n v="6.4131147540983662"/>
    <n v="1"/>
    <n v="4.2715663751093933"/>
  </r>
  <r>
    <x v="22"/>
    <n v="0"/>
    <x v="5"/>
    <n v="5"/>
    <s v="MAI"/>
    <n v="0"/>
    <x v="5"/>
    <n v="0"/>
    <x v="8"/>
    <s v=""/>
    <n v="0"/>
    <n v="0"/>
    <n v="0"/>
    <n v="0"/>
    <n v="0"/>
    <n v="0"/>
  </r>
  <r>
    <x v="22"/>
    <n v="0"/>
    <x v="5"/>
    <n v="5"/>
    <s v="MAI"/>
    <n v="0"/>
    <x v="5"/>
    <n v="0"/>
    <x v="2"/>
    <s v=""/>
    <n v="0"/>
    <n v="0"/>
    <n v="0"/>
    <n v="0"/>
    <n v="0"/>
    <n v="0"/>
  </r>
  <r>
    <x v="22"/>
    <n v="0"/>
    <x v="5"/>
    <n v="5"/>
    <s v="MAI"/>
    <n v="0"/>
    <x v="5"/>
    <n v="0"/>
    <x v="2"/>
    <s v=""/>
    <n v="0"/>
    <n v="0"/>
    <n v="0"/>
    <n v="0"/>
    <n v="0"/>
    <n v="0"/>
  </r>
  <r>
    <x v="23"/>
    <s v="#LIMYWQ1QY"/>
    <x v="5"/>
    <n v="5"/>
    <s v="MAI"/>
    <n v="0"/>
    <x v="5"/>
    <n v="0"/>
    <x v="8"/>
    <d v="1899-12-30T00:36:00"/>
    <n v="8.67"/>
    <n v="15.310641724933191"/>
    <n v="4.53"/>
    <n v="7.5499999999999936"/>
    <n v="1"/>
    <n v="2.9678214231971709"/>
  </r>
  <r>
    <x v="23"/>
    <n v="0"/>
    <x v="5"/>
    <n v="5"/>
    <s v="MAI"/>
    <n v="0"/>
    <x v="5"/>
    <n v="0"/>
    <x v="8"/>
    <s v=""/>
    <n v="0"/>
    <n v="0"/>
    <n v="0"/>
    <n v="0"/>
    <n v="0"/>
    <n v="0"/>
  </r>
  <r>
    <x v="23"/>
    <n v="0"/>
    <x v="5"/>
    <n v="5"/>
    <s v="MAI"/>
    <n v="0"/>
    <x v="5"/>
    <n v="0"/>
    <x v="2"/>
    <s v=""/>
    <n v="0"/>
    <n v="0"/>
    <n v="0"/>
    <n v="0"/>
    <n v="0"/>
    <n v="0"/>
  </r>
  <r>
    <x v="23"/>
    <n v="0"/>
    <x v="5"/>
    <n v="5"/>
    <s v="MAI"/>
    <n v="0"/>
    <x v="5"/>
    <n v="0"/>
    <x v="2"/>
    <s v=""/>
    <n v="0"/>
    <n v="0"/>
    <n v="0"/>
    <n v="0"/>
    <n v="0"/>
    <n v="0"/>
  </r>
  <r>
    <x v="24"/>
    <s v="#LI74KQMXA"/>
    <x v="5"/>
    <n v="5"/>
    <s v="MAI"/>
    <n v="0"/>
    <x v="5"/>
    <n v="0"/>
    <x v="8"/>
    <d v="1899-12-30T00:42:00"/>
    <n v="5.84"/>
    <n v="10.313050481385217"/>
    <n v="4.4000000000000004"/>
    <n v="6.2857142857142616"/>
    <n v="1"/>
    <n v="2.8826521549818001"/>
  </r>
  <r>
    <x v="24"/>
    <n v="0"/>
    <x v="5"/>
    <n v="5"/>
    <s v="MAI"/>
    <n v="0"/>
    <x v="5"/>
    <n v="0"/>
    <x v="9"/>
    <s v=""/>
    <n v="0"/>
    <n v="0"/>
    <n v="0"/>
    <n v="0"/>
    <n v="0"/>
    <n v="0"/>
  </r>
  <r>
    <x v="24"/>
    <n v="0"/>
    <x v="5"/>
    <n v="5"/>
    <s v="MAI"/>
    <n v="0"/>
    <x v="5"/>
    <n v="0"/>
    <x v="2"/>
    <s v=""/>
    <n v="0"/>
    <n v="0"/>
    <n v="0"/>
    <n v="0"/>
    <n v="0"/>
    <n v="0"/>
  </r>
  <r>
    <x v="24"/>
    <n v="0"/>
    <x v="5"/>
    <n v="5"/>
    <s v="MAI"/>
    <n v="0"/>
    <x v="5"/>
    <n v="0"/>
    <x v="2"/>
    <s v=""/>
    <n v="0"/>
    <n v="0"/>
    <n v="0"/>
    <n v="0"/>
    <n v="0"/>
    <n v="0"/>
  </r>
  <r>
    <x v="25"/>
    <s v="#LIQCAFTWH"/>
    <x v="5"/>
    <n v="5"/>
    <s v="MAI"/>
    <n v="0"/>
    <x v="5"/>
    <n v="0"/>
    <x v="9"/>
    <d v="1899-12-30T00:50:00"/>
    <n v="9.58"/>
    <n v="16.917641029395615"/>
    <n v="4.8499999999999996"/>
    <n v="5.8200000000000021"/>
    <n v="1"/>
    <n v="3.1774688526503927"/>
  </r>
  <r>
    <x v="25"/>
    <n v="0"/>
    <x v="5"/>
    <n v="5"/>
    <s v="MAI"/>
    <n v="0"/>
    <x v="5"/>
    <n v="0"/>
    <x v="10"/>
    <s v=""/>
    <n v="0"/>
    <n v="0"/>
    <n v="0"/>
    <n v="0"/>
    <n v="0"/>
    <n v="0"/>
  </r>
  <r>
    <x v="25"/>
    <n v="0"/>
    <x v="5"/>
    <n v="5"/>
    <s v="MAI"/>
    <n v="0"/>
    <x v="5"/>
    <n v="0"/>
    <x v="2"/>
    <s v=""/>
    <n v="0"/>
    <n v="0"/>
    <n v="0"/>
    <n v="0"/>
    <n v="0"/>
    <n v="0"/>
  </r>
  <r>
    <x v="25"/>
    <n v="0"/>
    <x v="5"/>
    <n v="5"/>
    <s v="MAI"/>
    <n v="0"/>
    <x v="5"/>
    <n v="0"/>
    <x v="2"/>
    <s v=""/>
    <n v="0"/>
    <n v="0"/>
    <n v="0"/>
    <n v="0"/>
    <n v="0"/>
    <n v="0"/>
  </r>
  <r>
    <x v="26"/>
    <s v="#LI971J1L9"/>
    <x v="5"/>
    <n v="5"/>
    <s v="MAI"/>
    <n v="0"/>
    <x v="5"/>
    <n v="0"/>
    <x v="0"/>
    <d v="1899-12-30T00:30:00"/>
    <n v="2.7"/>
    <n v="4.7680199143390558"/>
    <n v="2.44"/>
    <n v="4.879999999999991"/>
    <n v="1"/>
    <n v="1.5985616495808161"/>
  </r>
  <r>
    <x v="26"/>
    <n v="0"/>
    <x v="5"/>
    <n v="5"/>
    <s v="MAI"/>
    <n v="0"/>
    <x v="5"/>
    <n v="0"/>
    <x v="1"/>
    <s v=""/>
    <n v="0"/>
    <n v="0"/>
    <n v="0"/>
    <n v="0"/>
    <n v="0"/>
    <n v="0"/>
  </r>
  <r>
    <x v="26"/>
    <n v="0"/>
    <x v="5"/>
    <n v="5"/>
    <s v="MAI"/>
    <n v="0"/>
    <x v="5"/>
    <n v="0"/>
    <x v="2"/>
    <s v=""/>
    <n v="0"/>
    <n v="0"/>
    <n v="0"/>
    <n v="0"/>
    <n v="0"/>
    <n v="0"/>
  </r>
  <r>
    <x v="26"/>
    <n v="0"/>
    <x v="5"/>
    <n v="5"/>
    <s v="MAI"/>
    <n v="0"/>
    <x v="5"/>
    <n v="0"/>
    <x v="2"/>
    <s v=""/>
    <n v="0"/>
    <n v="0"/>
    <n v="0"/>
    <n v="0"/>
    <n v="0"/>
    <n v="0"/>
  </r>
  <r>
    <x v="27"/>
    <s v="#LIUGCCXME"/>
    <x v="5"/>
    <n v="5"/>
    <s v="MAI"/>
    <n v="0"/>
    <x v="5"/>
    <n v="0"/>
    <x v="1"/>
    <d v="1899-12-30T00:39:00"/>
    <n v="6.17"/>
    <n v="10.895808470915545"/>
    <n v="4.3899999999999997"/>
    <n v="6.7538461538461494"/>
    <n v="1"/>
    <n v="2.8761006728113863"/>
  </r>
  <r>
    <x v="27"/>
    <n v="0"/>
    <x v="5"/>
    <n v="5"/>
    <s v="MAI"/>
    <n v="0"/>
    <x v="5"/>
    <n v="0"/>
    <x v="1"/>
    <s v=""/>
    <n v="0"/>
    <n v="0"/>
    <n v="0"/>
    <n v="0"/>
    <n v="0"/>
    <n v="0"/>
  </r>
  <r>
    <x v="27"/>
    <n v="0"/>
    <x v="5"/>
    <n v="5"/>
    <s v="MAI"/>
    <n v="0"/>
    <x v="5"/>
    <n v="0"/>
    <x v="2"/>
    <s v=""/>
    <n v="0"/>
    <n v="0"/>
    <n v="0"/>
    <n v="0"/>
    <n v="0"/>
    <n v="0"/>
  </r>
  <r>
    <x v="27"/>
    <n v="0"/>
    <x v="5"/>
    <n v="5"/>
    <s v="MAI"/>
    <n v="0"/>
    <x v="5"/>
    <n v="0"/>
    <x v="2"/>
    <s v=""/>
    <n v="0"/>
    <n v="0"/>
    <n v="0"/>
    <n v="0"/>
    <n v="0"/>
    <n v="0"/>
  </r>
  <r>
    <x v="28"/>
    <s v="#LI2UGV5NU"/>
    <x v="5"/>
    <n v="5"/>
    <s v="MAI"/>
    <n v="0"/>
    <x v="5"/>
    <n v="0"/>
    <x v="1"/>
    <d v="1899-12-30T00:30:00"/>
    <n v="5.65"/>
    <n v="9.9775231540798774"/>
    <n v="4.47"/>
    <n v="8.9399999999999835"/>
    <n v="1"/>
    <n v="2.9285125301746917"/>
  </r>
  <r>
    <x v="28"/>
    <n v="0"/>
    <x v="5"/>
    <n v="5"/>
    <s v="MAI"/>
    <n v="0"/>
    <x v="5"/>
    <n v="0"/>
    <x v="3"/>
    <s v=""/>
    <n v="0"/>
    <n v="0"/>
    <n v="0"/>
    <n v="0"/>
    <n v="0"/>
    <n v="0"/>
  </r>
  <r>
    <x v="28"/>
    <n v="0"/>
    <x v="5"/>
    <n v="5"/>
    <s v="MAI"/>
    <n v="0"/>
    <x v="5"/>
    <n v="0"/>
    <x v="2"/>
    <s v=""/>
    <n v="0"/>
    <n v="0"/>
    <n v="0"/>
    <n v="0"/>
    <n v="0"/>
    <n v="0"/>
  </r>
  <r>
    <x v="28"/>
    <n v="0"/>
    <x v="5"/>
    <n v="5"/>
    <s v="MAI"/>
    <n v="0"/>
    <x v="5"/>
    <n v="0"/>
    <x v="2"/>
    <s v=""/>
    <n v="0"/>
    <n v="0"/>
    <n v="0"/>
    <n v="0"/>
    <n v="0"/>
    <n v="0"/>
  </r>
  <r>
    <x v="29"/>
    <s v="#LIZ3ZBXNV"/>
    <x v="5"/>
    <n v="5"/>
    <s v="MAI"/>
    <n v="0"/>
    <x v="5"/>
    <n v="0"/>
    <x v="3"/>
    <d v="1899-12-30T00:44:00"/>
    <n v="7.2"/>
    <n v="12.714719771570817"/>
    <n v="4.47"/>
    <n v="6.0954545454545679"/>
    <n v="1"/>
    <n v="2.9285125301746917"/>
  </r>
  <r>
    <x v="29"/>
    <n v="0"/>
    <x v="5"/>
    <n v="5"/>
    <s v="MAI"/>
    <n v="0"/>
    <x v="5"/>
    <n v="0"/>
    <x v="5"/>
    <s v=""/>
    <n v="0"/>
    <n v="0"/>
    <n v="0"/>
    <n v="0"/>
    <n v="0"/>
    <n v="0"/>
  </r>
  <r>
    <x v="29"/>
    <n v="0"/>
    <x v="5"/>
    <n v="5"/>
    <s v="MAI"/>
    <n v="0"/>
    <x v="5"/>
    <n v="0"/>
    <x v="2"/>
    <s v=""/>
    <n v="0"/>
    <n v="0"/>
    <n v="0"/>
    <n v="0"/>
    <n v="0"/>
    <n v="0"/>
  </r>
  <r>
    <x v="29"/>
    <n v="0"/>
    <x v="5"/>
    <n v="5"/>
    <s v="MAI"/>
    <n v="0"/>
    <x v="5"/>
    <n v="0"/>
    <x v="2"/>
    <s v=""/>
    <n v="0"/>
    <n v="0"/>
    <n v="0"/>
    <n v="0"/>
    <n v="0"/>
    <n v="0"/>
  </r>
  <r>
    <x v="30"/>
    <s v="#LIBBXGST6"/>
    <x v="5"/>
    <n v="5"/>
    <s v="MAI"/>
    <n v="0"/>
    <x v="5"/>
    <n v="0"/>
    <x v="5"/>
    <d v="1899-12-30T00:24:00"/>
    <n v="4.49"/>
    <n v="7.9290405242156901"/>
    <n v="3.1"/>
    <n v="7.749999999999976"/>
    <n v="1"/>
    <n v="2.0309594728280862"/>
  </r>
  <r>
    <x v="30"/>
    <n v="0"/>
    <x v="5"/>
    <n v="5"/>
    <s v="MAI"/>
    <n v="0"/>
    <x v="5"/>
    <n v="0"/>
    <x v="5"/>
    <s v=""/>
    <n v="0"/>
    <n v="0"/>
    <n v="0"/>
    <n v="0"/>
    <n v="0"/>
    <n v="0"/>
  </r>
  <r>
    <x v="30"/>
    <n v="0"/>
    <x v="5"/>
    <n v="5"/>
    <s v="MAI"/>
    <n v="0"/>
    <x v="5"/>
    <n v="0"/>
    <x v="5"/>
    <s v=""/>
    <n v="0"/>
    <n v="0"/>
    <n v="1.29"/>
    <n v="0"/>
    <n v="0"/>
    <n v="0.8451411999833004"/>
  </r>
  <r>
    <x v="30"/>
    <n v="0"/>
    <x v="5"/>
    <n v="5"/>
    <s v="MAI"/>
    <n v="0"/>
    <x v="5"/>
    <n v="0"/>
    <x v="2"/>
    <s v=""/>
    <n v="0"/>
    <n v="0"/>
    <n v="0"/>
    <n v="0"/>
    <n v="0"/>
    <n v="0"/>
  </r>
  <r>
    <x v="31"/>
    <s v="#LIVE1JD1M"/>
    <x v="6"/>
    <n v="5"/>
    <s v="MAI"/>
    <s v="MAI"/>
    <x v="6"/>
    <n v="13"/>
    <x v="7"/>
    <d v="1899-12-30T00:58:00"/>
    <n v="6.33"/>
    <n v="11.178357799172675"/>
    <n v="4.3600000000000003"/>
    <n v="4.510344827586211"/>
    <n v="1"/>
    <n v="2.8564462263001471"/>
  </r>
  <r>
    <x v="31"/>
    <n v="0"/>
    <x v="6"/>
    <n v="5"/>
    <s v="MAI"/>
    <n v="0"/>
    <x v="6"/>
    <n v="0"/>
    <x v="8"/>
    <s v=""/>
    <n v="0"/>
    <n v="0"/>
    <n v="0"/>
    <n v="0"/>
    <n v="0"/>
    <n v="0"/>
  </r>
  <r>
    <x v="31"/>
    <n v="0"/>
    <x v="6"/>
    <n v="5"/>
    <s v="MAI"/>
    <n v="0"/>
    <x v="6"/>
    <n v="0"/>
    <x v="2"/>
    <s v=""/>
    <n v="0"/>
    <n v="0"/>
    <n v="0"/>
    <n v="0"/>
    <n v="0"/>
    <n v="0"/>
  </r>
  <r>
    <x v="31"/>
    <n v="0"/>
    <x v="6"/>
    <n v="5"/>
    <s v="MAI"/>
    <n v="0"/>
    <x v="6"/>
    <n v="0"/>
    <x v="2"/>
    <s v=""/>
    <n v="0"/>
    <n v="0"/>
    <n v="0"/>
    <n v="0"/>
    <n v="0"/>
    <n v="0"/>
  </r>
  <r>
    <x v="32"/>
    <s v="#LIUNDNRUW"/>
    <x v="6"/>
    <n v="5"/>
    <s v="MAI"/>
    <n v="0"/>
    <x v="6"/>
    <n v="0"/>
    <x v="8"/>
    <d v="1899-12-30T00:15:00"/>
    <n v="4.34"/>
    <n v="7.6641505289746306"/>
    <n v="3.01"/>
    <n v="12.040000000000042"/>
    <n v="1"/>
    <n v="1.9719961332943674"/>
  </r>
  <r>
    <x v="32"/>
    <n v="0"/>
    <x v="6"/>
    <n v="5"/>
    <s v="MAI"/>
    <n v="0"/>
    <x v="6"/>
    <n v="0"/>
    <x v="8"/>
    <s v=""/>
    <n v="0"/>
    <n v="0"/>
    <n v="0"/>
    <n v="0"/>
    <n v="0"/>
    <n v="0"/>
  </r>
  <r>
    <x v="32"/>
    <n v="0"/>
    <x v="6"/>
    <n v="5"/>
    <s v="MAI"/>
    <n v="0"/>
    <x v="6"/>
    <n v="0"/>
    <x v="2"/>
    <s v=""/>
    <n v="0"/>
    <n v="0"/>
    <n v="0"/>
    <n v="0"/>
    <n v="0"/>
    <n v="0"/>
  </r>
  <r>
    <x v="32"/>
    <n v="0"/>
    <x v="6"/>
    <n v="5"/>
    <s v="MAI"/>
    <n v="0"/>
    <x v="6"/>
    <n v="0"/>
    <x v="2"/>
    <s v=""/>
    <n v="0"/>
    <n v="0"/>
    <n v="0"/>
    <n v="0"/>
    <n v="0"/>
    <n v="0"/>
  </r>
  <r>
    <x v="33"/>
    <s v="#LIQ8VKCTD"/>
    <x v="6"/>
    <n v="5"/>
    <s v="MAI"/>
    <n v="0"/>
    <x v="6"/>
    <n v="0"/>
    <x v="8"/>
    <d v="1899-12-30T00:43:00"/>
    <n v="8.85"/>
    <n v="15.62850971922246"/>
    <n v="4.6100000000000003"/>
    <n v="6.4325581395348834"/>
    <n v="1"/>
    <n v="3.0202332805604768"/>
  </r>
  <r>
    <x v="33"/>
    <n v="0"/>
    <x v="6"/>
    <n v="5"/>
    <s v="MAI"/>
    <n v="0"/>
    <x v="6"/>
    <n v="0"/>
    <x v="9"/>
    <s v=""/>
    <n v="0"/>
    <n v="0"/>
    <n v="0"/>
    <n v="0"/>
    <n v="0"/>
    <n v="0"/>
  </r>
  <r>
    <x v="33"/>
    <n v="0"/>
    <x v="6"/>
    <n v="5"/>
    <s v="MAI"/>
    <n v="0"/>
    <x v="6"/>
    <n v="0"/>
    <x v="2"/>
    <s v=""/>
    <n v="0"/>
    <n v="0"/>
    <n v="0"/>
    <n v="0"/>
    <n v="0"/>
    <n v="0"/>
  </r>
  <r>
    <x v="33"/>
    <n v="0"/>
    <x v="6"/>
    <n v="5"/>
    <s v="MAI"/>
    <n v="0"/>
    <x v="6"/>
    <n v="0"/>
    <x v="2"/>
    <s v=""/>
    <n v="0"/>
    <n v="0"/>
    <n v="0"/>
    <n v="0"/>
    <n v="0"/>
    <n v="0"/>
  </r>
  <r>
    <x v="34"/>
    <s v="#LIA7YUQBB"/>
    <x v="6"/>
    <n v="5"/>
    <s v="MAI"/>
    <n v="0"/>
    <x v="6"/>
    <n v="0"/>
    <x v="0"/>
    <d v="1899-12-30T00:23:00"/>
    <n v="3.17"/>
    <n v="5.5980085660943733"/>
    <n v="2.6"/>
    <n v="6.7826086956521996"/>
    <n v="1"/>
    <n v="1.703385364307427"/>
  </r>
  <r>
    <x v="34"/>
    <n v="0"/>
    <x v="6"/>
    <n v="5"/>
    <s v="MAI"/>
    <n v="0"/>
    <x v="6"/>
    <n v="0"/>
    <x v="0"/>
    <s v=""/>
    <n v="0"/>
    <n v="0"/>
    <n v="0"/>
    <n v="0"/>
    <n v="0"/>
    <n v="0"/>
  </r>
  <r>
    <x v="34"/>
    <n v="0"/>
    <x v="6"/>
    <n v="5"/>
    <s v="MAI"/>
    <n v="0"/>
    <x v="6"/>
    <n v="0"/>
    <x v="2"/>
    <s v=""/>
    <n v="0"/>
    <n v="0"/>
    <n v="0"/>
    <n v="0"/>
    <n v="0"/>
    <n v="0"/>
  </r>
  <r>
    <x v="34"/>
    <n v="0"/>
    <x v="6"/>
    <n v="5"/>
    <s v="MAI"/>
    <n v="0"/>
    <x v="6"/>
    <n v="0"/>
    <x v="2"/>
    <s v=""/>
    <n v="0"/>
    <n v="0"/>
    <n v="0"/>
    <n v="0"/>
    <n v="0"/>
    <n v="0"/>
  </r>
  <r>
    <x v="35"/>
    <s v="#LIKYHVR1B"/>
    <x v="6"/>
    <n v="5"/>
    <s v="MAI"/>
    <n v="0"/>
    <x v="6"/>
    <n v="0"/>
    <x v="0"/>
    <d v="1899-12-30T00:42:00"/>
    <n v="10.6"/>
    <n v="18.718892997034811"/>
    <n v="5.21"/>
    <n v="7.4428571428571138"/>
    <n v="1"/>
    <n v="3.4133222107852674"/>
  </r>
  <r>
    <x v="35"/>
    <n v="0"/>
    <x v="6"/>
    <n v="5"/>
    <s v="MAI"/>
    <n v="0"/>
    <x v="6"/>
    <n v="0"/>
    <x v="1"/>
    <s v=""/>
    <n v="0"/>
    <n v="0"/>
    <n v="0"/>
    <n v="0"/>
    <n v="0"/>
    <n v="0"/>
  </r>
  <r>
    <x v="35"/>
    <n v="0"/>
    <x v="6"/>
    <n v="5"/>
    <s v="MAI"/>
    <n v="0"/>
    <x v="6"/>
    <n v="0"/>
    <x v="2"/>
    <s v=""/>
    <n v="0"/>
    <n v="0"/>
    <n v="0"/>
    <n v="0"/>
    <n v="0"/>
    <n v="0"/>
  </r>
  <r>
    <x v="35"/>
    <n v="0"/>
    <x v="6"/>
    <n v="5"/>
    <s v="MAI"/>
    <n v="0"/>
    <x v="6"/>
    <n v="0"/>
    <x v="2"/>
    <s v=""/>
    <n v="0"/>
    <n v="0"/>
    <n v="0"/>
    <n v="0"/>
    <n v="0"/>
    <n v="0"/>
  </r>
  <r>
    <x v="36"/>
    <s v="#LIM2NN152"/>
    <x v="6"/>
    <n v="5"/>
    <s v="MAI"/>
    <n v="0"/>
    <x v="6"/>
    <n v="0"/>
    <x v="1"/>
    <d v="1899-12-30T00:27:00"/>
    <n v="5.18"/>
    <n v="9.1475345023245591"/>
    <n v="4.03"/>
    <n v="8.9555555555555877"/>
    <n v="1"/>
    <n v="2.640247314676512"/>
  </r>
  <r>
    <x v="36"/>
    <n v="0"/>
    <x v="6"/>
    <n v="5"/>
    <s v="MAI"/>
    <n v="0"/>
    <x v="6"/>
    <n v="0"/>
    <x v="3"/>
    <s v=""/>
    <n v="0"/>
    <n v="0"/>
    <n v="0"/>
    <n v="0"/>
    <n v="0"/>
    <n v="0"/>
  </r>
  <r>
    <x v="36"/>
    <n v="0"/>
    <x v="6"/>
    <n v="5"/>
    <s v="MAI"/>
    <n v="0"/>
    <x v="6"/>
    <n v="0"/>
    <x v="2"/>
    <s v=""/>
    <n v="0"/>
    <n v="0"/>
    <n v="0"/>
    <n v="0"/>
    <n v="0"/>
    <n v="0"/>
  </r>
  <r>
    <x v="36"/>
    <n v="0"/>
    <x v="6"/>
    <n v="5"/>
    <s v="MAI"/>
    <n v="0"/>
    <x v="6"/>
    <n v="0"/>
    <x v="2"/>
    <s v=""/>
    <n v="0"/>
    <n v="0"/>
    <n v="0"/>
    <n v="0"/>
    <n v="0"/>
    <n v="0"/>
  </r>
  <r>
    <x v="37"/>
    <s v="#LI7KVVHWC"/>
    <x v="6"/>
    <n v="5"/>
    <s v="MAI"/>
    <n v="0"/>
    <x v="6"/>
    <n v="0"/>
    <x v="3"/>
    <d v="1899-12-30T00:30:00"/>
    <n v="6.9"/>
    <n v="12.184939781088699"/>
    <n v="3.91"/>
    <n v="7.8199999999999861"/>
    <n v="1"/>
    <n v="2.561629528631554"/>
  </r>
  <r>
    <x v="37"/>
    <n v="0"/>
    <x v="6"/>
    <n v="5"/>
    <s v="MAI"/>
    <n v="0"/>
    <x v="6"/>
    <n v="0"/>
    <x v="3"/>
    <s v=""/>
    <n v="0"/>
    <n v="0"/>
    <n v="0"/>
    <n v="0"/>
    <n v="0"/>
    <n v="0"/>
  </r>
  <r>
    <x v="37"/>
    <n v="0"/>
    <x v="6"/>
    <n v="5"/>
    <s v="MAI"/>
    <n v="0"/>
    <x v="6"/>
    <n v="0"/>
    <x v="2"/>
    <s v=""/>
    <n v="0"/>
    <n v="0"/>
    <n v="0"/>
    <n v="0"/>
    <n v="0"/>
    <n v="0"/>
  </r>
  <r>
    <x v="37"/>
    <n v="0"/>
    <x v="6"/>
    <n v="5"/>
    <s v="MAI"/>
    <n v="0"/>
    <x v="6"/>
    <n v="0"/>
    <x v="2"/>
    <s v=""/>
    <n v="0"/>
    <n v="0"/>
    <n v="0"/>
    <n v="0"/>
    <n v="0"/>
    <n v="0"/>
  </r>
  <r>
    <x v="38"/>
    <s v="#LIAJLGHXD"/>
    <x v="6"/>
    <n v="5"/>
    <s v="MAI"/>
    <n v="0"/>
    <x v="6"/>
    <n v="0"/>
    <x v="3"/>
    <d v="1899-12-30T00:34:00"/>
    <n v="5.21"/>
    <n v="9.2005125013727707"/>
    <n v="3.33"/>
    <n v="5.876470588235315"/>
    <n v="1"/>
    <n v="2.1816435627475892"/>
  </r>
  <r>
    <x v="38"/>
    <n v="0"/>
    <x v="6"/>
    <n v="5"/>
    <s v="MAI"/>
    <n v="0"/>
    <x v="6"/>
    <n v="0"/>
    <x v="5"/>
    <s v=""/>
    <n v="0"/>
    <n v="0"/>
    <n v="0"/>
    <n v="0"/>
    <n v="0"/>
    <n v="0"/>
  </r>
  <r>
    <x v="38"/>
    <n v="0"/>
    <x v="6"/>
    <n v="5"/>
    <s v="MAI"/>
    <n v="0"/>
    <x v="6"/>
    <n v="0"/>
    <x v="2"/>
    <s v=""/>
    <n v="0"/>
    <n v="0"/>
    <n v="0"/>
    <n v="0"/>
    <n v="0"/>
    <n v="0"/>
  </r>
  <r>
    <x v="38"/>
    <n v="0"/>
    <x v="6"/>
    <n v="5"/>
    <s v="MAI"/>
    <n v="0"/>
    <x v="6"/>
    <n v="0"/>
    <x v="2"/>
    <s v=""/>
    <n v="0"/>
    <n v="0"/>
    <n v="0"/>
    <n v="0"/>
    <n v="0"/>
    <n v="0"/>
  </r>
  <r>
    <x v="39"/>
    <s v="#LINCCQPES "/>
    <x v="7"/>
    <n v="5"/>
    <s v="MAI"/>
    <s v="MAI"/>
    <x v="7"/>
    <n v="14"/>
    <x v="0"/>
    <d v="1899-12-30T00:28:00"/>
    <n v="2.25"/>
    <n v="3.97334992861588"/>
    <n v="2.2799999999999998"/>
    <n v="4.885714285714303"/>
    <n v="1"/>
    <n v="1.493737934854205"/>
  </r>
  <r>
    <x v="39"/>
    <n v="0"/>
    <x v="7"/>
    <n v="5"/>
    <s v="MAI"/>
    <n v="0"/>
    <x v="7"/>
    <n v="0"/>
    <x v="1"/>
    <s v=""/>
    <n v="0"/>
    <n v="0"/>
    <n v="0"/>
    <n v="0"/>
    <n v="0"/>
    <n v="0"/>
  </r>
  <r>
    <x v="39"/>
    <n v="0"/>
    <x v="7"/>
    <n v="5"/>
    <s v="MAI"/>
    <n v="0"/>
    <x v="7"/>
    <n v="0"/>
    <x v="2"/>
    <s v=""/>
    <n v="0"/>
    <n v="0"/>
    <n v="0"/>
    <n v="0"/>
    <n v="0"/>
    <n v="0"/>
  </r>
  <r>
    <x v="39"/>
    <n v="0"/>
    <x v="7"/>
    <n v="5"/>
    <s v="MAI"/>
    <n v="0"/>
    <x v="7"/>
    <n v="0"/>
    <x v="2"/>
    <s v=""/>
    <n v="0"/>
    <n v="0"/>
    <n v="0"/>
    <n v="0"/>
    <n v="0"/>
    <n v="0"/>
  </r>
  <r>
    <x v="40"/>
    <s v="#LISZLGZZK "/>
    <x v="7"/>
    <n v="5"/>
    <s v="MAI"/>
    <n v="0"/>
    <x v="7"/>
    <n v="0"/>
    <x v="1"/>
    <d v="1899-12-30T00:41:00"/>
    <n v="4.6500000000000004"/>
    <n v="8.2115898524728195"/>
    <n v="3.63"/>
    <n v="5.3121951219512171"/>
    <n v="1"/>
    <n v="2.3781880278599847"/>
  </r>
  <r>
    <x v="40"/>
    <n v="0"/>
    <x v="7"/>
    <n v="5"/>
    <s v="MAI"/>
    <n v="0"/>
    <x v="7"/>
    <n v="0"/>
    <x v="3"/>
    <s v=""/>
    <n v="0"/>
    <n v="0"/>
    <n v="0"/>
    <n v="0"/>
    <n v="0"/>
    <n v="0"/>
  </r>
  <r>
    <x v="40"/>
    <n v="0"/>
    <x v="7"/>
    <n v="5"/>
    <s v="MAI"/>
    <n v="0"/>
    <x v="7"/>
    <n v="0"/>
    <x v="2"/>
    <s v=""/>
    <n v="0"/>
    <n v="0"/>
    <n v="0"/>
    <n v="0"/>
    <n v="0"/>
    <n v="0"/>
  </r>
  <r>
    <x v="40"/>
    <n v="0"/>
    <x v="7"/>
    <n v="5"/>
    <s v="MAI"/>
    <n v="0"/>
    <x v="7"/>
    <n v="0"/>
    <x v="2"/>
    <s v=""/>
    <n v="0"/>
    <n v="0"/>
    <n v="0"/>
    <n v="0"/>
    <n v="0"/>
    <n v="0"/>
  </r>
  <r>
    <x v="41"/>
    <s v="#LIL1MGJLH "/>
    <x v="7"/>
    <n v="5"/>
    <s v="MAI"/>
    <n v="0"/>
    <x v="7"/>
    <n v="0"/>
    <x v="3"/>
    <d v="1899-12-30T00:24:00"/>
    <n v="3.94"/>
    <n v="6.957777208331807"/>
    <n v="3.06"/>
    <n v="7.6499999999999764"/>
    <n v="1"/>
    <n v="2.0047535441464333"/>
  </r>
  <r>
    <x v="41"/>
    <n v="0"/>
    <x v="7"/>
    <n v="5"/>
    <s v="MAI"/>
    <n v="0"/>
    <x v="7"/>
    <n v="0"/>
    <x v="3"/>
    <s v=""/>
    <n v="0"/>
    <n v="0"/>
    <n v="0"/>
    <n v="0"/>
    <n v="0"/>
    <n v="0"/>
  </r>
  <r>
    <x v="41"/>
    <n v="0"/>
    <x v="7"/>
    <n v="5"/>
    <s v="MAI"/>
    <n v="0"/>
    <x v="7"/>
    <n v="0"/>
    <x v="2"/>
    <s v=""/>
    <n v="0"/>
    <n v="0"/>
    <n v="0"/>
    <n v="0"/>
    <n v="0"/>
    <n v="0"/>
  </r>
  <r>
    <x v="41"/>
    <n v="0"/>
    <x v="7"/>
    <n v="5"/>
    <s v="MAI"/>
    <n v="0"/>
    <x v="7"/>
    <n v="0"/>
    <x v="2"/>
    <s v=""/>
    <n v="0"/>
    <n v="0"/>
    <n v="0"/>
    <n v="0"/>
    <n v="0"/>
    <n v="0"/>
  </r>
  <r>
    <x v="42"/>
    <s v="#LIKCFWWSF "/>
    <x v="7"/>
    <n v="5"/>
    <s v="MAI"/>
    <n v="0"/>
    <x v="7"/>
    <n v="0"/>
    <x v="3"/>
    <d v="1899-12-30T00:21:00"/>
    <n v="1.6"/>
    <n v="2.8254932825712924"/>
    <n v="2.2799999999999998"/>
    <n v="6.5142857142857364"/>
    <n v="1"/>
    <n v="1.493737934854205"/>
  </r>
  <r>
    <x v="42"/>
    <n v="0"/>
    <x v="7"/>
    <n v="5"/>
    <s v="MAI"/>
    <n v="0"/>
    <x v="7"/>
    <n v="0"/>
    <x v="3"/>
    <s v=""/>
    <n v="0"/>
    <n v="0"/>
    <n v="0"/>
    <n v="0"/>
    <n v="0"/>
    <n v="0"/>
  </r>
  <r>
    <x v="42"/>
    <n v="0"/>
    <x v="7"/>
    <n v="5"/>
    <s v="MAI"/>
    <n v="0"/>
    <x v="7"/>
    <n v="0"/>
    <x v="2"/>
    <s v=""/>
    <n v="0"/>
    <n v="0"/>
    <n v="0"/>
    <n v="0"/>
    <n v="0"/>
    <n v="0"/>
  </r>
  <r>
    <x v="42"/>
    <n v="0"/>
    <x v="7"/>
    <n v="5"/>
    <s v="MAI"/>
    <n v="0"/>
    <x v="7"/>
    <n v="0"/>
    <x v="2"/>
    <s v=""/>
    <n v="0"/>
    <n v="0"/>
    <n v="0"/>
    <n v="0"/>
    <n v="0"/>
    <n v="0"/>
  </r>
  <r>
    <x v="43"/>
    <s v="#LIUBFZCQM "/>
    <x v="7"/>
    <n v="5"/>
    <s v="MAI"/>
    <n v="0"/>
    <x v="7"/>
    <n v="0"/>
    <x v="3"/>
    <d v="1899-12-30T00:26:00"/>
    <n v="0.95"/>
    <n v="1.6776366365267048"/>
    <n v="2.29"/>
    <n v="5.2846153846154031"/>
    <n v="1"/>
    <n v="1.5002894170246184"/>
  </r>
  <r>
    <x v="43"/>
    <n v="0"/>
    <x v="7"/>
    <n v="5"/>
    <s v="MAI"/>
    <n v="0"/>
    <x v="7"/>
    <n v="0"/>
    <x v="5"/>
    <s v=""/>
    <n v="0"/>
    <n v="0"/>
    <n v="0"/>
    <n v="0"/>
    <n v="0"/>
    <n v="0"/>
  </r>
  <r>
    <x v="43"/>
    <n v="0"/>
    <x v="7"/>
    <n v="5"/>
    <s v="MAI"/>
    <n v="0"/>
    <x v="7"/>
    <n v="0"/>
    <x v="2"/>
    <s v=""/>
    <n v="0"/>
    <n v="0"/>
    <n v="0"/>
    <n v="0"/>
    <n v="0"/>
    <n v="0"/>
  </r>
  <r>
    <x v="43"/>
    <n v="0"/>
    <x v="7"/>
    <n v="5"/>
    <s v="MAI"/>
    <n v="0"/>
    <x v="7"/>
    <n v="0"/>
    <x v="2"/>
    <s v=""/>
    <n v="0"/>
    <n v="0"/>
    <n v="0"/>
    <n v="0"/>
    <n v="0"/>
    <n v="0"/>
  </r>
  <r>
    <x v="44"/>
    <s v="#LIYHWGVTL "/>
    <x v="7"/>
    <n v="5"/>
    <s v="MAI"/>
    <n v="0"/>
    <x v="7"/>
    <n v="0"/>
    <x v="5"/>
    <d v="1899-12-30T00:26:00"/>
    <n v="1.6"/>
    <n v="2.8254932825712924"/>
    <n v="2.64"/>
    <n v="6.0923076923076769"/>
    <n v="1"/>
    <n v="1.7295912929890798"/>
  </r>
  <r>
    <x v="44"/>
    <n v="0"/>
    <x v="7"/>
    <n v="5"/>
    <s v="MAI"/>
    <n v="0"/>
    <x v="7"/>
    <n v="0"/>
    <x v="5"/>
    <s v=""/>
    <n v="0"/>
    <n v="0"/>
    <n v="0"/>
    <n v="0"/>
    <n v="0"/>
    <n v="0"/>
  </r>
  <r>
    <x v="44"/>
    <n v="0"/>
    <x v="7"/>
    <n v="5"/>
    <s v="MAI"/>
    <n v="0"/>
    <x v="7"/>
    <n v="0"/>
    <x v="2"/>
    <s v=""/>
    <n v="0"/>
    <n v="0"/>
    <n v="0"/>
    <n v="0"/>
    <n v="0"/>
    <n v="0"/>
  </r>
  <r>
    <x v="44"/>
    <n v="0"/>
    <x v="7"/>
    <n v="5"/>
    <s v="MAI"/>
    <n v="0"/>
    <x v="7"/>
    <n v="0"/>
    <x v="2"/>
    <s v=""/>
    <n v="0"/>
    <n v="0"/>
    <n v="0"/>
    <n v="0"/>
    <n v="0"/>
    <n v="0"/>
  </r>
  <r>
    <x v="45"/>
    <s v="#LI2NDJZEM "/>
    <x v="7"/>
    <n v="5"/>
    <s v="MAI"/>
    <n v="0"/>
    <x v="7"/>
    <n v="0"/>
    <x v="5"/>
    <d v="1899-12-30T00:28:00"/>
    <n v="5.42"/>
    <n v="9.5713584947102532"/>
    <n v="1.5"/>
    <n v="3.2142857142857073"/>
    <n v="1"/>
    <n v="0.98272232556197714"/>
  </r>
  <r>
    <x v="45"/>
    <n v="0"/>
    <x v="7"/>
    <n v="5"/>
    <s v="MAI"/>
    <n v="0"/>
    <x v="7"/>
    <n v="0"/>
    <x v="4"/>
    <s v=""/>
    <n v="0"/>
    <n v="0"/>
    <n v="0"/>
    <n v="0"/>
    <n v="0"/>
    <n v="0"/>
  </r>
  <r>
    <x v="45"/>
    <n v="0"/>
    <x v="7"/>
    <n v="5"/>
    <s v="MAI"/>
    <n v="0"/>
    <x v="7"/>
    <n v="0"/>
    <x v="2"/>
    <s v=""/>
    <n v="0"/>
    <n v="0"/>
    <n v="0"/>
    <n v="0"/>
    <n v="0"/>
    <n v="0"/>
  </r>
  <r>
    <x v="46"/>
    <s v="#LIARLUMGL "/>
    <x v="8"/>
    <n v="5"/>
    <s v="MAI"/>
    <s v="MAI"/>
    <x v="8"/>
    <n v="15"/>
    <x v="7"/>
    <d v="1899-12-30T01:01:00"/>
    <n v="3.13"/>
    <n v="5.5273712340300909"/>
    <n v="3.44"/>
    <n v="3.3836065573770524"/>
    <n v="1"/>
    <n v="2.2537098666221342"/>
  </r>
  <r>
    <x v="46"/>
    <n v="0"/>
    <x v="8"/>
    <n v="5"/>
    <s v="MAI"/>
    <n v="0"/>
    <x v="8"/>
    <n v="0"/>
    <x v="8"/>
    <s v=""/>
    <n v="0"/>
    <n v="0"/>
    <n v="0"/>
    <n v="0"/>
    <n v="0"/>
    <n v="0"/>
  </r>
  <r>
    <x v="46"/>
    <n v="0"/>
    <x v="8"/>
    <n v="5"/>
    <s v="MAI"/>
    <n v="0"/>
    <x v="8"/>
    <n v="0"/>
    <x v="2"/>
    <s v=""/>
    <n v="0"/>
    <n v="0"/>
    <n v="0"/>
    <n v="0"/>
    <n v="0"/>
    <n v="0"/>
  </r>
  <r>
    <x v="46"/>
    <n v="0"/>
    <x v="8"/>
    <n v="5"/>
    <s v="MAI"/>
    <n v="0"/>
    <x v="8"/>
    <n v="0"/>
    <x v="2"/>
    <s v=""/>
    <n v="0"/>
    <n v="0"/>
    <n v="0"/>
    <n v="0"/>
    <n v="0"/>
    <n v="0"/>
  </r>
  <r>
    <x v="47"/>
    <s v="#LIAPAL5MF "/>
    <x v="8"/>
    <n v="5"/>
    <s v="MAI"/>
    <n v="0"/>
    <x v="8"/>
    <n v="0"/>
    <x v="8"/>
    <d v="1899-12-30T00:33:00"/>
    <n v="4.29"/>
    <n v="7.5758538638942774"/>
    <n v="3.2"/>
    <n v="5.8181818181818112"/>
    <n v="1"/>
    <n v="2.0964742945322179"/>
  </r>
  <r>
    <x v="47"/>
    <n v="0"/>
    <x v="8"/>
    <n v="5"/>
    <s v="MAI"/>
    <n v="0"/>
    <x v="8"/>
    <n v="0"/>
    <x v="9"/>
    <s v=""/>
    <n v="0"/>
    <n v="0"/>
    <n v="0"/>
    <n v="0"/>
    <n v="0"/>
    <n v="0"/>
  </r>
  <r>
    <x v="47"/>
    <n v="0"/>
    <x v="8"/>
    <n v="5"/>
    <s v="MAI"/>
    <n v="0"/>
    <x v="8"/>
    <n v="0"/>
    <x v="2"/>
    <s v=""/>
    <n v="0"/>
    <n v="0"/>
    <n v="0"/>
    <n v="0"/>
    <n v="0"/>
    <n v="0"/>
  </r>
  <r>
    <x v="47"/>
    <n v="0"/>
    <x v="8"/>
    <n v="5"/>
    <s v="MAI"/>
    <n v="0"/>
    <x v="8"/>
    <n v="0"/>
    <x v="2"/>
    <s v=""/>
    <n v="0"/>
    <n v="0"/>
    <n v="0"/>
    <n v="0"/>
    <n v="0"/>
    <n v="0"/>
  </r>
  <r>
    <x v="48"/>
    <s v="#LI3PCTLNS "/>
    <x v="8"/>
    <n v="5"/>
    <s v="MAI"/>
    <n v="0"/>
    <x v="8"/>
    <n v="0"/>
    <x v="0"/>
    <d v="1899-12-30T00:28:00"/>
    <n v="2.94"/>
    <n v="5.1918439067247499"/>
    <n v="2.52"/>
    <n v="5.3999999999999577"/>
    <n v="1"/>
    <n v="1.6509735069441216"/>
  </r>
  <r>
    <x v="48"/>
    <n v="0"/>
    <x v="8"/>
    <n v="5"/>
    <s v="MAI"/>
    <n v="0"/>
    <x v="8"/>
    <n v="0"/>
    <x v="0"/>
    <s v=""/>
    <n v="0"/>
    <n v="0"/>
    <n v="0"/>
    <n v="0"/>
    <n v="0"/>
    <n v="0"/>
  </r>
  <r>
    <x v="48"/>
    <n v="0"/>
    <x v="8"/>
    <n v="5"/>
    <s v="MAI"/>
    <n v="0"/>
    <x v="8"/>
    <n v="0"/>
    <x v="2"/>
    <s v=""/>
    <n v="0"/>
    <n v="0"/>
    <n v="0"/>
    <n v="0"/>
    <n v="0"/>
    <n v="0"/>
  </r>
  <r>
    <x v="48"/>
    <n v="0"/>
    <x v="8"/>
    <n v="5"/>
    <s v="MAI"/>
    <n v="0"/>
    <x v="8"/>
    <n v="0"/>
    <x v="2"/>
    <s v=""/>
    <n v="0"/>
    <n v="0"/>
    <n v="0"/>
    <n v="0"/>
    <n v="0"/>
    <n v="0"/>
  </r>
  <r>
    <x v="49"/>
    <s v="#LIEZHTTS9 "/>
    <x v="8"/>
    <n v="5"/>
    <s v="MAI"/>
    <n v="0"/>
    <x v="8"/>
    <n v="0"/>
    <x v="0"/>
    <d v="1899-12-30T00:36:00"/>
    <n v="9.74"/>
    <n v="17.200190357652744"/>
    <n v="5.37"/>
    <n v="8.9500000000000313"/>
    <n v="1"/>
    <n v="3.5181459255118783"/>
  </r>
  <r>
    <x v="49"/>
    <n v="0"/>
    <x v="8"/>
    <n v="5"/>
    <s v="MAI"/>
    <n v="0"/>
    <x v="8"/>
    <n v="0"/>
    <x v="1"/>
    <s v=""/>
    <n v="0"/>
    <n v="0"/>
    <n v="0"/>
    <n v="0"/>
    <n v="0"/>
    <n v="0"/>
  </r>
  <r>
    <x v="49"/>
    <n v="0"/>
    <x v="8"/>
    <n v="5"/>
    <s v="MAI"/>
    <n v="0"/>
    <x v="8"/>
    <n v="0"/>
    <x v="2"/>
    <s v=""/>
    <n v="0"/>
    <n v="0"/>
    <n v="0"/>
    <n v="0"/>
    <n v="0"/>
    <n v="0"/>
  </r>
  <r>
    <x v="49"/>
    <n v="0"/>
    <x v="8"/>
    <n v="5"/>
    <s v="MAI"/>
    <n v="0"/>
    <x v="8"/>
    <n v="0"/>
    <x v="2"/>
    <s v=""/>
    <n v="0"/>
    <n v="0"/>
    <n v="0"/>
    <n v="0"/>
    <n v="0"/>
    <n v="0"/>
  </r>
  <r>
    <x v="50"/>
    <s v="#LIDZDGXWL "/>
    <x v="8"/>
    <n v="5"/>
    <s v="MAI"/>
    <n v="0"/>
    <x v="8"/>
    <n v="0"/>
    <x v="1"/>
    <d v="1899-12-30T00:35:00"/>
    <n v="2.69"/>
    <n v="4.750360581322985"/>
    <n v="2.4700000000000002"/>
    <n v="4.2342857142857104"/>
    <n v="1"/>
    <n v="1.6182160960920557"/>
  </r>
  <r>
    <x v="50"/>
    <n v="0"/>
    <x v="8"/>
    <n v="5"/>
    <s v="MAI"/>
    <n v="0"/>
    <x v="8"/>
    <n v="0"/>
    <x v="3"/>
    <s v=""/>
    <n v="0"/>
    <n v="0"/>
    <n v="0"/>
    <n v="0"/>
    <n v="0"/>
    <n v="0"/>
  </r>
  <r>
    <x v="50"/>
    <n v="0"/>
    <x v="8"/>
    <n v="5"/>
    <s v="MAI"/>
    <n v="0"/>
    <x v="8"/>
    <n v="0"/>
    <x v="2"/>
    <s v=""/>
    <n v="0"/>
    <n v="0"/>
    <n v="0"/>
    <n v="0"/>
    <n v="0"/>
    <n v="0"/>
  </r>
  <r>
    <x v="50"/>
    <n v="0"/>
    <x v="8"/>
    <n v="5"/>
    <s v="MAI"/>
    <n v="0"/>
    <x v="8"/>
    <n v="0"/>
    <x v="2"/>
    <s v=""/>
    <n v="0"/>
    <n v="0"/>
    <n v="0"/>
    <n v="0"/>
    <n v="0"/>
    <n v="0"/>
  </r>
  <r>
    <x v="51"/>
    <s v="#LILT19PEG "/>
    <x v="8"/>
    <n v="5"/>
    <s v="MAI"/>
    <n v="0"/>
    <x v="8"/>
    <n v="0"/>
    <x v="3"/>
    <d v="1899-12-30T00:20:00"/>
    <n v="3.52"/>
    <n v="6.2160852216568436"/>
    <n v="2.73"/>
    <n v="8.1899999999999658"/>
    <n v="1"/>
    <n v="1.7885546325227983"/>
  </r>
  <r>
    <x v="51"/>
    <n v="0"/>
    <x v="8"/>
    <n v="5"/>
    <s v="MAI"/>
    <n v="0"/>
    <x v="8"/>
    <n v="0"/>
    <x v="3"/>
    <s v=""/>
    <n v="0"/>
    <n v="0"/>
    <n v="0"/>
    <n v="0"/>
    <n v="0"/>
    <n v="0"/>
  </r>
  <r>
    <x v="51"/>
    <n v="0"/>
    <x v="8"/>
    <n v="5"/>
    <s v="MAI"/>
    <n v="0"/>
    <x v="8"/>
    <n v="0"/>
    <x v="2"/>
    <s v=""/>
    <n v="0"/>
    <n v="0"/>
    <n v="0"/>
    <n v="0"/>
    <n v="0"/>
    <n v="0"/>
  </r>
  <r>
    <x v="51"/>
    <n v="0"/>
    <x v="8"/>
    <n v="5"/>
    <s v="MAI"/>
    <n v="0"/>
    <x v="8"/>
    <n v="0"/>
    <x v="2"/>
    <s v=""/>
    <n v="0"/>
    <n v="0"/>
    <n v="0"/>
    <n v="0"/>
    <n v="0"/>
    <n v="0"/>
  </r>
  <r>
    <x v="52"/>
    <s v="#LIQBHNFBF "/>
    <x v="8"/>
    <n v="5"/>
    <s v="MAI"/>
    <n v="0"/>
    <x v="8"/>
    <n v="0"/>
    <x v="3"/>
    <d v="1899-12-30T00:34:00"/>
    <n v="5.84"/>
    <n v="10.313050481385217"/>
    <n v="3.8"/>
    <n v="6.7058823529411686"/>
    <n v="1"/>
    <n v="2.4895632247570085"/>
  </r>
  <r>
    <x v="52"/>
    <n v="0"/>
    <x v="8"/>
    <n v="5"/>
    <s v="MAI"/>
    <n v="0"/>
    <x v="8"/>
    <n v="0"/>
    <x v="5"/>
    <s v=""/>
    <n v="0"/>
    <n v="0"/>
    <n v="0"/>
    <n v="0"/>
    <n v="0"/>
    <n v="0"/>
  </r>
  <r>
    <x v="52"/>
    <n v="0"/>
    <x v="8"/>
    <n v="5"/>
    <s v="MAI"/>
    <n v="0"/>
    <x v="8"/>
    <n v="0"/>
    <x v="2"/>
    <s v=""/>
    <n v="0"/>
    <n v="0"/>
    <n v="0"/>
    <n v="0"/>
    <n v="0"/>
    <n v="0"/>
  </r>
  <r>
    <x v="52"/>
    <n v="0"/>
    <x v="8"/>
    <n v="5"/>
    <s v="MAI"/>
    <n v="0"/>
    <x v="8"/>
    <n v="0"/>
    <x v="2"/>
    <s v=""/>
    <n v="0"/>
    <n v="0"/>
    <n v="0"/>
    <n v="0"/>
    <n v="0"/>
    <n v="0"/>
  </r>
  <r>
    <x v="53"/>
    <s v="#LIX8HXYZG "/>
    <x v="8"/>
    <n v="5"/>
    <s v="MAI"/>
    <n v="0"/>
    <x v="8"/>
    <n v="0"/>
    <x v="5"/>
    <d v="1899-12-30T00:40:00"/>
    <n v="12.16"/>
    <n v="21.473748947541822"/>
    <n v="5.75"/>
    <n v="8.6249999999999964"/>
    <n v="1"/>
    <n v="3.7671022479875789"/>
  </r>
  <r>
    <x v="53"/>
    <n v="0"/>
    <x v="8"/>
    <n v="5"/>
    <s v="MAI"/>
    <n v="0"/>
    <x v="8"/>
    <n v="0"/>
    <x v="5"/>
    <s v=""/>
    <n v="0"/>
    <n v="0"/>
    <n v="0"/>
    <n v="0"/>
    <n v="0"/>
    <n v="0"/>
  </r>
  <r>
    <x v="53"/>
    <n v="0"/>
    <x v="8"/>
    <n v="5"/>
    <s v="MAI"/>
    <n v="0"/>
    <x v="8"/>
    <n v="0"/>
    <x v="2"/>
    <s v=""/>
    <n v="0"/>
    <n v="0"/>
    <n v="0"/>
    <n v="0"/>
    <n v="0"/>
    <n v="0"/>
  </r>
  <r>
    <x v="53"/>
    <n v="0"/>
    <x v="8"/>
    <n v="5"/>
    <s v="MAI"/>
    <n v="0"/>
    <x v="8"/>
    <n v="0"/>
    <x v="2"/>
    <s v=""/>
    <n v="0"/>
    <n v="0"/>
    <n v="0"/>
    <n v="0"/>
    <n v="0"/>
    <n v="0"/>
  </r>
  <r>
    <x v="54"/>
    <s v="#LI9P1MVFX "/>
    <x v="8"/>
    <n v="5"/>
    <s v="MAI"/>
    <n v="0"/>
    <x v="8"/>
    <n v="0"/>
    <x v="5"/>
    <d v="1899-12-30T00:37:00"/>
    <n v="8.66"/>
    <n v="15.29298239191712"/>
    <n v="4.8499999999999996"/>
    <n v="7.8648648648648578"/>
    <n v="1"/>
    <n v="3.1774688526503927"/>
  </r>
  <r>
    <x v="54"/>
    <n v="0"/>
    <x v="8"/>
    <n v="5"/>
    <s v="MAI"/>
    <n v="0"/>
    <x v="8"/>
    <n v="0"/>
    <x v="4"/>
    <s v=""/>
    <n v="0"/>
    <n v="0"/>
    <n v="0"/>
    <n v="0"/>
    <n v="0"/>
    <n v="0"/>
  </r>
  <r>
    <x v="54"/>
    <n v="0"/>
    <x v="8"/>
    <n v="5"/>
    <s v="MAI"/>
    <n v="0"/>
    <x v="8"/>
    <n v="0"/>
    <x v="2"/>
    <s v=""/>
    <n v="0"/>
    <n v="0"/>
    <n v="0"/>
    <n v="0"/>
    <n v="0"/>
    <n v="0"/>
  </r>
  <r>
    <x v="55"/>
    <s v="#LISATHAMN "/>
    <x v="9"/>
    <n v="5"/>
    <s v="MAI"/>
    <s v="MAI"/>
    <x v="9"/>
    <n v="16"/>
    <x v="1"/>
    <d v="1899-12-30T00:35:00"/>
    <n v="2.1"/>
    <n v="3.7084599333748214"/>
    <n v="2.23"/>
    <n v="3.8228571428571558"/>
    <n v="1"/>
    <n v="1.4609805240021394"/>
  </r>
  <r>
    <x v="55"/>
    <n v="0"/>
    <x v="9"/>
    <n v="5"/>
    <s v="MAI"/>
    <n v="0"/>
    <x v="9"/>
    <n v="0"/>
    <x v="1"/>
    <s v=""/>
    <n v="0"/>
    <n v="0"/>
    <n v="0"/>
    <n v="0"/>
    <n v="0"/>
    <n v="0"/>
  </r>
  <r>
    <x v="55"/>
    <n v="0"/>
    <x v="9"/>
    <n v="5"/>
    <s v="MAI"/>
    <n v="0"/>
    <x v="9"/>
    <n v="0"/>
    <x v="2"/>
    <s v=""/>
    <n v="0"/>
    <n v="0"/>
    <n v="0"/>
    <n v="0"/>
    <n v="0"/>
    <n v="0"/>
  </r>
  <r>
    <x v="55"/>
    <n v="0"/>
    <x v="9"/>
    <n v="5"/>
    <s v="MAI"/>
    <n v="0"/>
    <x v="9"/>
    <n v="0"/>
    <x v="2"/>
    <s v=""/>
    <n v="0"/>
    <n v="0"/>
    <n v="0"/>
    <n v="0"/>
    <n v="0"/>
    <n v="0"/>
  </r>
  <r>
    <x v="56"/>
    <s v="#LI1G8EZTK "/>
    <x v="9"/>
    <n v="5"/>
    <s v="MAI"/>
    <n v="0"/>
    <x v="9"/>
    <n v="0"/>
    <x v="1"/>
    <d v="1899-12-30T00:30:00"/>
    <n v="2.31"/>
    <n v="4.0793059267123031"/>
    <n v="2.89"/>
    <n v="5.7799999999999896"/>
    <n v="1"/>
    <n v="1.8933783472494095"/>
  </r>
  <r>
    <x v="56"/>
    <n v="0"/>
    <x v="9"/>
    <n v="5"/>
    <s v="MAI"/>
    <n v="0"/>
    <x v="9"/>
    <n v="0"/>
    <x v="3"/>
    <s v=""/>
    <n v="0"/>
    <n v="0"/>
    <n v="0"/>
    <n v="0"/>
    <n v="0"/>
    <n v="0"/>
  </r>
  <r>
    <x v="56"/>
    <n v="0"/>
    <x v="9"/>
    <n v="5"/>
    <s v="MAI"/>
    <n v="0"/>
    <x v="9"/>
    <n v="0"/>
    <x v="2"/>
    <s v=""/>
    <n v="0"/>
    <n v="0"/>
    <n v="0"/>
    <n v="0"/>
    <n v="0"/>
    <n v="0"/>
  </r>
  <r>
    <x v="56"/>
    <n v="0"/>
    <x v="9"/>
    <n v="5"/>
    <s v="MAI"/>
    <n v="0"/>
    <x v="9"/>
    <n v="0"/>
    <x v="2"/>
    <s v=""/>
    <n v="0"/>
    <n v="0"/>
    <n v="0"/>
    <n v="0"/>
    <n v="0"/>
    <n v="0"/>
  </r>
  <r>
    <x v="57"/>
    <s v="#LIPRCKKJ9 "/>
    <x v="9"/>
    <n v="5"/>
    <s v="MAI"/>
    <n v="0"/>
    <x v="9"/>
    <n v="0"/>
    <x v="3"/>
    <d v="1899-12-30T00:33:00"/>
    <n v="7.49"/>
    <n v="13.226840429036862"/>
    <n v="4.12"/>
    <n v="7.4909090909090814"/>
    <n v="1"/>
    <n v="2.6992106542102308"/>
  </r>
  <r>
    <x v="57"/>
    <n v="0"/>
    <x v="9"/>
    <n v="5"/>
    <s v="MAI"/>
    <n v="0"/>
    <x v="9"/>
    <n v="0"/>
    <x v="3"/>
    <s v=""/>
    <n v="0"/>
    <n v="0"/>
    <n v="0"/>
    <n v="0"/>
    <n v="0"/>
    <n v="0"/>
  </r>
  <r>
    <x v="57"/>
    <n v="0"/>
    <x v="9"/>
    <n v="5"/>
    <s v="MAI"/>
    <n v="0"/>
    <x v="9"/>
    <n v="0"/>
    <x v="2"/>
    <s v=""/>
    <n v="0"/>
    <n v="0"/>
    <n v="0"/>
    <n v="0"/>
    <n v="0"/>
    <n v="0"/>
  </r>
  <r>
    <x v="57"/>
    <n v="0"/>
    <x v="9"/>
    <n v="5"/>
    <s v="MAI"/>
    <n v="0"/>
    <x v="9"/>
    <n v="0"/>
    <x v="2"/>
    <s v=""/>
    <n v="0"/>
    <n v="0"/>
    <n v="0"/>
    <n v="0"/>
    <n v="0"/>
    <n v="0"/>
  </r>
  <r>
    <x v="58"/>
    <s v="#LIAPG16DB "/>
    <x v="9"/>
    <n v="5"/>
    <s v="MAI"/>
    <n v="0"/>
    <x v="9"/>
    <n v="0"/>
    <x v="3"/>
    <d v="1899-12-30T00:36:00"/>
    <n v="8.3000000000000007"/>
    <n v="14.657246403338581"/>
    <n v="4.4000000000000004"/>
    <n v="7.3333333333332948"/>
    <n v="1"/>
    <n v="2.8826521549818001"/>
  </r>
  <r>
    <x v="58"/>
    <n v="0"/>
    <x v="9"/>
    <n v="5"/>
    <s v="MAI"/>
    <n v="0"/>
    <x v="9"/>
    <n v="0"/>
    <x v="5"/>
    <s v=""/>
    <n v="0"/>
    <n v="0"/>
    <n v="0"/>
    <n v="0"/>
    <n v="0"/>
    <n v="0"/>
  </r>
  <r>
    <x v="58"/>
    <n v="0"/>
    <x v="9"/>
    <n v="5"/>
    <s v="MAI"/>
    <n v="0"/>
    <x v="9"/>
    <n v="0"/>
    <x v="2"/>
    <s v=""/>
    <n v="0"/>
    <n v="0"/>
    <n v="0"/>
    <n v="0"/>
    <n v="0"/>
    <n v="0"/>
  </r>
  <r>
    <x v="59"/>
    <s v="#LIGRWNLZS "/>
    <x v="10"/>
    <n v="5"/>
    <s v="MAI"/>
    <s v="MAI"/>
    <x v="10"/>
    <n v="17"/>
    <x v="7"/>
    <d v="1899-12-30T00:40:00"/>
    <n v="2.6"/>
    <n v="4.5914265841783504"/>
    <n v="3.01"/>
    <n v="4.5149999999999979"/>
    <n v="1"/>
    <n v="1.9719961332943674"/>
  </r>
  <r>
    <x v="59"/>
    <n v="0"/>
    <x v="10"/>
    <n v="5"/>
    <s v="MAI"/>
    <n v="0"/>
    <x v="10"/>
    <n v="0"/>
    <x v="8"/>
    <s v=""/>
    <n v="0"/>
    <n v="0"/>
    <n v="0"/>
    <n v="0"/>
    <n v="0"/>
    <n v="0"/>
  </r>
  <r>
    <x v="59"/>
    <n v="0"/>
    <x v="10"/>
    <n v="5"/>
    <s v="MAI"/>
    <n v="0"/>
    <x v="10"/>
    <n v="0"/>
    <x v="2"/>
    <s v=""/>
    <n v="0"/>
    <n v="0"/>
    <n v="0"/>
    <n v="0"/>
    <n v="0"/>
    <n v="0"/>
  </r>
  <r>
    <x v="59"/>
    <n v="0"/>
    <x v="10"/>
    <n v="5"/>
    <s v="MAI"/>
    <n v="0"/>
    <x v="10"/>
    <n v="0"/>
    <x v="2"/>
    <s v=""/>
    <n v="0"/>
    <n v="0"/>
    <n v="0"/>
    <n v="0"/>
    <n v="0"/>
    <n v="0"/>
  </r>
  <r>
    <x v="60"/>
    <s v="#LI119141D "/>
    <x v="10"/>
    <n v="5"/>
    <s v="MAI"/>
    <n v="0"/>
    <x v="10"/>
    <n v="0"/>
    <x v="8"/>
    <d v="1899-12-30T00:44:00"/>
    <n v="5.16"/>
    <n v="9.1122158362924175"/>
    <n v="3.3"/>
    <n v="4.5"/>
    <n v="1"/>
    <n v="2.1619891162363496"/>
  </r>
  <r>
    <x v="60"/>
    <n v="0"/>
    <x v="10"/>
    <n v="5"/>
    <s v="MAI"/>
    <n v="0"/>
    <x v="10"/>
    <n v="0"/>
    <x v="9"/>
    <s v=""/>
    <n v="0"/>
    <n v="0"/>
    <n v="0"/>
    <n v="0"/>
    <n v="0"/>
    <n v="0"/>
  </r>
  <r>
    <x v="60"/>
    <n v="0"/>
    <x v="10"/>
    <n v="5"/>
    <s v="MAI"/>
    <n v="0"/>
    <x v="10"/>
    <n v="0"/>
    <x v="2"/>
    <s v=""/>
    <n v="0"/>
    <n v="0"/>
    <n v="0"/>
    <n v="0"/>
    <n v="0"/>
    <n v="0"/>
  </r>
  <r>
    <x v="60"/>
    <n v="0"/>
    <x v="10"/>
    <n v="5"/>
    <s v="MAI"/>
    <n v="0"/>
    <x v="10"/>
    <n v="0"/>
    <x v="2"/>
    <s v=""/>
    <n v="0"/>
    <n v="0"/>
    <n v="0"/>
    <n v="0"/>
    <n v="0"/>
    <n v="0"/>
  </r>
  <r>
    <x v="61"/>
    <s v="#LI2Z7ZAQ1 "/>
    <x v="10"/>
    <n v="5"/>
    <s v="MAI"/>
    <n v="0"/>
    <x v="10"/>
    <n v="0"/>
    <x v="9"/>
    <d v="1899-12-30T00:56:00"/>
    <n v="4.3899999999999997"/>
    <n v="7.7524471940549828"/>
    <n v="4.05"/>
    <n v="4.3392857142857171"/>
    <n v="1"/>
    <n v="2.6533502790173382"/>
  </r>
  <r>
    <x v="61"/>
    <n v="0"/>
    <x v="10"/>
    <n v="5"/>
    <s v="MAI"/>
    <n v="0"/>
    <x v="10"/>
    <n v="0"/>
    <x v="10"/>
    <s v=""/>
    <n v="0"/>
    <n v="0"/>
    <n v="0"/>
    <n v="0"/>
    <n v="0"/>
    <n v="0"/>
  </r>
  <r>
    <x v="61"/>
    <n v="0"/>
    <x v="10"/>
    <n v="5"/>
    <s v="MAI"/>
    <n v="0"/>
    <x v="10"/>
    <n v="0"/>
    <x v="2"/>
    <s v=""/>
    <n v="0"/>
    <n v="0"/>
    <n v="0"/>
    <n v="0"/>
    <n v="0"/>
    <n v="0"/>
  </r>
  <r>
    <x v="61"/>
    <n v="0"/>
    <x v="10"/>
    <n v="5"/>
    <s v="MAI"/>
    <n v="0"/>
    <x v="10"/>
    <n v="0"/>
    <x v="2"/>
    <s v=""/>
    <n v="0"/>
    <n v="0"/>
    <n v="0"/>
    <n v="0"/>
    <n v="0"/>
    <n v="0"/>
  </r>
  <r>
    <x v="62"/>
    <s v="#LIAKK1XN1 "/>
    <x v="10"/>
    <n v="5"/>
    <s v="MAI"/>
    <n v="0"/>
    <x v="10"/>
    <n v="0"/>
    <x v="0"/>
    <d v="1899-12-30T00:37:00"/>
    <n v="9.57"/>
    <n v="16.899981696379545"/>
    <n v="4.93"/>
    <n v="7.994594594594588"/>
    <n v="1"/>
    <n v="3.2298807100136981"/>
  </r>
  <r>
    <x v="62"/>
    <n v="0"/>
    <x v="10"/>
    <n v="5"/>
    <s v="MAI"/>
    <n v="0"/>
    <x v="10"/>
    <n v="0"/>
    <x v="1"/>
    <s v=""/>
    <n v="0"/>
    <n v="0"/>
    <n v="0"/>
    <n v="0"/>
    <n v="0"/>
    <n v="0"/>
  </r>
  <r>
    <x v="62"/>
    <n v="0"/>
    <x v="10"/>
    <n v="5"/>
    <s v="MAI"/>
    <n v="0"/>
    <x v="10"/>
    <n v="0"/>
    <x v="2"/>
    <s v=""/>
    <n v="0"/>
    <n v="0"/>
    <n v="0"/>
    <n v="0"/>
    <n v="0"/>
    <n v="0"/>
  </r>
  <r>
    <x v="62"/>
    <n v="0"/>
    <x v="10"/>
    <n v="5"/>
    <s v="MAI"/>
    <n v="0"/>
    <x v="10"/>
    <n v="0"/>
    <x v="2"/>
    <s v=""/>
    <n v="0"/>
    <n v="0"/>
    <n v="0"/>
    <n v="0"/>
    <n v="0"/>
    <n v="0"/>
  </r>
  <r>
    <x v="63"/>
    <s v="#LIVQRUHEQ "/>
    <x v="10"/>
    <n v="5"/>
    <s v="MAI"/>
    <n v="0"/>
    <x v="10"/>
    <n v="0"/>
    <x v="1"/>
    <d v="1899-12-30T00:40:00"/>
    <n v="5.68"/>
    <n v="10.030501153128087"/>
    <n v="3.6"/>
    <n v="5.3999999999999977"/>
    <n v="1"/>
    <n v="2.3585335813487451"/>
  </r>
  <r>
    <x v="63"/>
    <n v="0"/>
    <x v="10"/>
    <n v="5"/>
    <s v="MAI"/>
    <n v="0"/>
    <x v="10"/>
    <n v="0"/>
    <x v="3"/>
    <s v=""/>
    <n v="0"/>
    <n v="0"/>
    <n v="0"/>
    <n v="0"/>
    <n v="0"/>
    <n v="0"/>
  </r>
  <r>
    <x v="63"/>
    <n v="0"/>
    <x v="10"/>
    <n v="5"/>
    <s v="MAI"/>
    <n v="0"/>
    <x v="10"/>
    <n v="0"/>
    <x v="2"/>
    <s v=""/>
    <n v="0"/>
    <n v="0"/>
    <n v="0"/>
    <n v="0"/>
    <n v="0"/>
    <n v="0"/>
  </r>
  <r>
    <x v="63"/>
    <n v="0"/>
    <x v="10"/>
    <n v="5"/>
    <s v="MAI"/>
    <n v="0"/>
    <x v="10"/>
    <n v="0"/>
    <x v="2"/>
    <s v=""/>
    <n v="0"/>
    <n v="0"/>
    <n v="0"/>
    <n v="0"/>
    <n v="0"/>
    <n v="0"/>
  </r>
  <r>
    <x v="64"/>
    <s v="#LIMJMXRBP "/>
    <x v="10"/>
    <n v="5"/>
    <s v="MAI"/>
    <n v="0"/>
    <x v="10"/>
    <n v="0"/>
    <x v="3"/>
    <d v="1899-12-30T00:27:00"/>
    <n v="5.78"/>
    <n v="10.207094483288794"/>
    <n v="3.52"/>
    <n v="7.8222222222222033"/>
    <n v="1"/>
    <n v="2.3061217239854397"/>
  </r>
  <r>
    <x v="64"/>
    <n v="0"/>
    <x v="10"/>
    <n v="5"/>
    <s v="MAI"/>
    <n v="0"/>
    <x v="10"/>
    <n v="0"/>
    <x v="3"/>
    <s v=""/>
    <n v="0"/>
    <n v="0"/>
    <n v="0"/>
    <n v="0"/>
    <n v="0"/>
    <n v="0"/>
  </r>
  <r>
    <x v="64"/>
    <n v="0"/>
    <x v="10"/>
    <n v="5"/>
    <s v="MAI"/>
    <n v="0"/>
    <x v="10"/>
    <n v="0"/>
    <x v="2"/>
    <s v=""/>
    <n v="0"/>
    <n v="0"/>
    <n v="0"/>
    <n v="0"/>
    <n v="0"/>
    <n v="0"/>
  </r>
  <r>
    <x v="64"/>
    <n v="0"/>
    <x v="10"/>
    <n v="5"/>
    <s v="MAI"/>
    <n v="0"/>
    <x v="10"/>
    <n v="0"/>
    <x v="2"/>
    <s v=""/>
    <n v="0"/>
    <n v="0"/>
    <n v="0"/>
    <n v="0"/>
    <n v="0"/>
    <n v="0"/>
  </r>
  <r>
    <x v="65"/>
    <s v="#LI14LCRJ6 "/>
    <x v="10"/>
    <n v="5"/>
    <s v="MAI"/>
    <n v="0"/>
    <x v="10"/>
    <n v="0"/>
    <x v="3"/>
    <d v="1899-12-30T01:12:00"/>
    <n v="5.51"/>
    <n v="9.7302924918548879"/>
    <n v="5.23"/>
    <n v="4.3583333333333298"/>
    <n v="1"/>
    <n v="3.4264251751260941"/>
  </r>
  <r>
    <x v="65"/>
    <n v="0"/>
    <x v="10"/>
    <n v="5"/>
    <s v="MAI"/>
    <n v="0"/>
    <x v="10"/>
    <n v="0"/>
    <x v="4"/>
    <s v=""/>
    <n v="0"/>
    <n v="0"/>
    <n v="0"/>
    <n v="0"/>
    <n v="0"/>
    <n v="0"/>
  </r>
  <r>
    <x v="65"/>
    <n v="0"/>
    <x v="10"/>
    <n v="5"/>
    <s v="MAI"/>
    <n v="0"/>
    <x v="10"/>
    <n v="0"/>
    <x v="2"/>
    <s v=""/>
    <n v="0"/>
    <n v="0"/>
    <n v="0"/>
    <n v="0"/>
    <n v="0"/>
    <n v="0"/>
  </r>
  <r>
    <x v="66"/>
    <s v="#LIU1H1NWU "/>
    <x v="11"/>
    <n v="5"/>
    <s v="MAI"/>
    <s v="MAI"/>
    <x v="11"/>
    <n v="18"/>
    <x v="7"/>
    <d v="1899-12-30T00:42:00"/>
    <n v="5.71"/>
    <n v="10.083479152176301"/>
    <n v="3.57"/>
    <n v="5.1000000000000183"/>
    <n v="1"/>
    <n v="2.3388791348375055"/>
  </r>
  <r>
    <x v="66"/>
    <n v="0"/>
    <x v="11"/>
    <n v="5"/>
    <s v="MAI"/>
    <n v="0"/>
    <x v="11"/>
    <n v="0"/>
    <x v="8"/>
    <s v=""/>
    <n v="0"/>
    <n v="0"/>
    <n v="0"/>
    <n v="0"/>
    <n v="0"/>
    <n v="0"/>
  </r>
  <r>
    <x v="66"/>
    <n v="0"/>
    <x v="11"/>
    <n v="5"/>
    <s v="MAI"/>
    <n v="0"/>
    <x v="11"/>
    <n v="0"/>
    <x v="2"/>
    <s v=""/>
    <n v="0"/>
    <n v="0"/>
    <n v="0"/>
    <n v="0"/>
    <n v="0"/>
    <n v="0"/>
  </r>
  <r>
    <x v="66"/>
    <n v="0"/>
    <x v="11"/>
    <n v="5"/>
    <s v="MAI"/>
    <n v="0"/>
    <x v="11"/>
    <n v="0"/>
    <x v="2"/>
    <s v=""/>
    <n v="0"/>
    <n v="0"/>
    <n v="0"/>
    <n v="0"/>
    <n v="0"/>
    <n v="0"/>
  </r>
  <r>
    <x v="67"/>
    <s v="#LIHBWSEH1 "/>
    <x v="11"/>
    <n v="5"/>
    <s v="MAI"/>
    <n v="0"/>
    <x v="11"/>
    <n v="0"/>
    <x v="1"/>
    <d v="1899-12-30T00:50:00"/>
    <n v="2.9"/>
    <n v="5.1212065746604676"/>
    <n v="3.6"/>
    <n v="4.3200000000000021"/>
    <n v="1"/>
    <n v="2.3585335813487451"/>
  </r>
  <r>
    <x v="67"/>
    <n v="0"/>
    <x v="11"/>
    <n v="5"/>
    <s v="MAI"/>
    <n v="0"/>
    <x v="11"/>
    <n v="0"/>
    <x v="3"/>
    <s v=""/>
    <n v="0"/>
    <n v="0"/>
    <n v="0"/>
    <n v="0"/>
    <n v="0"/>
    <n v="0"/>
  </r>
  <r>
    <x v="67"/>
    <n v="0"/>
    <x v="11"/>
    <n v="5"/>
    <s v="MAI"/>
    <n v="0"/>
    <x v="11"/>
    <n v="0"/>
    <x v="2"/>
    <s v=""/>
    <n v="0"/>
    <n v="0"/>
    <n v="0"/>
    <n v="0"/>
    <n v="0"/>
    <n v="0"/>
  </r>
  <r>
    <x v="67"/>
    <n v="0"/>
    <x v="11"/>
    <n v="5"/>
    <s v="MAI"/>
    <n v="0"/>
    <x v="11"/>
    <n v="0"/>
    <x v="2"/>
    <s v=""/>
    <n v="0"/>
    <n v="0"/>
    <n v="0"/>
    <n v="0"/>
    <n v="0"/>
    <n v="0"/>
  </r>
  <r>
    <x v="68"/>
    <s v="#LINL6ZBF9 "/>
    <x v="11"/>
    <n v="5"/>
    <s v="MAI"/>
    <n v="0"/>
    <x v="11"/>
    <n v="0"/>
    <x v="3"/>
    <d v="1899-12-30T00:24:00"/>
    <n v="2.52"/>
    <n v="4.4501519200497857"/>
    <n v="2.48"/>
    <n v="6.2000000000000215"/>
    <n v="1"/>
    <n v="1.6247675782624689"/>
  </r>
  <r>
    <x v="68"/>
    <n v="0"/>
    <x v="11"/>
    <n v="5"/>
    <s v="MAI"/>
    <n v="0"/>
    <x v="11"/>
    <n v="0"/>
    <x v="3"/>
    <s v=""/>
    <n v="0"/>
    <n v="0"/>
    <n v="0"/>
    <n v="0"/>
    <n v="0"/>
    <n v="0"/>
  </r>
  <r>
    <x v="68"/>
    <n v="0"/>
    <x v="11"/>
    <n v="5"/>
    <s v="MAI"/>
    <n v="0"/>
    <x v="11"/>
    <n v="0"/>
    <x v="2"/>
    <s v=""/>
    <n v="0"/>
    <n v="0"/>
    <n v="0"/>
    <n v="0"/>
    <n v="0"/>
    <n v="0"/>
  </r>
  <r>
    <x v="68"/>
    <n v="0"/>
    <x v="11"/>
    <n v="5"/>
    <s v="MAI"/>
    <n v="0"/>
    <x v="11"/>
    <n v="0"/>
    <x v="2"/>
    <s v=""/>
    <n v="0"/>
    <n v="0"/>
    <n v="0"/>
    <n v="0"/>
    <n v="0"/>
    <n v="0"/>
  </r>
  <r>
    <x v="69"/>
    <s v="#LILV1DC1T "/>
    <x v="11"/>
    <n v="5"/>
    <s v="MAI"/>
    <n v="0"/>
    <x v="11"/>
    <n v="0"/>
    <x v="3"/>
    <d v="1899-12-30T00:29:00"/>
    <n v="4.4800000000000004"/>
    <n v="7.9113811911996192"/>
    <n v="3.06"/>
    <n v="6.331034482758608"/>
    <n v="1"/>
    <n v="2.0047535441464333"/>
  </r>
  <r>
    <x v="69"/>
    <n v="0"/>
    <x v="11"/>
    <n v="5"/>
    <s v="MAI"/>
    <n v="0"/>
    <x v="11"/>
    <n v="0"/>
    <x v="3"/>
    <s v=""/>
    <n v="0"/>
    <n v="0"/>
    <n v="0"/>
    <n v="0"/>
    <n v="0"/>
    <n v="0"/>
  </r>
  <r>
    <x v="69"/>
    <n v="0"/>
    <x v="11"/>
    <n v="5"/>
    <s v="MAI"/>
    <n v="0"/>
    <x v="11"/>
    <n v="0"/>
    <x v="2"/>
    <s v=""/>
    <n v="0"/>
    <n v="0"/>
    <n v="0"/>
    <n v="0"/>
    <n v="0"/>
    <n v="0"/>
  </r>
  <r>
    <x v="69"/>
    <n v="0"/>
    <x v="11"/>
    <n v="5"/>
    <s v="MAI"/>
    <n v="0"/>
    <x v="11"/>
    <n v="0"/>
    <x v="2"/>
    <s v=""/>
    <n v="0"/>
    <n v="0"/>
    <n v="0"/>
    <n v="0"/>
    <n v="0"/>
    <n v="0"/>
  </r>
  <r>
    <x v="70"/>
    <s v="#LIFUKKG8B "/>
    <x v="11"/>
    <n v="5"/>
    <s v="MAI"/>
    <n v="0"/>
    <x v="11"/>
    <n v="0"/>
    <x v="3"/>
    <d v="1899-12-30T00:38:00"/>
    <n v="7.71"/>
    <n v="13.615345755390415"/>
    <n v="4.46"/>
    <n v="7.0421052631578904"/>
    <n v="1"/>
    <n v="2.9219610480042788"/>
  </r>
  <r>
    <x v="70"/>
    <n v="0"/>
    <x v="11"/>
    <n v="5"/>
    <s v="MAI"/>
    <n v="0"/>
    <x v="11"/>
    <n v="0"/>
    <x v="5"/>
    <s v=""/>
    <n v="0"/>
    <n v="0"/>
    <n v="0"/>
    <n v="0"/>
    <n v="0"/>
    <n v="0"/>
  </r>
  <r>
    <x v="70"/>
    <n v="0"/>
    <x v="11"/>
    <n v="5"/>
    <s v="MAI"/>
    <n v="0"/>
    <x v="11"/>
    <n v="0"/>
    <x v="2"/>
    <s v=""/>
    <n v="0"/>
    <n v="0"/>
    <n v="0"/>
    <n v="0"/>
    <n v="0"/>
    <n v="0"/>
  </r>
  <r>
    <x v="70"/>
    <n v="0"/>
    <x v="11"/>
    <n v="5"/>
    <s v="MAI"/>
    <n v="0"/>
    <x v="11"/>
    <n v="0"/>
    <x v="2"/>
    <s v=""/>
    <n v="0"/>
    <n v="0"/>
    <n v="0"/>
    <n v="0"/>
    <n v="0"/>
    <n v="0"/>
  </r>
  <r>
    <x v="71"/>
    <s v="#LICEZULYB "/>
    <x v="11"/>
    <n v="5"/>
    <s v="MAI"/>
    <n v="0"/>
    <x v="11"/>
    <n v="0"/>
    <x v="5"/>
    <d v="1899-12-30T00:46:00"/>
    <n v="5.78"/>
    <n v="10.207094483288794"/>
    <n v="4.04"/>
    <n v="5.2695652173912855"/>
    <n v="1"/>
    <n v="2.6467987968469253"/>
  </r>
  <r>
    <x v="71"/>
    <n v="0"/>
    <x v="11"/>
    <n v="5"/>
    <s v="MAI"/>
    <n v="0"/>
    <x v="11"/>
    <n v="0"/>
    <x v="4"/>
    <s v=""/>
    <n v="0"/>
    <n v="0"/>
    <n v="0"/>
    <n v="0"/>
    <n v="0"/>
    <n v="0"/>
  </r>
  <r>
    <x v="71"/>
    <n v="0"/>
    <x v="11"/>
    <n v="5"/>
    <s v="MAI"/>
    <n v="0"/>
    <x v="11"/>
    <n v="0"/>
    <x v="2"/>
    <s v=""/>
    <n v="0"/>
    <n v="0"/>
    <n v="0"/>
    <n v="0"/>
    <n v="0"/>
    <n v="0"/>
  </r>
  <r>
    <x v="72"/>
    <s v="#LI125JF9K "/>
    <x v="12"/>
    <n v="5"/>
    <s v="MAI"/>
    <s v="MAI"/>
    <x v="12"/>
    <n v="19"/>
    <x v="0"/>
    <d v="1899-12-30T00:30:00"/>
    <n v="5.28"/>
    <n v="9.3241278324852654"/>
    <n v="3.51"/>
    <n v="7.0200000000000244"/>
    <n v="1"/>
    <n v="2.2995702418150263"/>
  </r>
  <r>
    <x v="72"/>
    <n v="0"/>
    <x v="12"/>
    <n v="5"/>
    <s v="MAI"/>
    <n v="0"/>
    <x v="12"/>
    <n v="0"/>
    <x v="0"/>
    <s v=""/>
    <n v="0"/>
    <n v="0"/>
    <n v="0"/>
    <n v="0"/>
    <n v="0"/>
    <n v="0"/>
  </r>
  <r>
    <x v="72"/>
    <n v="0"/>
    <x v="12"/>
    <n v="5"/>
    <s v="MAI"/>
    <n v="0"/>
    <x v="12"/>
    <n v="0"/>
    <x v="2"/>
    <s v=""/>
    <n v="0"/>
    <n v="0"/>
    <n v="0"/>
    <n v="0"/>
    <n v="0"/>
    <n v="0"/>
  </r>
  <r>
    <x v="72"/>
    <n v="0"/>
    <x v="12"/>
    <n v="5"/>
    <s v="MAI"/>
    <n v="0"/>
    <x v="12"/>
    <n v="0"/>
    <x v="2"/>
    <s v=""/>
    <n v="0"/>
    <n v="0"/>
    <n v="0"/>
    <n v="0"/>
    <n v="0"/>
    <n v="0"/>
  </r>
  <r>
    <x v="73"/>
    <s v="#LILKLNU8K "/>
    <x v="12"/>
    <n v="5"/>
    <s v="MAI"/>
    <n v="0"/>
    <x v="12"/>
    <n v="0"/>
    <x v="1"/>
    <d v="1899-12-30T00:31:00"/>
    <n v="6.33"/>
    <n v="11.178357799172675"/>
    <n v="4.4800000000000004"/>
    <n v="8.6709677419354705"/>
    <n v="1"/>
    <n v="2.9350640123451055"/>
  </r>
  <r>
    <x v="73"/>
    <n v="0"/>
    <x v="12"/>
    <n v="5"/>
    <s v="MAI"/>
    <n v="0"/>
    <x v="12"/>
    <n v="0"/>
    <x v="1"/>
    <s v=""/>
    <n v="0"/>
    <n v="0"/>
    <n v="0"/>
    <n v="0"/>
    <n v="0"/>
    <n v="0"/>
  </r>
  <r>
    <x v="73"/>
    <n v="0"/>
    <x v="12"/>
    <n v="5"/>
    <s v="MAI"/>
    <n v="0"/>
    <x v="12"/>
    <n v="0"/>
    <x v="2"/>
    <s v=""/>
    <n v="0"/>
    <n v="0"/>
    <n v="0"/>
    <n v="0"/>
    <n v="0"/>
    <n v="0"/>
  </r>
  <r>
    <x v="73"/>
    <n v="0"/>
    <x v="12"/>
    <n v="5"/>
    <s v="MAI"/>
    <n v="0"/>
    <x v="12"/>
    <n v="0"/>
    <x v="2"/>
    <s v=""/>
    <n v="0"/>
    <n v="0"/>
    <n v="0"/>
    <n v="0"/>
    <n v="0"/>
    <n v="0"/>
  </r>
  <r>
    <x v="74"/>
    <s v="#LIU1XFQ7R "/>
    <x v="12"/>
    <n v="5"/>
    <s v="MAI"/>
    <n v="0"/>
    <x v="12"/>
    <n v="0"/>
    <x v="1"/>
    <d v="1899-12-30T00:32:00"/>
    <n v="8.56"/>
    <n v="15.116389061756415"/>
    <n v="5.52"/>
    <n v="10.349999999999984"/>
    <n v="1"/>
    <n v="3.6164181580680754"/>
  </r>
  <r>
    <x v="74"/>
    <n v="0"/>
    <x v="12"/>
    <n v="5"/>
    <s v="MAI"/>
    <n v="0"/>
    <x v="12"/>
    <n v="0"/>
    <x v="3"/>
    <s v=""/>
    <n v="0"/>
    <n v="0"/>
    <n v="0"/>
    <n v="0"/>
    <n v="0"/>
    <n v="0"/>
  </r>
  <r>
    <x v="74"/>
    <n v="0"/>
    <x v="12"/>
    <n v="5"/>
    <s v="MAI"/>
    <n v="0"/>
    <x v="12"/>
    <n v="0"/>
    <x v="2"/>
    <s v=""/>
    <n v="0"/>
    <n v="0"/>
    <n v="0"/>
    <n v="0"/>
    <n v="0"/>
    <n v="0"/>
  </r>
  <r>
    <x v="74"/>
    <n v="0"/>
    <x v="12"/>
    <n v="5"/>
    <s v="MAI"/>
    <n v="0"/>
    <x v="12"/>
    <n v="0"/>
    <x v="2"/>
    <s v=""/>
    <n v="0"/>
    <n v="0"/>
    <n v="0"/>
    <n v="0"/>
    <n v="0"/>
    <n v="0"/>
  </r>
  <r>
    <x v="75"/>
    <s v="#LIYRWTXDB "/>
    <x v="12"/>
    <n v="5"/>
    <s v="MAI"/>
    <n v="0"/>
    <x v="12"/>
    <n v="0"/>
    <x v="3"/>
    <d v="1899-12-30T00:45:00"/>
    <n v="3.63"/>
    <n v="6.4103378848336199"/>
    <n v="4.0199999999999996"/>
    <n v="5.3599999999999994"/>
    <n v="1"/>
    <n v="2.6336958325060986"/>
  </r>
  <r>
    <x v="75"/>
    <n v="0"/>
    <x v="12"/>
    <n v="5"/>
    <s v="MAI"/>
    <n v="0"/>
    <x v="12"/>
    <n v="0"/>
    <x v="3"/>
    <s v=""/>
    <n v="0"/>
    <n v="0"/>
    <n v="0"/>
    <n v="0"/>
    <n v="0"/>
    <n v="0"/>
  </r>
  <r>
    <x v="75"/>
    <n v="0"/>
    <x v="12"/>
    <n v="5"/>
    <s v="MAI"/>
    <n v="0"/>
    <x v="12"/>
    <n v="0"/>
    <x v="2"/>
    <s v=""/>
    <n v="0"/>
    <n v="0"/>
    <n v="0"/>
    <n v="0"/>
    <n v="0"/>
    <n v="0"/>
  </r>
  <r>
    <x v="75"/>
    <n v="0"/>
    <x v="12"/>
    <n v="5"/>
    <s v="MAI"/>
    <n v="0"/>
    <x v="12"/>
    <n v="0"/>
    <x v="2"/>
    <s v=""/>
    <n v="0"/>
    <n v="0"/>
    <n v="0"/>
    <n v="0"/>
    <n v="0"/>
    <n v="0"/>
  </r>
  <r>
    <x v="76"/>
    <s v="#LIQH17AMF "/>
    <x v="12"/>
    <n v="5"/>
    <s v="MAI"/>
    <n v="0"/>
    <x v="12"/>
    <n v="0"/>
    <x v="5"/>
    <d v="1899-12-30T01:04:00"/>
    <n v="4.8099999999999996"/>
    <n v="8.4941391807299471"/>
    <n v="3.18"/>
    <n v="2.9812500000000033"/>
    <n v="1"/>
    <n v="2.0833713301913916"/>
  </r>
  <r>
    <x v="76"/>
    <n v="0"/>
    <x v="12"/>
    <n v="5"/>
    <s v="MAI"/>
    <n v="0"/>
    <x v="12"/>
    <n v="0"/>
    <x v="4"/>
    <s v=""/>
    <n v="0"/>
    <n v="0"/>
    <n v="0"/>
    <n v="0"/>
    <n v="0"/>
    <n v="0"/>
  </r>
  <r>
    <x v="76"/>
    <n v="0"/>
    <x v="12"/>
    <n v="5"/>
    <s v="MAI"/>
    <n v="0"/>
    <x v="12"/>
    <n v="0"/>
    <x v="2"/>
    <s v=""/>
    <n v="0"/>
    <n v="0"/>
    <n v="0"/>
    <n v="0"/>
    <n v="0"/>
    <n v="0"/>
  </r>
  <r>
    <x v="76"/>
    <n v="0"/>
    <x v="12"/>
    <n v="5"/>
    <s v="MAI"/>
    <n v="0"/>
    <x v="12"/>
    <n v="0"/>
    <x v="2"/>
    <s v=""/>
    <n v="0"/>
    <n v="0"/>
    <n v="0"/>
    <n v="0"/>
    <n v="0"/>
    <n v="0"/>
  </r>
  <r>
    <x v="77"/>
    <s v="#LIUFSZFDF "/>
    <x v="12"/>
    <n v="5"/>
    <s v="MAI"/>
    <n v="0"/>
    <x v="12"/>
    <n v="0"/>
    <x v="5"/>
    <d v="1899-12-30T00:13:00"/>
    <n v="8.42"/>
    <n v="14.869158399531425"/>
    <n v="4.4400000000000004"/>
    <n v="20.492307692307765"/>
    <n v="1"/>
    <n v="2.9088580836634526"/>
  </r>
  <r>
    <x v="77"/>
    <n v="0"/>
    <x v="12"/>
    <n v="5"/>
    <s v="MAI"/>
    <n v="0"/>
    <x v="12"/>
    <n v="0"/>
    <x v="5"/>
    <s v=""/>
    <n v="0"/>
    <n v="0"/>
    <n v="0"/>
    <n v="0"/>
    <n v="0"/>
    <n v="0"/>
  </r>
  <r>
    <x v="77"/>
    <n v="0"/>
    <x v="12"/>
    <n v="5"/>
    <s v="MAI"/>
    <n v="0"/>
    <x v="12"/>
    <n v="0"/>
    <x v="2"/>
    <s v=""/>
    <n v="0"/>
    <n v="0"/>
    <n v="0"/>
    <n v="0"/>
    <n v="0"/>
    <n v="0"/>
  </r>
  <r>
    <x v="77"/>
    <n v="0"/>
    <x v="12"/>
    <n v="5"/>
    <s v="MAI"/>
    <n v="0"/>
    <x v="12"/>
    <n v="0"/>
    <x v="2"/>
    <s v=""/>
    <n v="0"/>
    <n v="0"/>
    <n v="0"/>
    <n v="0"/>
    <n v="0"/>
    <n v="0"/>
  </r>
  <r>
    <x v="78"/>
    <s v="#LIABQ9ABZ "/>
    <x v="12"/>
    <n v="5"/>
    <s v="MAI"/>
    <n v="0"/>
    <x v="12"/>
    <n v="0"/>
    <x v="4"/>
    <d v="1899-12-30T00:47:00"/>
    <n v="6.94"/>
    <n v="12.255577113152981"/>
    <n v="3.92"/>
    <n v="5.0042553191489372"/>
    <n v="1"/>
    <n v="2.5681810108019669"/>
  </r>
  <r>
    <x v="78"/>
    <n v="0"/>
    <x v="12"/>
    <n v="5"/>
    <s v="MAI"/>
    <n v="0"/>
    <x v="12"/>
    <n v="0"/>
    <x v="4"/>
    <s v=""/>
    <n v="0"/>
    <n v="0"/>
    <n v="0"/>
    <n v="0"/>
    <n v="0"/>
    <n v="0"/>
  </r>
  <r>
    <x v="78"/>
    <n v="0"/>
    <x v="12"/>
    <n v="5"/>
    <s v="MAI"/>
    <n v="0"/>
    <x v="12"/>
    <n v="0"/>
    <x v="2"/>
    <s v=""/>
    <n v="0"/>
    <n v="0"/>
    <n v="0"/>
    <n v="0"/>
    <n v="0"/>
    <n v="0"/>
  </r>
  <r>
    <x v="79"/>
    <s v="#LIYXKY5MZ "/>
    <x v="13"/>
    <n v="5"/>
    <s v="MAI"/>
    <s v="MAI"/>
    <x v="13"/>
    <n v="20"/>
    <x v="7"/>
    <d v="1899-12-30T00:40:00"/>
    <n v="3.91"/>
    <n v="6.9047992092835964"/>
    <n v="2.86"/>
    <n v="4.2899999999999814"/>
    <n v="1"/>
    <n v="1.8737239007381696"/>
  </r>
  <r>
    <x v="79"/>
    <n v="0"/>
    <x v="13"/>
    <n v="5"/>
    <s v="MAI"/>
    <n v="0"/>
    <x v="13"/>
    <n v="0"/>
    <x v="8"/>
    <s v=""/>
    <n v="0"/>
    <n v="0"/>
    <n v="0"/>
    <n v="0"/>
    <n v="0"/>
    <n v="0"/>
  </r>
  <r>
    <x v="79"/>
    <n v="0"/>
    <x v="13"/>
    <n v="5"/>
    <s v="MAI"/>
    <n v="0"/>
    <x v="13"/>
    <n v="0"/>
    <x v="2"/>
    <s v=""/>
    <n v="0"/>
    <n v="0"/>
    <n v="0"/>
    <n v="0"/>
    <n v="0"/>
    <n v="0"/>
  </r>
  <r>
    <x v="79"/>
    <n v="0"/>
    <x v="13"/>
    <n v="5"/>
    <s v="MAI"/>
    <n v="0"/>
    <x v="13"/>
    <n v="0"/>
    <x v="2"/>
    <s v=""/>
    <n v="0"/>
    <n v="0"/>
    <n v="0"/>
    <n v="0"/>
    <n v="0"/>
    <n v="0"/>
  </r>
  <r>
    <x v="80"/>
    <s v="#LI153UEVM "/>
    <x v="13"/>
    <n v="5"/>
    <s v="MAI"/>
    <n v="0"/>
    <x v="13"/>
    <n v="0"/>
    <x v="8"/>
    <d v="1899-12-30T00:29:00"/>
    <n v="6.19"/>
    <n v="10.931127136947689"/>
    <n v="3.66"/>
    <n v="7.5724137931034754"/>
    <n v="1"/>
    <n v="2.3978424743712243"/>
  </r>
  <r>
    <x v="80"/>
    <n v="0"/>
    <x v="13"/>
    <n v="5"/>
    <s v="MAI"/>
    <n v="0"/>
    <x v="13"/>
    <n v="0"/>
    <x v="8"/>
    <s v=""/>
    <n v="0"/>
    <n v="0"/>
    <n v="0"/>
    <n v="0"/>
    <n v="0"/>
    <n v="0"/>
  </r>
  <r>
    <x v="80"/>
    <n v="0"/>
    <x v="13"/>
    <n v="5"/>
    <s v="MAI"/>
    <n v="0"/>
    <x v="13"/>
    <n v="0"/>
    <x v="2"/>
    <s v=""/>
    <n v="0"/>
    <n v="0"/>
    <n v="0"/>
    <n v="0"/>
    <n v="0"/>
    <n v="0"/>
  </r>
  <r>
    <x v="80"/>
    <n v="0"/>
    <x v="13"/>
    <n v="5"/>
    <s v="MAI"/>
    <n v="0"/>
    <x v="13"/>
    <n v="0"/>
    <x v="2"/>
    <s v=""/>
    <n v="0"/>
    <n v="0"/>
    <n v="0"/>
    <n v="0"/>
    <n v="0"/>
    <n v="0"/>
  </r>
  <r>
    <x v="81"/>
    <s v="#LI81RZUM1 "/>
    <x v="13"/>
    <n v="5"/>
    <s v="MAI"/>
    <n v="0"/>
    <x v="13"/>
    <n v="0"/>
    <x v="9"/>
    <d v="1899-12-30T01:02:00"/>
    <n v="3.48"/>
    <n v="6.1454478895925613"/>
    <n v="2.71"/>
    <n v="2.622580645161293"/>
    <n v="1"/>
    <n v="1.7754516681819721"/>
  </r>
  <r>
    <x v="81"/>
    <n v="0"/>
    <x v="13"/>
    <n v="5"/>
    <s v="MAI"/>
    <n v="0"/>
    <x v="13"/>
    <n v="0"/>
    <x v="10"/>
    <s v=""/>
    <n v="0"/>
    <n v="0"/>
    <n v="0"/>
    <n v="0"/>
    <n v="0"/>
    <n v="0"/>
  </r>
  <r>
    <x v="81"/>
    <n v="0"/>
    <x v="13"/>
    <n v="5"/>
    <s v="MAI"/>
    <n v="0"/>
    <x v="13"/>
    <n v="0"/>
    <x v="2"/>
    <s v=""/>
    <n v="0"/>
    <n v="0"/>
    <n v="0"/>
    <n v="0"/>
    <n v="0"/>
    <n v="0"/>
  </r>
  <r>
    <x v="81"/>
    <n v="0"/>
    <x v="13"/>
    <n v="5"/>
    <s v="MAI"/>
    <n v="0"/>
    <x v="13"/>
    <n v="0"/>
    <x v="2"/>
    <s v=""/>
    <n v="0"/>
    <n v="0"/>
    <n v="0"/>
    <n v="0"/>
    <n v="0"/>
    <n v="0"/>
  </r>
  <r>
    <x v="82"/>
    <s v="#LILFGDLUK "/>
    <x v="13"/>
    <n v="5"/>
    <s v="MAI"/>
    <n v="0"/>
    <x v="13"/>
    <n v="0"/>
    <x v="0"/>
    <d v="1899-12-30T00:37:00"/>
    <n v="4.83"/>
    <n v="8.5294578467620887"/>
    <n v="3.19"/>
    <n v="5.172972972973013"/>
    <n v="1"/>
    <n v="2.0899228123618045"/>
  </r>
  <r>
    <x v="82"/>
    <n v="0"/>
    <x v="13"/>
    <n v="5"/>
    <s v="MAI"/>
    <n v="0"/>
    <x v="13"/>
    <n v="0"/>
    <x v="1"/>
    <s v=""/>
    <n v="0"/>
    <n v="0"/>
    <n v="0"/>
    <n v="0"/>
    <n v="0"/>
    <n v="0"/>
  </r>
  <r>
    <x v="82"/>
    <n v="0"/>
    <x v="13"/>
    <n v="5"/>
    <s v="MAI"/>
    <n v="0"/>
    <x v="13"/>
    <n v="0"/>
    <x v="2"/>
    <s v=""/>
    <n v="0"/>
    <n v="0"/>
    <n v="0"/>
    <n v="0"/>
    <n v="0"/>
    <n v="0"/>
  </r>
  <r>
    <x v="82"/>
    <n v="0"/>
    <x v="13"/>
    <n v="5"/>
    <s v="MAI"/>
    <n v="0"/>
    <x v="13"/>
    <n v="0"/>
    <x v="2"/>
    <s v=""/>
    <n v="0"/>
    <n v="0"/>
    <n v="0"/>
    <n v="0"/>
    <n v="0"/>
    <n v="0"/>
  </r>
  <r>
    <x v="83"/>
    <s v="#LIHZLBKWM "/>
    <x v="13"/>
    <n v="5"/>
    <s v="MAI"/>
    <n v="0"/>
    <x v="13"/>
    <n v="0"/>
    <x v="1"/>
    <d v="1899-12-30T00:28:00"/>
    <n v="5.22"/>
    <n v="9.2181718343888406"/>
    <n v="3.98"/>
    <n v="8.528571428571361"/>
    <n v="1"/>
    <n v="2.6074899038244461"/>
  </r>
  <r>
    <x v="83"/>
    <n v="0"/>
    <x v="13"/>
    <n v="5"/>
    <s v="MAI"/>
    <n v="0"/>
    <x v="13"/>
    <n v="0"/>
    <x v="1"/>
    <s v=""/>
    <n v="0"/>
    <n v="0"/>
    <n v="0"/>
    <n v="0"/>
    <n v="0"/>
    <n v="0"/>
  </r>
  <r>
    <x v="83"/>
    <n v="0"/>
    <x v="13"/>
    <n v="5"/>
    <s v="MAI"/>
    <n v="0"/>
    <x v="13"/>
    <n v="0"/>
    <x v="2"/>
    <s v=""/>
    <n v="0"/>
    <n v="0"/>
    <n v="0"/>
    <n v="0"/>
    <n v="0"/>
    <n v="0"/>
  </r>
  <r>
    <x v="83"/>
    <n v="0"/>
    <x v="13"/>
    <n v="5"/>
    <s v="MAI"/>
    <n v="0"/>
    <x v="13"/>
    <n v="0"/>
    <x v="2"/>
    <s v=""/>
    <n v="0"/>
    <n v="0"/>
    <n v="0"/>
    <n v="0"/>
    <n v="0"/>
    <n v="0"/>
  </r>
  <r>
    <x v="84"/>
    <s v="#LI2CZSYA1 "/>
    <x v="13"/>
    <n v="5"/>
    <s v="MAI"/>
    <n v="0"/>
    <x v="13"/>
    <n v="0"/>
    <x v="1"/>
    <d v="1899-12-30T00:43:00"/>
    <n v="7.7"/>
    <n v="13.597686422374345"/>
    <n v="5.0199999999999996"/>
    <n v="7.0046511627907222"/>
    <n v="1"/>
    <n v="3.2888440495474165"/>
  </r>
  <r>
    <x v="84"/>
    <n v="0"/>
    <x v="13"/>
    <n v="5"/>
    <s v="MAI"/>
    <n v="0"/>
    <x v="13"/>
    <n v="0"/>
    <x v="3"/>
    <s v=""/>
    <n v="0"/>
    <n v="0"/>
    <n v="0"/>
    <n v="0"/>
    <n v="0"/>
    <n v="0"/>
  </r>
  <r>
    <x v="84"/>
    <n v="0"/>
    <x v="13"/>
    <n v="5"/>
    <s v="MAI"/>
    <n v="0"/>
    <x v="13"/>
    <n v="0"/>
    <x v="2"/>
    <s v=""/>
    <n v="0"/>
    <n v="0"/>
    <n v="0"/>
    <n v="0"/>
    <n v="0"/>
    <n v="0"/>
  </r>
  <r>
    <x v="84"/>
    <n v="0"/>
    <x v="13"/>
    <n v="5"/>
    <s v="MAI"/>
    <n v="0"/>
    <x v="13"/>
    <n v="0"/>
    <x v="2"/>
    <s v=""/>
    <n v="0"/>
    <n v="0"/>
    <n v="0"/>
    <n v="0"/>
    <n v="0"/>
    <n v="0"/>
  </r>
  <r>
    <x v="85"/>
    <s v="#LIF4LYCEE "/>
    <x v="13"/>
    <n v="5"/>
    <s v="MAI"/>
    <n v="0"/>
    <x v="13"/>
    <n v="0"/>
    <x v="3"/>
    <d v="1899-12-30T00:20:00"/>
    <n v="4.2"/>
    <n v="7.4169198667496428"/>
    <n v="3.86"/>
    <n v="11.57999999999995"/>
    <n v="1"/>
    <n v="2.5288721177794877"/>
  </r>
  <r>
    <x v="85"/>
    <n v="0"/>
    <x v="13"/>
    <n v="5"/>
    <s v="MAI"/>
    <n v="0"/>
    <x v="13"/>
    <n v="0"/>
    <x v="3"/>
    <s v=""/>
    <n v="0"/>
    <n v="0"/>
    <n v="0"/>
    <n v="0"/>
    <n v="0"/>
    <n v="0"/>
  </r>
  <r>
    <x v="85"/>
    <n v="0"/>
    <x v="13"/>
    <n v="5"/>
    <s v="MAI"/>
    <n v="0"/>
    <x v="13"/>
    <n v="0"/>
    <x v="2"/>
    <s v=""/>
    <n v="0"/>
    <n v="0"/>
    <n v="0"/>
    <n v="0"/>
    <n v="0"/>
    <n v="0"/>
  </r>
  <r>
    <x v="85"/>
    <n v="0"/>
    <x v="13"/>
    <n v="5"/>
    <s v="MAI"/>
    <n v="0"/>
    <x v="13"/>
    <n v="0"/>
    <x v="2"/>
    <s v=""/>
    <n v="0"/>
    <n v="0"/>
    <n v="0"/>
    <n v="0"/>
    <n v="0"/>
    <n v="0"/>
  </r>
  <r>
    <x v="86"/>
    <s v="#LIUSYWLD9 "/>
    <x v="13"/>
    <n v="5"/>
    <s v="MAI"/>
    <n v="0"/>
    <x v="13"/>
    <n v="0"/>
    <x v="3"/>
    <d v="1899-12-30T00:39:00"/>
    <n v="12.14"/>
    <n v="21.438430281509682"/>
    <n v="7.54"/>
    <n v="11.599999999999994"/>
    <n v="1"/>
    <n v="4.9398175564915388"/>
  </r>
  <r>
    <x v="86"/>
    <n v="0"/>
    <x v="13"/>
    <n v="5"/>
    <s v="MAI"/>
    <n v="0"/>
    <x v="13"/>
    <n v="0"/>
    <x v="5"/>
    <s v=""/>
    <n v="0"/>
    <n v="0"/>
    <n v="0"/>
    <n v="0"/>
    <n v="0"/>
    <n v="0"/>
  </r>
  <r>
    <x v="86"/>
    <n v="0"/>
    <x v="13"/>
    <n v="5"/>
    <s v="MAI"/>
    <n v="0"/>
    <x v="13"/>
    <n v="0"/>
    <x v="2"/>
    <s v=""/>
    <n v="0"/>
    <n v="0"/>
    <n v="0"/>
    <n v="0"/>
    <n v="0"/>
    <n v="0"/>
  </r>
  <r>
    <x v="87"/>
    <s v="#LITCE4LVL "/>
    <x v="14"/>
    <n v="5"/>
    <s v="MAI"/>
    <s v="MAI"/>
    <x v="14"/>
    <n v="22"/>
    <x v="7"/>
    <d v="1899-12-30T01:04:00"/>
    <n v="5.67"/>
    <n v="10.012841820112017"/>
    <n v="3.72"/>
    <n v="3.4874999999999949"/>
    <n v="1"/>
    <n v="2.4371513673937035"/>
  </r>
  <r>
    <x v="87"/>
    <n v="0"/>
    <x v="14"/>
    <n v="5"/>
    <s v="MAI"/>
    <n v="0"/>
    <x v="14"/>
    <n v="0"/>
    <x v="8"/>
    <s v=""/>
    <n v="0"/>
    <n v="0"/>
    <n v="0"/>
    <n v="0"/>
    <n v="0"/>
    <n v="0"/>
  </r>
  <r>
    <x v="87"/>
    <n v="0"/>
    <x v="14"/>
    <n v="5"/>
    <s v="MAI"/>
    <n v="0"/>
    <x v="14"/>
    <n v="0"/>
    <x v="2"/>
    <s v=""/>
    <n v="0"/>
    <n v="0"/>
    <n v="0"/>
    <n v="0"/>
    <n v="0"/>
    <n v="0"/>
  </r>
  <r>
    <x v="87"/>
    <n v="0"/>
    <x v="14"/>
    <n v="5"/>
    <s v="MAI"/>
    <n v="0"/>
    <x v="14"/>
    <n v="0"/>
    <x v="2"/>
    <s v=""/>
    <n v="0"/>
    <n v="0"/>
    <n v="0"/>
    <n v="0"/>
    <n v="0"/>
    <n v="0"/>
  </r>
  <r>
    <x v="88"/>
    <s v="#LIQAD9SRP "/>
    <x v="14"/>
    <n v="5"/>
    <s v="MAI"/>
    <n v="0"/>
    <x v="14"/>
    <n v="0"/>
    <x v="8"/>
    <d v="1899-12-30T00:43:00"/>
    <n v="11.45"/>
    <n v="20.219936303400811"/>
    <n v="5.51"/>
    <n v="7.6883720930232542"/>
    <n v="1"/>
    <n v="3.6098666758976625"/>
  </r>
  <r>
    <x v="88"/>
    <n v="0"/>
    <x v="14"/>
    <n v="5"/>
    <s v="MAI"/>
    <n v="0"/>
    <x v="14"/>
    <n v="0"/>
    <x v="8"/>
    <s v=""/>
    <n v="0"/>
    <n v="0"/>
    <n v="0"/>
    <n v="0"/>
    <n v="0"/>
    <n v="0"/>
  </r>
  <r>
    <x v="88"/>
    <n v="0"/>
    <x v="14"/>
    <n v="5"/>
    <s v="MAI"/>
    <n v="0"/>
    <x v="14"/>
    <n v="0"/>
    <x v="2"/>
    <s v=""/>
    <n v="0"/>
    <n v="0"/>
    <n v="0"/>
    <n v="0"/>
    <n v="0"/>
    <n v="0"/>
  </r>
  <r>
    <x v="88"/>
    <n v="0"/>
    <x v="14"/>
    <n v="5"/>
    <s v="MAI"/>
    <n v="0"/>
    <x v="14"/>
    <n v="0"/>
    <x v="2"/>
    <s v=""/>
    <n v="0"/>
    <n v="0"/>
    <n v="0"/>
    <n v="0"/>
    <n v="0"/>
    <n v="0"/>
  </r>
  <r>
    <x v="89"/>
    <s v="#LIJUC1KL1 "/>
    <x v="14"/>
    <n v="5"/>
    <s v="MAI"/>
    <n v="0"/>
    <x v="14"/>
    <n v="0"/>
    <x v="0"/>
    <d v="1899-12-30T00:40:00"/>
    <n v="6.05"/>
    <n v="10.683896474722699"/>
    <n v="3.84"/>
    <n v="5.7600000000000202"/>
    <n v="1"/>
    <n v="2.5157691534386615"/>
  </r>
  <r>
    <x v="89"/>
    <n v="0"/>
    <x v="14"/>
    <n v="5"/>
    <s v="MAI"/>
    <n v="0"/>
    <x v="14"/>
    <n v="0"/>
    <x v="0"/>
    <s v=""/>
    <n v="0"/>
    <n v="0"/>
    <n v="0"/>
    <n v="0"/>
    <n v="0"/>
    <n v="0"/>
  </r>
  <r>
    <x v="89"/>
    <n v="0"/>
    <x v="14"/>
    <n v="5"/>
    <s v="MAI"/>
    <n v="0"/>
    <x v="14"/>
    <n v="0"/>
    <x v="2"/>
    <s v=""/>
    <n v="0"/>
    <n v="0"/>
    <n v="0"/>
    <n v="0"/>
    <n v="0"/>
    <n v="0"/>
  </r>
  <r>
    <x v="89"/>
    <n v="0"/>
    <x v="14"/>
    <n v="5"/>
    <s v="MAI"/>
    <n v="0"/>
    <x v="14"/>
    <n v="0"/>
    <x v="2"/>
    <s v=""/>
    <n v="0"/>
    <n v="0"/>
    <n v="0"/>
    <n v="0"/>
    <n v="0"/>
    <n v="0"/>
  </r>
  <r>
    <x v="90"/>
    <s v="#LIGA968JP "/>
    <x v="14"/>
    <n v="5"/>
    <s v="MAI"/>
    <n v="0"/>
    <x v="14"/>
    <n v="0"/>
    <x v="0"/>
    <d v="1899-12-30T00:34:00"/>
    <n v="6.12"/>
    <n v="10.807511805835194"/>
    <n v="3.64"/>
    <n v="6.4235294117647292"/>
    <n v="1"/>
    <n v="2.3847395100303981"/>
  </r>
  <r>
    <x v="90"/>
    <n v="0"/>
    <x v="14"/>
    <n v="5"/>
    <s v="MAI"/>
    <n v="0"/>
    <x v="14"/>
    <n v="0"/>
    <x v="1"/>
    <s v=""/>
    <n v="0"/>
    <n v="0"/>
    <n v="0"/>
    <n v="0"/>
    <n v="0"/>
    <n v="0"/>
  </r>
  <r>
    <x v="90"/>
    <n v="0"/>
    <x v="14"/>
    <n v="5"/>
    <s v="MAI"/>
    <n v="0"/>
    <x v="14"/>
    <n v="0"/>
    <x v="2"/>
    <s v=""/>
    <n v="0"/>
    <n v="0"/>
    <n v="0"/>
    <n v="0"/>
    <n v="0"/>
    <n v="0"/>
  </r>
  <r>
    <x v="90"/>
    <n v="0"/>
    <x v="14"/>
    <n v="5"/>
    <s v="MAI"/>
    <n v="0"/>
    <x v="14"/>
    <n v="0"/>
    <x v="2"/>
    <s v=""/>
    <n v="0"/>
    <n v="0"/>
    <n v="0"/>
    <n v="0"/>
    <n v="0"/>
    <n v="0"/>
  </r>
  <r>
    <x v="91"/>
    <s v="#LIQLAPGPW "/>
    <x v="14"/>
    <n v="5"/>
    <s v="MAI"/>
    <n v="0"/>
    <x v="14"/>
    <n v="0"/>
    <x v="1"/>
    <d v="1899-12-30T00:53:00"/>
    <n v="8.1999999999999993"/>
    <n v="14.480653073177873"/>
    <n v="5.08"/>
    <n v="5.7509433962264183"/>
    <n v="1"/>
    <n v="3.3281529425698961"/>
  </r>
  <r>
    <x v="91"/>
    <n v="0"/>
    <x v="14"/>
    <n v="5"/>
    <s v="MAI"/>
    <n v="0"/>
    <x v="14"/>
    <n v="0"/>
    <x v="3"/>
    <s v=""/>
    <n v="0"/>
    <n v="0"/>
    <n v="0"/>
    <n v="0"/>
    <n v="0"/>
    <n v="0"/>
  </r>
  <r>
    <x v="91"/>
    <n v="0"/>
    <x v="14"/>
    <n v="5"/>
    <s v="MAI"/>
    <n v="0"/>
    <x v="14"/>
    <n v="0"/>
    <x v="2"/>
    <s v=""/>
    <n v="0"/>
    <n v="0"/>
    <n v="0"/>
    <n v="0"/>
    <n v="0"/>
    <n v="0"/>
  </r>
  <r>
    <x v="92"/>
    <s v="#LI9AMCSU3 "/>
    <x v="15"/>
    <n v="5"/>
    <s v="MAI"/>
    <s v="MAI"/>
    <x v="15"/>
    <n v="23"/>
    <x v="7"/>
    <d v="1899-12-30T00:33:00"/>
    <n v="4.0199999999999996"/>
    <n v="7.0990518724603717"/>
    <n v="2.9"/>
    <n v="5.2727272727272654"/>
    <n v="1"/>
    <n v="1.8999298294198224"/>
  </r>
  <r>
    <x v="92"/>
    <n v="0"/>
    <x v="15"/>
    <n v="5"/>
    <s v="MAI"/>
    <n v="0"/>
    <x v="15"/>
    <n v="0"/>
    <x v="8"/>
    <s v=""/>
    <n v="0"/>
    <n v="0"/>
    <n v="0"/>
    <n v="0"/>
    <n v="0"/>
    <n v="0"/>
  </r>
  <r>
    <x v="92"/>
    <n v="0"/>
    <x v="15"/>
    <n v="5"/>
    <s v="MAI"/>
    <n v="0"/>
    <x v="15"/>
    <n v="0"/>
    <x v="2"/>
    <s v=""/>
    <n v="0"/>
    <n v="0"/>
    <n v="0"/>
    <n v="0"/>
    <n v="0"/>
    <n v="0"/>
  </r>
  <r>
    <x v="92"/>
    <n v="0"/>
    <x v="15"/>
    <n v="5"/>
    <s v="MAI"/>
    <n v="0"/>
    <x v="15"/>
    <n v="0"/>
    <x v="2"/>
    <s v=""/>
    <n v="0"/>
    <n v="0"/>
    <n v="0"/>
    <n v="0"/>
    <n v="0"/>
    <n v="0"/>
  </r>
  <r>
    <x v="93"/>
    <s v="#LI47TLEXX "/>
    <x v="15"/>
    <n v="5"/>
    <s v="MAI"/>
    <n v="0"/>
    <x v="15"/>
    <n v="0"/>
    <x v="8"/>
    <d v="1899-12-30T00:27:00"/>
    <n v="4.5"/>
    <n v="7.94669985723176"/>
    <n v="3.07"/>
    <n v="6.822222222222206"/>
    <n v="1"/>
    <n v="2.0113050263168466"/>
  </r>
  <r>
    <x v="93"/>
    <n v="0"/>
    <x v="15"/>
    <n v="5"/>
    <s v="MAI"/>
    <n v="0"/>
    <x v="15"/>
    <n v="0"/>
    <x v="8"/>
    <s v=""/>
    <n v="0"/>
    <n v="0"/>
    <n v="0"/>
    <n v="0"/>
    <n v="0"/>
    <n v="0"/>
  </r>
  <r>
    <x v="93"/>
    <n v="0"/>
    <x v="15"/>
    <n v="5"/>
    <s v="MAI"/>
    <n v="0"/>
    <x v="15"/>
    <n v="0"/>
    <x v="2"/>
    <s v=""/>
    <n v="0"/>
    <n v="0"/>
    <n v="0"/>
    <n v="0"/>
    <n v="0"/>
    <n v="0"/>
  </r>
  <r>
    <x v="93"/>
    <n v="0"/>
    <x v="15"/>
    <n v="5"/>
    <s v="MAI"/>
    <n v="0"/>
    <x v="15"/>
    <n v="0"/>
    <x v="2"/>
    <s v=""/>
    <n v="0"/>
    <n v="0"/>
    <n v="0"/>
    <n v="0"/>
    <n v="0"/>
    <n v="0"/>
  </r>
  <r>
    <x v="94"/>
    <s v="#LIBSJLHYF "/>
    <x v="15"/>
    <n v="5"/>
    <s v="MAI"/>
    <n v="0"/>
    <x v="15"/>
    <n v="0"/>
    <x v="0"/>
    <d v="1899-12-30T00:59:00"/>
    <n v="3.09"/>
    <n v="5.4567339019658085"/>
    <n v="3.18"/>
    <n v="3.2338983050847401"/>
    <n v="1"/>
    <n v="2.0833713301913916"/>
  </r>
  <r>
    <x v="94"/>
    <n v="0"/>
    <x v="15"/>
    <n v="5"/>
    <s v="MAI"/>
    <n v="0"/>
    <x v="15"/>
    <n v="0"/>
    <x v="1"/>
    <s v=""/>
    <n v="0"/>
    <n v="0"/>
    <n v="0"/>
    <n v="0"/>
    <n v="0"/>
    <n v="0"/>
  </r>
  <r>
    <x v="94"/>
    <n v="0"/>
    <x v="15"/>
    <n v="5"/>
    <s v="MAI"/>
    <n v="0"/>
    <x v="15"/>
    <n v="0"/>
    <x v="2"/>
    <s v=""/>
    <n v="0"/>
    <n v="0"/>
    <n v="0"/>
    <n v="0"/>
    <n v="0"/>
    <n v="0"/>
  </r>
  <r>
    <x v="94"/>
    <n v="0"/>
    <x v="15"/>
    <n v="5"/>
    <s v="MAI"/>
    <n v="0"/>
    <x v="15"/>
    <n v="0"/>
    <x v="2"/>
    <s v=""/>
    <n v="0"/>
    <n v="0"/>
    <n v="0"/>
    <n v="0"/>
    <n v="0"/>
    <n v="0"/>
  </r>
  <r>
    <x v="95"/>
    <s v="#LIYX9EGLJ "/>
    <x v="15"/>
    <n v="5"/>
    <s v="MAI"/>
    <n v="0"/>
    <x v="15"/>
    <n v="0"/>
    <x v="1"/>
    <d v="1899-12-30T00:37:00"/>
    <n v="8.74"/>
    <n v="15.434257056045684"/>
    <n v="4.55"/>
    <n v="7.3783783783783727"/>
    <n v="1"/>
    <n v="2.9809243875379972"/>
  </r>
  <r>
    <x v="95"/>
    <n v="0"/>
    <x v="15"/>
    <n v="5"/>
    <s v="MAI"/>
    <n v="0"/>
    <x v="15"/>
    <n v="0"/>
    <x v="1"/>
    <s v=""/>
    <n v="0"/>
    <n v="0"/>
    <n v="0"/>
    <n v="0"/>
    <n v="0"/>
    <n v="0"/>
  </r>
  <r>
    <x v="95"/>
    <n v="0"/>
    <x v="15"/>
    <n v="5"/>
    <s v="MAI"/>
    <n v="0"/>
    <x v="15"/>
    <n v="0"/>
    <x v="2"/>
    <s v=""/>
    <n v="0"/>
    <n v="0"/>
    <n v="0"/>
    <n v="0"/>
    <n v="0"/>
    <n v="0"/>
  </r>
  <r>
    <x v="95"/>
    <n v="0"/>
    <x v="15"/>
    <n v="5"/>
    <s v="MAI"/>
    <n v="0"/>
    <x v="15"/>
    <n v="0"/>
    <x v="2"/>
    <s v=""/>
    <n v="0"/>
    <n v="0"/>
    <n v="0"/>
    <n v="0"/>
    <n v="0"/>
    <n v="0"/>
  </r>
  <r>
    <x v="96"/>
    <s v="#LI1JMJBSS "/>
    <x v="15"/>
    <n v="5"/>
    <s v="MAI"/>
    <n v="0"/>
    <x v="15"/>
    <n v="0"/>
    <x v="1"/>
    <d v="1899-12-30T00:39:00"/>
    <n v="9.0500000000000007"/>
    <n v="15.981696379543873"/>
    <n v="4.66"/>
    <n v="7.169230769230766"/>
    <n v="1"/>
    <n v="3.0529906914125422"/>
  </r>
  <r>
    <x v="96"/>
    <n v="0"/>
    <x v="15"/>
    <n v="5"/>
    <s v="MAI"/>
    <n v="0"/>
    <x v="15"/>
    <n v="0"/>
    <x v="3"/>
    <s v=""/>
    <n v="0"/>
    <n v="0"/>
    <n v="0"/>
    <n v="0"/>
    <n v="0"/>
    <n v="0"/>
  </r>
  <r>
    <x v="96"/>
    <n v="0"/>
    <x v="15"/>
    <n v="5"/>
    <s v="MAI"/>
    <n v="0"/>
    <x v="15"/>
    <n v="0"/>
    <x v="2"/>
    <s v=""/>
    <n v="0"/>
    <n v="0"/>
    <n v="0"/>
    <n v="0"/>
    <n v="0"/>
    <n v="0"/>
  </r>
  <r>
    <x v="96"/>
    <n v="0"/>
    <x v="15"/>
    <n v="5"/>
    <s v="MAI"/>
    <n v="0"/>
    <x v="15"/>
    <n v="0"/>
    <x v="2"/>
    <s v=""/>
    <n v="0"/>
    <n v="0"/>
    <n v="0"/>
    <n v="0"/>
    <n v="0"/>
    <n v="0"/>
  </r>
  <r>
    <x v="97"/>
    <s v="#LIAKLDKEH "/>
    <x v="15"/>
    <n v="5"/>
    <s v="MAI"/>
    <n v="0"/>
    <x v="15"/>
    <n v="0"/>
    <x v="3"/>
    <d v="1899-12-30T00:28:00"/>
    <n v="2.98"/>
    <n v="5.2624812387890323"/>
    <n v="2.54"/>
    <n v="5.4428571428571626"/>
    <n v="1"/>
    <n v="1.6640764712849481"/>
  </r>
  <r>
    <x v="97"/>
    <n v="0"/>
    <x v="15"/>
    <n v="5"/>
    <s v="MAI"/>
    <n v="0"/>
    <x v="15"/>
    <n v="0"/>
    <x v="3"/>
    <s v=""/>
    <n v="0"/>
    <n v="0"/>
    <n v="0"/>
    <n v="0"/>
    <n v="0"/>
    <n v="0"/>
  </r>
  <r>
    <x v="97"/>
    <n v="0"/>
    <x v="15"/>
    <n v="5"/>
    <s v="MAI"/>
    <n v="0"/>
    <x v="15"/>
    <n v="0"/>
    <x v="2"/>
    <s v=""/>
    <n v="0"/>
    <n v="0"/>
    <n v="0"/>
    <n v="0"/>
    <n v="0"/>
    <n v="0"/>
  </r>
  <r>
    <x v="97"/>
    <n v="0"/>
    <x v="15"/>
    <n v="5"/>
    <s v="MAI"/>
    <n v="0"/>
    <x v="15"/>
    <n v="0"/>
    <x v="2"/>
    <s v=""/>
    <n v="0"/>
    <n v="0"/>
    <n v="0"/>
    <n v="0"/>
    <n v="0"/>
    <n v="0"/>
  </r>
  <r>
    <x v="98"/>
    <s v="#LIQJGPLQ5 "/>
    <x v="15"/>
    <n v="5"/>
    <s v="MAI"/>
    <n v="0"/>
    <x v="15"/>
    <n v="0"/>
    <x v="5"/>
    <d v="1899-12-30T00:17:00"/>
    <n v="3.04"/>
    <n v="5.3684372368854554"/>
    <n v="2.56"/>
    <n v="9.0352941176470054"/>
    <n v="1"/>
    <n v="1.6771794356257743"/>
  </r>
  <r>
    <x v="98"/>
    <n v="0"/>
    <x v="15"/>
    <n v="5"/>
    <s v="MAI"/>
    <n v="0"/>
    <x v="15"/>
    <n v="0"/>
    <x v="5"/>
    <s v=""/>
    <n v="0"/>
    <n v="0"/>
    <n v="0"/>
    <n v="0"/>
    <n v="0"/>
    <n v="0"/>
  </r>
  <r>
    <x v="98"/>
    <n v="0"/>
    <x v="15"/>
    <n v="5"/>
    <s v="MAI"/>
    <n v="0"/>
    <x v="15"/>
    <n v="0"/>
    <x v="2"/>
    <s v=""/>
    <n v="0"/>
    <n v="0"/>
    <n v="0"/>
    <n v="0"/>
    <n v="0"/>
    <n v="0"/>
  </r>
  <r>
    <x v="99"/>
    <s v="#LIS1S1424 "/>
    <x v="16"/>
    <n v="5"/>
    <s v="MAI"/>
    <s v="MAI"/>
    <x v="16"/>
    <n v="24"/>
    <x v="8"/>
    <d v="1899-12-30T00:39:00"/>
    <n v="8.27"/>
    <n v="14.604268404290368"/>
    <n v="5.7"/>
    <n v="8.7692307692307647"/>
    <n v="1"/>
    <n v="3.7343448371355135"/>
  </r>
  <r>
    <x v="99"/>
    <n v="0"/>
    <x v="16"/>
    <n v="5"/>
    <s v="MAI"/>
    <n v="0"/>
    <x v="16"/>
    <n v="0"/>
    <x v="9"/>
    <s v=""/>
    <n v="0"/>
    <n v="0"/>
    <n v="0"/>
    <n v="0"/>
    <n v="0"/>
    <n v="0"/>
  </r>
  <r>
    <x v="99"/>
    <n v="0"/>
    <x v="16"/>
    <n v="5"/>
    <s v="MAI"/>
    <n v="0"/>
    <x v="16"/>
    <n v="0"/>
    <x v="2"/>
    <s v=""/>
    <n v="0"/>
    <n v="0"/>
    <n v="0"/>
    <n v="0"/>
    <n v="0"/>
    <n v="0"/>
  </r>
  <r>
    <x v="99"/>
    <n v="0"/>
    <x v="16"/>
    <n v="5"/>
    <s v="MAI"/>
    <n v="0"/>
    <x v="16"/>
    <n v="0"/>
    <x v="2"/>
    <s v=""/>
    <n v="0"/>
    <n v="0"/>
    <n v="0"/>
    <n v="0"/>
    <n v="0"/>
    <n v="0"/>
  </r>
  <r>
    <x v="100"/>
    <s v="#LICZMSEF1 "/>
    <x v="16"/>
    <n v="5"/>
    <s v="MAI"/>
    <n v="0"/>
    <x v="16"/>
    <n v="0"/>
    <x v="9"/>
    <d v="1899-12-30T00:52:00"/>
    <n v="4.8899999999999997"/>
    <n v="8.6354138448585118"/>
    <n v="4.17"/>
    <n v="4.8115384615384489"/>
    <n v="1"/>
    <n v="2.7319680650622966"/>
  </r>
  <r>
    <x v="100"/>
    <n v="0"/>
    <x v="16"/>
    <n v="5"/>
    <s v="MAI"/>
    <n v="0"/>
    <x v="16"/>
    <n v="0"/>
    <x v="10"/>
    <s v=""/>
    <n v="0"/>
    <n v="0"/>
    <n v="0"/>
    <n v="0"/>
    <n v="0"/>
    <n v="0"/>
  </r>
  <r>
    <x v="100"/>
    <n v="0"/>
    <x v="16"/>
    <n v="5"/>
    <s v="MAI"/>
    <n v="0"/>
    <x v="16"/>
    <n v="0"/>
    <x v="2"/>
    <s v=""/>
    <n v="0"/>
    <n v="0"/>
    <n v="0"/>
    <n v="0"/>
    <n v="0"/>
    <n v="0"/>
  </r>
  <r>
    <x v="100"/>
    <n v="0"/>
    <x v="16"/>
    <n v="5"/>
    <s v="MAI"/>
    <n v="0"/>
    <x v="16"/>
    <n v="0"/>
    <x v="2"/>
    <s v=""/>
    <n v="0"/>
    <n v="0"/>
    <n v="0"/>
    <n v="0"/>
    <n v="0"/>
    <n v="0"/>
  </r>
  <r>
    <x v="101"/>
    <s v="#LIL3UTNX6 "/>
    <x v="16"/>
    <n v="5"/>
    <s v="MAI"/>
    <n v="0"/>
    <x v="16"/>
    <n v="0"/>
    <x v="0"/>
    <d v="1899-12-30T01:13:00"/>
    <n v="9.85"/>
    <n v="17.394443020829517"/>
    <n v="6.42"/>
    <n v="5.2767123287671316"/>
    <n v="1"/>
    <n v="4.2060515534052625"/>
  </r>
  <r>
    <x v="101"/>
    <n v="0"/>
    <x v="16"/>
    <n v="5"/>
    <s v="MAI"/>
    <n v="0"/>
    <x v="16"/>
    <n v="0"/>
    <x v="1"/>
    <s v=""/>
    <n v="0"/>
    <n v="0"/>
    <n v="0"/>
    <n v="0"/>
    <n v="0"/>
    <n v="0"/>
  </r>
  <r>
    <x v="101"/>
    <n v="0"/>
    <x v="16"/>
    <n v="5"/>
    <s v="MAI"/>
    <n v="0"/>
    <x v="16"/>
    <n v="0"/>
    <x v="2"/>
    <s v=""/>
    <n v="0"/>
    <n v="0"/>
    <n v="0"/>
    <n v="0"/>
    <n v="0"/>
    <n v="0"/>
  </r>
  <r>
    <x v="101"/>
    <n v="0"/>
    <x v="16"/>
    <n v="5"/>
    <s v="MAI"/>
    <n v="0"/>
    <x v="16"/>
    <n v="0"/>
    <x v="2"/>
    <s v=""/>
    <n v="0"/>
    <n v="0"/>
    <n v="0"/>
    <n v="0"/>
    <n v="0"/>
    <n v="0"/>
  </r>
  <r>
    <x v="102"/>
    <s v="#LILCAQXGQ "/>
    <x v="16"/>
    <n v="5"/>
    <s v="MAI"/>
    <n v="0"/>
    <x v="16"/>
    <n v="0"/>
    <x v="1"/>
    <d v="1899-12-30T00:45:00"/>
    <n v="8.08"/>
    <n v="14.268741076985027"/>
    <n v="5.61"/>
    <n v="7.48"/>
    <n v="1"/>
    <n v="3.6753814976017947"/>
  </r>
  <r>
    <x v="102"/>
    <n v="0"/>
    <x v="16"/>
    <n v="5"/>
    <s v="MAI"/>
    <n v="0"/>
    <x v="16"/>
    <n v="0"/>
    <x v="3"/>
    <s v=""/>
    <n v="0"/>
    <n v="0"/>
    <n v="0"/>
    <n v="0"/>
    <n v="0"/>
    <n v="0"/>
  </r>
  <r>
    <x v="102"/>
    <n v="0"/>
    <x v="16"/>
    <n v="5"/>
    <s v="MAI"/>
    <n v="0"/>
    <x v="16"/>
    <n v="0"/>
    <x v="2"/>
    <s v=""/>
    <n v="0"/>
    <n v="0"/>
    <n v="0"/>
    <n v="0"/>
    <n v="0"/>
    <n v="0"/>
  </r>
  <r>
    <x v="102"/>
    <n v="0"/>
    <x v="16"/>
    <n v="5"/>
    <s v="MAI"/>
    <n v="0"/>
    <x v="16"/>
    <n v="0"/>
    <x v="2"/>
    <s v=""/>
    <n v="0"/>
    <n v="0"/>
    <n v="0"/>
    <n v="0"/>
    <n v="0"/>
    <n v="0"/>
  </r>
  <r>
    <x v="103"/>
    <s v="#LIH8XYY1M "/>
    <x v="16"/>
    <n v="5"/>
    <s v="MAI"/>
    <n v="0"/>
    <x v="16"/>
    <n v="0"/>
    <x v="3"/>
    <d v="1899-12-30T00:33:00"/>
    <n v="9.25"/>
    <n v="16.334883039865286"/>
    <n v="6.85"/>
    <n v="12.454545454545498"/>
    <n v="1"/>
    <n v="4.4877652867330289"/>
  </r>
  <r>
    <x v="103"/>
    <n v="0"/>
    <x v="16"/>
    <n v="5"/>
    <s v="MAI"/>
    <n v="0"/>
    <x v="16"/>
    <n v="0"/>
    <x v="3"/>
    <s v=""/>
    <n v="0"/>
    <n v="0"/>
    <n v="0"/>
    <n v="0"/>
    <n v="0"/>
    <n v="0"/>
  </r>
  <r>
    <x v="103"/>
    <n v="0"/>
    <x v="16"/>
    <n v="5"/>
    <s v="MAI"/>
    <n v="0"/>
    <x v="16"/>
    <n v="0"/>
    <x v="3"/>
    <s v=""/>
    <n v="0"/>
    <n v="0"/>
    <n v="14.21"/>
    <n v="0"/>
    <n v="0"/>
    <n v="9.3096561641571309"/>
  </r>
  <r>
    <x v="103"/>
    <n v="0"/>
    <x v="16"/>
    <n v="5"/>
    <s v="MAI"/>
    <n v="0"/>
    <x v="16"/>
    <n v="0"/>
    <x v="2"/>
    <s v=""/>
    <n v="0"/>
    <n v="0"/>
    <n v="0"/>
    <n v="0"/>
    <n v="0"/>
    <n v="0"/>
  </r>
  <r>
    <x v="104"/>
    <s v="#LI4FE12HW "/>
    <x v="17"/>
    <n v="5"/>
    <s v="MAI"/>
    <s v="MAI"/>
    <x v="17"/>
    <n v="25"/>
    <x v="8"/>
    <d v="1899-12-30T00:58:00"/>
    <n v="12.97"/>
    <n v="22.904154921843539"/>
    <n v="6.11"/>
    <n v="6.3206896551724192"/>
    <n v="1"/>
    <n v="4.0029556061224536"/>
  </r>
  <r>
    <x v="104"/>
    <n v="0"/>
    <x v="17"/>
    <n v="5"/>
    <s v="MAI"/>
    <n v="0"/>
    <x v="17"/>
    <n v="0"/>
    <x v="9"/>
    <s v=""/>
    <n v="0"/>
    <n v="0"/>
    <n v="0"/>
    <n v="0"/>
    <n v="0"/>
    <n v="0"/>
  </r>
  <r>
    <x v="104"/>
    <n v="0"/>
    <x v="17"/>
    <n v="5"/>
    <s v="MAI"/>
    <n v="0"/>
    <x v="17"/>
    <n v="0"/>
    <x v="2"/>
    <s v=""/>
    <n v="0"/>
    <n v="0"/>
    <n v="0"/>
    <n v="0"/>
    <n v="0"/>
    <n v="0"/>
  </r>
  <r>
    <x v="104"/>
    <n v="0"/>
    <x v="17"/>
    <n v="5"/>
    <s v="MAI"/>
    <n v="0"/>
    <x v="17"/>
    <n v="0"/>
    <x v="2"/>
    <s v=""/>
    <n v="0"/>
    <n v="0"/>
    <n v="0"/>
    <n v="0"/>
    <n v="0"/>
    <n v="0"/>
  </r>
  <r>
    <x v="105"/>
    <s v="#LIWYECNVF "/>
    <x v="17"/>
    <n v="5"/>
    <s v="MAI"/>
    <n v="0"/>
    <x v="17"/>
    <n v="0"/>
    <x v="0"/>
    <d v="1899-12-30T00:52:00"/>
    <n v="10.66"/>
    <n v="18.824848995131237"/>
    <n v="5.22"/>
    <n v="6.0230769230769257"/>
    <n v="1"/>
    <n v="3.4198736929556803"/>
  </r>
  <r>
    <x v="105"/>
    <n v="0"/>
    <x v="17"/>
    <n v="5"/>
    <s v="MAI"/>
    <n v="0"/>
    <x v="17"/>
    <n v="0"/>
    <x v="1"/>
    <s v=""/>
    <n v="0"/>
    <n v="0"/>
    <n v="0"/>
    <n v="0"/>
    <n v="0"/>
    <n v="0"/>
  </r>
  <r>
    <x v="105"/>
    <n v="0"/>
    <x v="17"/>
    <n v="5"/>
    <s v="MAI"/>
    <n v="0"/>
    <x v="17"/>
    <n v="0"/>
    <x v="2"/>
    <s v=""/>
    <n v="0"/>
    <n v="0"/>
    <n v="0"/>
    <n v="0"/>
    <n v="0"/>
    <n v="0"/>
  </r>
  <r>
    <x v="105"/>
    <n v="0"/>
    <x v="17"/>
    <n v="5"/>
    <s v="MAI"/>
    <n v="0"/>
    <x v="17"/>
    <n v="0"/>
    <x v="2"/>
    <s v=""/>
    <n v="0"/>
    <n v="0"/>
    <n v="0"/>
    <n v="0"/>
    <n v="0"/>
    <n v="0"/>
  </r>
  <r>
    <x v="106"/>
    <s v="#LIAMY9A3G "/>
    <x v="17"/>
    <n v="5"/>
    <s v="MAI"/>
    <n v="0"/>
    <x v="17"/>
    <n v="0"/>
    <x v="1"/>
    <d v="1899-12-30T00:29:00"/>
    <n v="6.32"/>
    <n v="11.160698466156605"/>
    <n v="3.71"/>
    <n v="7.6758620689655022"/>
    <n v="1"/>
    <n v="2.4305998852232902"/>
  </r>
  <r>
    <x v="106"/>
    <n v="0"/>
    <x v="17"/>
    <n v="5"/>
    <s v="MAI"/>
    <n v="0"/>
    <x v="17"/>
    <n v="0"/>
    <x v="1"/>
    <s v=""/>
    <n v="0"/>
    <n v="0"/>
    <n v="0"/>
    <n v="0"/>
    <n v="0"/>
    <n v="0"/>
  </r>
  <r>
    <x v="106"/>
    <n v="0"/>
    <x v="17"/>
    <n v="5"/>
    <s v="MAI"/>
    <n v="0"/>
    <x v="17"/>
    <n v="0"/>
    <x v="2"/>
    <s v=""/>
    <n v="0"/>
    <n v="0"/>
    <n v="0"/>
    <n v="0"/>
    <n v="0"/>
    <n v="0"/>
  </r>
  <r>
    <x v="106"/>
    <n v="0"/>
    <x v="17"/>
    <n v="5"/>
    <s v="MAI"/>
    <n v="0"/>
    <x v="17"/>
    <n v="0"/>
    <x v="2"/>
    <s v=""/>
    <n v="0"/>
    <n v="0"/>
    <n v="0"/>
    <n v="0"/>
    <n v="0"/>
    <n v="0"/>
  </r>
  <r>
    <x v="107"/>
    <s v="#LIKV7EF39 "/>
    <x v="17"/>
    <n v="5"/>
    <s v="MAI"/>
    <n v="0"/>
    <x v="17"/>
    <n v="0"/>
    <x v="3"/>
    <d v="1899-12-30T00:28:00"/>
    <n v="7.65"/>
    <n v="13.509389757293992"/>
    <n v="4.83"/>
    <n v="10.350000000000037"/>
    <n v="1"/>
    <n v="3.1643658883095664"/>
  </r>
  <r>
    <x v="107"/>
    <n v="0"/>
    <x v="17"/>
    <n v="5"/>
    <s v="MAI"/>
    <n v="0"/>
    <x v="17"/>
    <n v="0"/>
    <x v="3"/>
    <s v=""/>
    <n v="0"/>
    <n v="0"/>
    <n v="0"/>
    <n v="0"/>
    <n v="0"/>
    <n v="0"/>
  </r>
  <r>
    <x v="107"/>
    <n v="0"/>
    <x v="17"/>
    <n v="5"/>
    <s v="MAI"/>
    <n v="0"/>
    <x v="17"/>
    <n v="0"/>
    <x v="2"/>
    <s v=""/>
    <n v="0"/>
    <n v="0"/>
    <n v="0"/>
    <n v="0"/>
    <n v="0"/>
    <n v="0"/>
  </r>
  <r>
    <x v="107"/>
    <n v="0"/>
    <x v="17"/>
    <n v="5"/>
    <s v="MAI"/>
    <n v="0"/>
    <x v="17"/>
    <n v="0"/>
    <x v="2"/>
    <s v=""/>
    <n v="0"/>
    <n v="0"/>
    <n v="0"/>
    <n v="0"/>
    <n v="0"/>
    <n v="0"/>
  </r>
  <r>
    <x v="108"/>
    <s v="#LIRWEWA6P "/>
    <x v="17"/>
    <n v="5"/>
    <s v="MAI"/>
    <n v="0"/>
    <x v="17"/>
    <n v="0"/>
    <x v="3"/>
    <d v="1899-12-30T00:34:00"/>
    <n v="6.9"/>
    <n v="12.184939781088699"/>
    <n v="3.91"/>
    <n v="6.8999999999999924"/>
    <n v="1"/>
    <n v="2.561629528631554"/>
  </r>
  <r>
    <x v="108"/>
    <n v="0"/>
    <x v="17"/>
    <n v="5"/>
    <s v="MAI"/>
    <n v="0"/>
    <x v="17"/>
    <n v="0"/>
    <x v="5"/>
    <s v=""/>
    <n v="0"/>
    <n v="0"/>
    <n v="0"/>
    <n v="0"/>
    <n v="0"/>
    <n v="0"/>
  </r>
  <r>
    <x v="108"/>
    <n v="0"/>
    <x v="17"/>
    <n v="5"/>
    <s v="MAI"/>
    <n v="0"/>
    <x v="17"/>
    <n v="0"/>
    <x v="2"/>
    <s v=""/>
    <n v="0"/>
    <n v="0"/>
    <n v="0"/>
    <n v="0"/>
    <n v="0"/>
    <n v="0"/>
  </r>
  <r>
    <x v="108"/>
    <n v="0"/>
    <x v="17"/>
    <n v="5"/>
    <s v="MAI"/>
    <n v="0"/>
    <x v="17"/>
    <n v="0"/>
    <x v="2"/>
    <s v=""/>
    <n v="0"/>
    <n v="0"/>
    <n v="0"/>
    <n v="0"/>
    <n v="0"/>
    <n v="0"/>
  </r>
  <r>
    <x v="109"/>
    <s v="#LILAV3WQT "/>
    <x v="17"/>
    <n v="5"/>
    <s v="MAI"/>
    <n v="0"/>
    <x v="17"/>
    <n v="0"/>
    <x v="5"/>
    <d v="1899-12-30T00:24:00"/>
    <n v="7.49"/>
    <n v="13.226840429036862"/>
    <n v="4.25"/>
    <n v="10.624999999999897"/>
    <n v="1"/>
    <n v="2.7843799224256021"/>
  </r>
  <r>
    <x v="109"/>
    <n v="0"/>
    <x v="17"/>
    <n v="5"/>
    <s v="MAI"/>
    <n v="0"/>
    <x v="17"/>
    <n v="0"/>
    <x v="5"/>
    <s v=""/>
    <n v="0"/>
    <n v="0"/>
    <n v="0"/>
    <n v="0"/>
    <n v="0"/>
    <n v="0"/>
  </r>
  <r>
    <x v="109"/>
    <n v="0"/>
    <x v="17"/>
    <n v="5"/>
    <s v="MAI"/>
    <n v="0"/>
    <x v="17"/>
    <n v="0"/>
    <x v="2"/>
    <s v=""/>
    <n v="0"/>
    <n v="0"/>
    <n v="0"/>
    <n v="0"/>
    <n v="0"/>
    <n v="0"/>
  </r>
  <r>
    <x v="110"/>
    <s v="#LINSSATP1 "/>
    <x v="18"/>
    <n v="5"/>
    <s v="MAI"/>
    <s v="MAI"/>
    <x v="18"/>
    <n v="26"/>
    <x v="1"/>
    <d v="1899-12-30T01:34:00"/>
    <n v="7.39"/>
    <n v="13.050247098876156"/>
    <n v="5.31"/>
    <n v="3.3893617021276596"/>
    <n v="1"/>
    <n v="3.4788370324893987"/>
  </r>
  <r>
    <x v="110"/>
    <n v="0"/>
    <x v="18"/>
    <n v="5"/>
    <s v="MAI"/>
    <n v="0"/>
    <x v="18"/>
    <n v="0"/>
    <x v="3"/>
    <s v=""/>
    <n v="0"/>
    <n v="0"/>
    <n v="0"/>
    <n v="0"/>
    <n v="0"/>
    <n v="0"/>
  </r>
  <r>
    <x v="110"/>
    <n v="0"/>
    <x v="18"/>
    <n v="5"/>
    <s v="MAI"/>
    <n v="0"/>
    <x v="18"/>
    <n v="0"/>
    <x v="2"/>
    <s v=""/>
    <n v="0"/>
    <n v="0"/>
    <n v="0"/>
    <n v="0"/>
    <n v="0"/>
    <n v="0"/>
  </r>
  <r>
    <x v="110"/>
    <n v="0"/>
    <x v="18"/>
    <n v="5"/>
    <s v="MAI"/>
    <n v="0"/>
    <x v="18"/>
    <n v="0"/>
    <x v="2"/>
    <s v=""/>
    <n v="0"/>
    <n v="0"/>
    <n v="0"/>
    <n v="0"/>
    <n v="0"/>
    <n v="0"/>
  </r>
  <r>
    <x v="111"/>
    <s v="#LIU12Y8G1 "/>
    <x v="18"/>
    <n v="5"/>
    <s v="MAI"/>
    <s v="Ganhos garantidos"/>
    <x v="18"/>
    <n v="0"/>
    <x v="7"/>
    <d v="1899-12-30T00:48:00"/>
    <n v="7.45"/>
    <n v="13.156203096972581"/>
    <n v="0"/>
    <n v="0"/>
    <n v="1"/>
    <n v="0"/>
  </r>
  <r>
    <x v="111"/>
    <n v="0"/>
    <x v="18"/>
    <n v="5"/>
    <s v="MAI"/>
    <n v="0"/>
    <x v="18"/>
    <n v="0"/>
    <x v="7"/>
    <s v=""/>
    <n v="0"/>
    <n v="0"/>
    <n v="3.51"/>
    <n v="0"/>
    <n v="0"/>
    <n v="2.2995702418150263"/>
  </r>
  <r>
    <x v="111"/>
    <n v="0"/>
    <x v="18"/>
    <n v="5"/>
    <s v="MAI"/>
    <n v="0"/>
    <x v="18"/>
    <n v="0"/>
    <x v="2"/>
    <s v=""/>
    <n v="0"/>
    <n v="0"/>
    <n v="0"/>
    <n v="0"/>
    <n v="0"/>
    <n v="0"/>
  </r>
  <r>
    <x v="112"/>
    <s v="#LIKY1C3AE "/>
    <x v="19"/>
    <n v="5"/>
    <s v="MAI"/>
    <s v="MAI"/>
    <x v="19"/>
    <n v="27"/>
    <x v="11"/>
    <d v="1899-12-30T01:12:00"/>
    <n v="6.09"/>
    <n v="10.754533806786981"/>
    <n v="3.88"/>
    <n v="3.2333333333333338"/>
    <n v="1"/>
    <n v="2.541975082120314"/>
  </r>
  <r>
    <x v="112"/>
    <n v="0"/>
    <x v="19"/>
    <n v="5"/>
    <s v="MAI"/>
    <n v="0"/>
    <x v="19"/>
    <n v="0"/>
    <x v="6"/>
    <s v=""/>
    <n v="0"/>
    <n v="0"/>
    <n v="0"/>
    <n v="0"/>
    <n v="0"/>
    <n v="0"/>
  </r>
  <r>
    <x v="112"/>
    <n v="0"/>
    <x v="19"/>
    <n v="5"/>
    <s v="MAI"/>
    <n v="0"/>
    <x v="19"/>
    <n v="0"/>
    <x v="2"/>
    <s v=""/>
    <n v="0"/>
    <n v="0"/>
    <n v="0"/>
    <n v="0"/>
    <n v="0"/>
    <n v="0"/>
  </r>
  <r>
    <x v="112"/>
    <n v="0"/>
    <x v="19"/>
    <n v="5"/>
    <s v="MAI"/>
    <n v="0"/>
    <x v="19"/>
    <n v="0"/>
    <x v="2"/>
    <s v=""/>
    <n v="0"/>
    <n v="0"/>
    <n v="0"/>
    <n v="0"/>
    <n v="0"/>
    <n v="0"/>
  </r>
  <r>
    <x v="113"/>
    <s v="#LIPRSPYB9 "/>
    <x v="19"/>
    <n v="5"/>
    <s v="MAI"/>
    <n v="0"/>
    <x v="19"/>
    <n v="0"/>
    <x v="6"/>
    <d v="1899-12-30T00:29:00"/>
    <n v="4.3"/>
    <n v="7.5935131969103482"/>
    <n v="3"/>
    <n v="6.2068965517241432"/>
    <n v="1"/>
    <n v="1.9654446511239543"/>
  </r>
  <r>
    <x v="113"/>
    <n v="0"/>
    <x v="19"/>
    <n v="5"/>
    <s v="MAI"/>
    <n v="0"/>
    <x v="19"/>
    <n v="0"/>
    <x v="6"/>
    <s v=""/>
    <n v="0"/>
    <n v="0"/>
    <n v="0"/>
    <n v="0"/>
    <n v="0"/>
    <n v="0"/>
  </r>
  <r>
    <x v="113"/>
    <n v="0"/>
    <x v="19"/>
    <n v="5"/>
    <s v="MAI"/>
    <n v="0"/>
    <x v="19"/>
    <n v="0"/>
    <x v="2"/>
    <s v=""/>
    <n v="0"/>
    <n v="0"/>
    <n v="0"/>
    <n v="0"/>
    <n v="0"/>
    <n v="0"/>
  </r>
  <r>
    <x v="113"/>
    <n v="0"/>
    <x v="19"/>
    <n v="5"/>
    <s v="MAI"/>
    <n v="0"/>
    <x v="19"/>
    <n v="0"/>
    <x v="2"/>
    <s v=""/>
    <n v="0"/>
    <n v="0"/>
    <n v="0"/>
    <n v="0"/>
    <n v="0"/>
    <n v="0"/>
  </r>
  <r>
    <x v="114"/>
    <s v="#LI19ULHEH "/>
    <x v="19"/>
    <n v="5"/>
    <s v="MAI"/>
    <n v="0"/>
    <x v="19"/>
    <n v="0"/>
    <x v="6"/>
    <d v="1899-12-30T00:58:00"/>
    <n v="17.600000000000001"/>
    <n v="31.080426108284218"/>
    <n v="7.66"/>
    <n v="7.9241379310344788"/>
    <n v="1"/>
    <n v="5.0184353425364963"/>
  </r>
  <r>
    <x v="114"/>
    <n v="0"/>
    <x v="19"/>
    <n v="5"/>
    <s v="MAI"/>
    <n v="0"/>
    <x v="19"/>
    <n v="0"/>
    <x v="7"/>
    <s v=""/>
    <n v="0"/>
    <n v="0"/>
    <n v="0"/>
    <n v="0"/>
    <n v="0"/>
    <n v="0"/>
  </r>
  <r>
    <x v="114"/>
    <n v="0"/>
    <x v="19"/>
    <n v="5"/>
    <s v="MAI"/>
    <n v="0"/>
    <x v="19"/>
    <n v="0"/>
    <x v="2"/>
    <s v=""/>
    <n v="0"/>
    <n v="0"/>
    <n v="0"/>
    <n v="0"/>
    <n v="0"/>
    <n v="0"/>
  </r>
  <r>
    <x v="114"/>
    <n v="0"/>
    <x v="19"/>
    <n v="5"/>
    <s v="MAI"/>
    <n v="0"/>
    <x v="19"/>
    <n v="0"/>
    <x v="2"/>
    <s v=""/>
    <n v="0"/>
    <n v="0"/>
    <n v="0"/>
    <n v="0"/>
    <n v="0"/>
    <n v="0"/>
  </r>
  <r>
    <x v="115"/>
    <s v="#LIX4SVWE1 "/>
    <x v="19"/>
    <n v="5"/>
    <s v="MAI"/>
    <n v="0"/>
    <x v="19"/>
    <n v="0"/>
    <x v="7"/>
    <d v="1899-12-30T00:24:00"/>
    <n v="6.26"/>
    <n v="11.054742468060182"/>
    <n v="3.68"/>
    <n v="9.1999999999999726"/>
    <n v="1"/>
    <n v="2.4109454387120506"/>
  </r>
  <r>
    <x v="115"/>
    <n v="0"/>
    <x v="19"/>
    <n v="5"/>
    <s v="MAI"/>
    <n v="0"/>
    <x v="19"/>
    <n v="0"/>
    <x v="8"/>
    <s v=""/>
    <n v="0"/>
    <n v="0"/>
    <n v="0"/>
    <n v="0"/>
    <n v="0"/>
    <n v="0"/>
  </r>
  <r>
    <x v="115"/>
    <n v="0"/>
    <x v="19"/>
    <n v="5"/>
    <s v="MAI"/>
    <n v="0"/>
    <x v="19"/>
    <n v="0"/>
    <x v="2"/>
    <s v=""/>
    <n v="0"/>
    <n v="0"/>
    <n v="0"/>
    <n v="0"/>
    <n v="0"/>
    <n v="0"/>
  </r>
  <r>
    <x v="115"/>
    <n v="0"/>
    <x v="19"/>
    <n v="5"/>
    <s v="MAI"/>
    <n v="0"/>
    <x v="19"/>
    <n v="0"/>
    <x v="2"/>
    <s v=""/>
    <n v="0"/>
    <n v="0"/>
    <n v="0"/>
    <n v="0"/>
    <n v="0"/>
    <n v="0"/>
  </r>
  <r>
    <x v="116"/>
    <s v="#LIEEVPFYE "/>
    <x v="19"/>
    <n v="5"/>
    <s v="MAI"/>
    <n v="0"/>
    <x v="19"/>
    <n v="0"/>
    <x v="8"/>
    <d v="1899-12-30T00:38:00"/>
    <n v="7.36"/>
    <n v="12.997269099827946"/>
    <n v="5.42"/>
    <n v="8.5578947368420994"/>
    <n v="1"/>
    <n v="3.5509033363639442"/>
  </r>
  <r>
    <x v="116"/>
    <n v="0"/>
    <x v="19"/>
    <n v="5"/>
    <s v="MAI"/>
    <n v="0"/>
    <x v="19"/>
    <n v="0"/>
    <x v="8"/>
    <s v=""/>
    <n v="0"/>
    <n v="0"/>
    <n v="0"/>
    <n v="0"/>
    <n v="0"/>
    <n v="0"/>
  </r>
  <r>
    <x v="116"/>
    <n v="0"/>
    <x v="19"/>
    <n v="5"/>
    <s v="MAI"/>
    <n v="0"/>
    <x v="19"/>
    <n v="0"/>
    <x v="2"/>
    <s v=""/>
    <n v="0"/>
    <n v="0"/>
    <n v="0"/>
    <n v="0"/>
    <n v="0"/>
    <n v="0"/>
  </r>
  <r>
    <x v="116"/>
    <n v="0"/>
    <x v="19"/>
    <n v="5"/>
    <s v="MAI"/>
    <n v="0"/>
    <x v="19"/>
    <n v="0"/>
    <x v="2"/>
    <s v=""/>
    <n v="0"/>
    <n v="0"/>
    <n v="0"/>
    <n v="0"/>
    <n v="0"/>
    <n v="0"/>
  </r>
  <r>
    <x v="117"/>
    <s v="#LIKFG45X3 "/>
    <x v="19"/>
    <n v="5"/>
    <s v="MAI"/>
    <n v="0"/>
    <x v="19"/>
    <n v="0"/>
    <x v="8"/>
    <d v="1899-12-30T00:36:00"/>
    <n v="8.2899999999999991"/>
    <n v="14.639587070322508"/>
    <n v="5.72"/>
    <n v="9.533333333333367"/>
    <n v="1"/>
    <n v="3.7474478014763393"/>
  </r>
  <r>
    <x v="117"/>
    <n v="0"/>
    <x v="19"/>
    <n v="5"/>
    <s v="MAI"/>
    <n v="0"/>
    <x v="19"/>
    <n v="0"/>
    <x v="9"/>
    <s v=""/>
    <n v="0"/>
    <n v="0"/>
    <n v="0"/>
    <n v="0"/>
    <n v="0"/>
    <n v="0"/>
  </r>
  <r>
    <x v="117"/>
    <n v="0"/>
    <x v="19"/>
    <n v="5"/>
    <s v="MAI"/>
    <n v="0"/>
    <x v="19"/>
    <n v="0"/>
    <x v="2"/>
    <s v=""/>
    <n v="0"/>
    <n v="0"/>
    <n v="0"/>
    <n v="0"/>
    <n v="0"/>
    <n v="0"/>
  </r>
  <r>
    <x v="117"/>
    <n v="0"/>
    <x v="19"/>
    <n v="5"/>
    <s v="MAI"/>
    <n v="0"/>
    <x v="19"/>
    <n v="0"/>
    <x v="2"/>
    <s v=""/>
    <n v="0"/>
    <n v="0"/>
    <n v="0"/>
    <n v="0"/>
    <n v="0"/>
    <n v="0"/>
  </r>
  <r>
    <x v="118"/>
    <s v="#LIS8RLC5K "/>
    <x v="19"/>
    <n v="5"/>
    <s v="MAI"/>
    <n v="0"/>
    <x v="19"/>
    <n v="0"/>
    <x v="9"/>
    <d v="1899-12-30T00:24:00"/>
    <n v="4.7300000000000004"/>
    <n v="8.3528645166013842"/>
    <n v="3.15"/>
    <n v="7.8749999999999751"/>
    <n v="1"/>
    <n v="2.063716883680152"/>
  </r>
  <r>
    <x v="118"/>
    <n v="0"/>
    <x v="19"/>
    <n v="5"/>
    <s v="MAI"/>
    <n v="0"/>
    <x v="19"/>
    <n v="0"/>
    <x v="9"/>
    <s v=""/>
    <n v="0"/>
    <n v="0"/>
    <n v="0"/>
    <n v="0"/>
    <n v="0"/>
    <n v="0"/>
  </r>
  <r>
    <x v="118"/>
    <n v="0"/>
    <x v="19"/>
    <n v="5"/>
    <s v="MAI"/>
    <n v="0"/>
    <x v="19"/>
    <n v="0"/>
    <x v="2"/>
    <s v=""/>
    <n v="0"/>
    <n v="0"/>
    <n v="0"/>
    <n v="0"/>
    <n v="0"/>
    <n v="0"/>
  </r>
  <r>
    <x v="118"/>
    <n v="0"/>
    <x v="19"/>
    <n v="5"/>
    <s v="MAI"/>
    <n v="0"/>
    <x v="19"/>
    <n v="0"/>
    <x v="2"/>
    <s v=""/>
    <n v="0"/>
    <n v="0"/>
    <n v="0"/>
    <n v="0"/>
    <n v="0"/>
    <n v="0"/>
  </r>
  <r>
    <x v="119"/>
    <s v="#LIDP1NDVP "/>
    <x v="19"/>
    <n v="5"/>
    <s v="MAI"/>
    <n v="0"/>
    <x v="19"/>
    <n v="0"/>
    <x v="10"/>
    <d v="1899-12-30T00:56:00"/>
    <n v="8.82"/>
    <n v="15.575531720174251"/>
    <n v="5.04"/>
    <n v="5.3999999999999888"/>
    <n v="1"/>
    <n v="3.3019470138882432"/>
  </r>
  <r>
    <x v="119"/>
    <n v="0"/>
    <x v="19"/>
    <n v="5"/>
    <s v="MAI"/>
    <n v="0"/>
    <x v="19"/>
    <n v="0"/>
    <x v="12"/>
    <s v=""/>
    <n v="0"/>
    <n v="0"/>
    <n v="0"/>
    <n v="0"/>
    <n v="0"/>
    <n v="0"/>
  </r>
  <r>
    <x v="119"/>
    <n v="0"/>
    <x v="19"/>
    <n v="5"/>
    <s v="MAI"/>
    <n v="0"/>
    <x v="19"/>
    <n v="0"/>
    <x v="2"/>
    <s v=""/>
    <n v="0"/>
    <n v="0"/>
    <n v="0"/>
    <n v="0"/>
    <n v="0"/>
    <n v="0"/>
  </r>
  <r>
    <x v="119"/>
    <n v="0"/>
    <x v="19"/>
    <n v="5"/>
    <s v="MAI"/>
    <n v="0"/>
    <x v="19"/>
    <n v="0"/>
    <x v="2"/>
    <s v=""/>
    <n v="0"/>
    <n v="0"/>
    <n v="0"/>
    <n v="0"/>
    <n v="0"/>
    <n v="0"/>
  </r>
  <r>
    <x v="120"/>
    <s v="#LIC11AH8K "/>
    <x v="19"/>
    <n v="5"/>
    <s v="MAI"/>
    <n v="0"/>
    <x v="19"/>
    <n v="0"/>
    <x v="12"/>
    <d v="1899-12-30T00:03:00"/>
    <n v="2.97"/>
    <n v="5.2448219057729615"/>
    <n v="1.5"/>
    <n v="30.000000000000103"/>
    <n v="1"/>
    <n v="0.98272232556197714"/>
  </r>
  <r>
    <x v="120"/>
    <n v="0"/>
    <x v="19"/>
    <n v="5"/>
    <s v="MAI"/>
    <n v="0"/>
    <x v="19"/>
    <n v="0"/>
    <x v="12"/>
    <s v=""/>
    <n v="0"/>
    <n v="0"/>
    <n v="0"/>
    <n v="0"/>
    <n v="0"/>
    <n v="0"/>
  </r>
  <r>
    <x v="120"/>
    <n v="0"/>
    <x v="19"/>
    <n v="5"/>
    <s v="MAI"/>
    <n v="0"/>
    <x v="19"/>
    <n v="0"/>
    <x v="2"/>
    <s v=""/>
    <n v="0"/>
    <n v="0"/>
    <n v="0"/>
    <n v="0"/>
    <n v="0"/>
    <n v="0"/>
  </r>
  <r>
    <x v="120"/>
    <n v="0"/>
    <x v="19"/>
    <n v="5"/>
    <s v="MAI"/>
    <n v="0"/>
    <x v="19"/>
    <n v="0"/>
    <x v="2"/>
    <s v=""/>
    <n v="0"/>
    <n v="0"/>
    <n v="0"/>
    <n v="0"/>
    <n v="0"/>
    <n v="0"/>
  </r>
  <r>
    <x v="121"/>
    <s v="#LI7AGUGFM "/>
    <x v="19"/>
    <n v="5"/>
    <s v="MAI"/>
    <n v="0"/>
    <x v="19"/>
    <n v="0"/>
    <x v="12"/>
    <d v="1899-12-30T00:53:00"/>
    <n v="9.5"/>
    <n v="16.776366365267048"/>
    <n v="6.17"/>
    <n v="6.984905660377362"/>
    <n v="1"/>
    <n v="4.0422644991449328"/>
  </r>
  <r>
    <x v="121"/>
    <n v="0"/>
    <x v="19"/>
    <n v="5"/>
    <s v="MAI"/>
    <n v="0"/>
    <x v="19"/>
    <n v="0"/>
    <x v="12"/>
    <s v=""/>
    <n v="0"/>
    <n v="0"/>
    <n v="0"/>
    <n v="0"/>
    <n v="0"/>
    <n v="0"/>
  </r>
  <r>
    <x v="121"/>
    <n v="0"/>
    <x v="19"/>
    <n v="5"/>
    <s v="MAI"/>
    <n v="0"/>
    <x v="19"/>
    <n v="0"/>
    <x v="2"/>
    <s v=""/>
    <n v="0"/>
    <n v="0"/>
    <n v="0"/>
    <n v="0"/>
    <n v="0"/>
    <n v="0"/>
  </r>
  <r>
    <x v="121"/>
    <n v="0"/>
    <x v="19"/>
    <n v="5"/>
    <s v="MAI"/>
    <n v="0"/>
    <x v="19"/>
    <n v="0"/>
    <x v="2"/>
    <s v=""/>
    <n v="0"/>
    <n v="0"/>
    <n v="0"/>
    <n v="0"/>
    <n v="0"/>
    <n v="0"/>
  </r>
  <r>
    <x v="122"/>
    <s v="#LI2Q16V4R "/>
    <x v="19"/>
    <n v="5"/>
    <s v="MAI"/>
    <n v="0"/>
    <x v="19"/>
    <n v="0"/>
    <x v="1"/>
    <d v="1899-12-30T00:16:00"/>
    <n v="11.57"/>
    <n v="20.431848299593657"/>
    <n v="6.66"/>
    <n v="24.974999999999838"/>
    <n v="1"/>
    <n v="4.3632871254951784"/>
  </r>
  <r>
    <x v="122"/>
    <n v="0"/>
    <x v="19"/>
    <n v="5"/>
    <s v="MAI"/>
    <n v="0"/>
    <x v="19"/>
    <n v="0"/>
    <x v="1"/>
    <s v=""/>
    <n v="0"/>
    <n v="0"/>
    <n v="0"/>
    <n v="0"/>
    <n v="0"/>
    <n v="0"/>
  </r>
  <r>
    <x v="122"/>
    <n v="0"/>
    <x v="19"/>
    <n v="5"/>
    <s v="MAI"/>
    <n v="0"/>
    <x v="19"/>
    <n v="0"/>
    <x v="2"/>
    <s v=""/>
    <n v="0"/>
    <n v="0"/>
    <n v="0"/>
    <n v="0"/>
    <n v="0"/>
    <n v="0"/>
  </r>
  <r>
    <x v="122"/>
    <n v="0"/>
    <x v="19"/>
    <n v="5"/>
    <s v="MAI"/>
    <n v="0"/>
    <x v="19"/>
    <n v="0"/>
    <x v="2"/>
    <s v=""/>
    <n v="0"/>
    <n v="0"/>
    <n v="0"/>
    <n v="0"/>
    <n v="0"/>
    <n v="0"/>
  </r>
  <r>
    <x v="123"/>
    <s v="#LI9N5S32J "/>
    <x v="19"/>
    <n v="5"/>
    <s v="MAI"/>
    <n v="0"/>
    <x v="19"/>
    <n v="0"/>
    <x v="1"/>
    <d v="1899-12-30T00:30:00"/>
    <n v="5.55"/>
    <n v="9.8009298239191693"/>
    <n v="4.33"/>
    <n v="8.6599999999999842"/>
    <n v="1"/>
    <n v="2.8367917797889075"/>
  </r>
  <r>
    <x v="123"/>
    <n v="0"/>
    <x v="19"/>
    <n v="5"/>
    <s v="MAI"/>
    <n v="0"/>
    <x v="19"/>
    <n v="0"/>
    <x v="3"/>
    <s v=""/>
    <n v="0"/>
    <n v="0"/>
    <n v="0"/>
    <n v="0"/>
    <n v="0"/>
    <n v="0"/>
  </r>
  <r>
    <x v="123"/>
    <n v="0"/>
    <x v="19"/>
    <n v="5"/>
    <s v="MAI"/>
    <n v="0"/>
    <x v="19"/>
    <n v="0"/>
    <x v="2"/>
    <s v=""/>
    <n v="0"/>
    <n v="0"/>
    <n v="0"/>
    <n v="0"/>
    <n v="0"/>
    <n v="0"/>
  </r>
  <r>
    <x v="123"/>
    <n v="0"/>
    <x v="19"/>
    <n v="5"/>
    <s v="MAI"/>
    <n v="0"/>
    <x v="19"/>
    <n v="0"/>
    <x v="2"/>
    <s v=""/>
    <n v="0"/>
    <n v="0"/>
    <n v="0"/>
    <n v="0"/>
    <n v="0"/>
    <n v="0"/>
  </r>
  <r>
    <x v="124"/>
    <s v="#LIUY1TULF "/>
    <x v="19"/>
    <n v="5"/>
    <s v="MAI"/>
    <n v="0"/>
    <x v="19"/>
    <n v="0"/>
    <x v="3"/>
    <d v="1899-12-30T00:27:00"/>
    <n v="4.0599999999999996"/>
    <n v="7.1696892045246541"/>
    <n v="2.97"/>
    <n v="6.6000000000000236"/>
    <n v="1"/>
    <n v="1.9457902046127149"/>
  </r>
  <r>
    <x v="124"/>
    <n v="0"/>
    <x v="19"/>
    <n v="5"/>
    <s v="MAI"/>
    <n v="0"/>
    <x v="19"/>
    <n v="0"/>
    <x v="3"/>
    <s v=""/>
    <n v="0"/>
    <n v="0"/>
    <n v="0"/>
    <n v="0"/>
    <n v="0"/>
    <n v="0"/>
  </r>
  <r>
    <x v="124"/>
    <n v="0"/>
    <x v="19"/>
    <n v="5"/>
    <s v="MAI"/>
    <n v="0"/>
    <x v="19"/>
    <n v="0"/>
    <x v="2"/>
    <s v=""/>
    <n v="0"/>
    <n v="0"/>
    <n v="0"/>
    <n v="0"/>
    <n v="0"/>
    <n v="0"/>
  </r>
  <r>
    <x v="124"/>
    <n v="0"/>
    <x v="19"/>
    <n v="5"/>
    <s v="MAI"/>
    <n v="0"/>
    <x v="19"/>
    <n v="0"/>
    <x v="2"/>
    <s v=""/>
    <n v="0"/>
    <n v="0"/>
    <n v="0"/>
    <n v="0"/>
    <n v="0"/>
    <n v="0"/>
  </r>
  <r>
    <x v="125"/>
    <s v="#LILHZJWWL "/>
    <x v="19"/>
    <n v="5"/>
    <s v="MAI"/>
    <n v="0"/>
    <x v="19"/>
    <n v="0"/>
    <x v="3"/>
    <d v="1899-12-30T00:51:00"/>
    <n v="6.07"/>
    <n v="10.719215140754841"/>
    <n v="3.62"/>
    <n v="4.2588235294117665"/>
    <n v="1"/>
    <n v="2.3716365456895714"/>
  </r>
  <r>
    <x v="125"/>
    <n v="0"/>
    <x v="19"/>
    <n v="5"/>
    <s v="MAI"/>
    <n v="0"/>
    <x v="19"/>
    <n v="0"/>
    <x v="5"/>
    <s v=""/>
    <n v="0"/>
    <n v="0"/>
    <n v="0"/>
    <n v="0"/>
    <n v="0"/>
    <n v="0"/>
  </r>
  <r>
    <x v="125"/>
    <n v="0"/>
    <x v="19"/>
    <n v="5"/>
    <s v="MAI"/>
    <n v="0"/>
    <x v="19"/>
    <n v="0"/>
    <x v="2"/>
    <s v=""/>
    <n v="0"/>
    <n v="0"/>
    <n v="0"/>
    <n v="0"/>
    <n v="0"/>
    <n v="0"/>
  </r>
  <r>
    <x v="125"/>
    <n v="0"/>
    <x v="19"/>
    <n v="5"/>
    <s v="MAI"/>
    <n v="0"/>
    <x v="19"/>
    <n v="0"/>
    <x v="2"/>
    <s v=""/>
    <n v="0"/>
    <n v="0"/>
    <n v="0"/>
    <n v="0"/>
    <n v="0"/>
    <n v="0"/>
  </r>
  <r>
    <x v="126"/>
    <s v="#LIVR9ATZE "/>
    <x v="19"/>
    <n v="5"/>
    <s v="MAI"/>
    <n v="0"/>
    <x v="19"/>
    <n v="0"/>
    <x v="3"/>
    <d v="1899-12-30T00:34:00"/>
    <n v="6.56"/>
    <n v="11.584522458542299"/>
    <n v="3.91"/>
    <n v="6.8999999999999924"/>
    <n v="1"/>
    <n v="2.561629528631554"/>
  </r>
  <r>
    <x v="126"/>
    <n v="0"/>
    <x v="19"/>
    <n v="5"/>
    <s v="MAI"/>
    <n v="0"/>
    <x v="19"/>
    <n v="0"/>
    <x v="5"/>
    <s v=""/>
    <n v="0"/>
    <n v="0"/>
    <n v="0"/>
    <n v="0"/>
    <n v="0"/>
    <n v="0"/>
  </r>
  <r>
    <x v="126"/>
    <n v="0"/>
    <x v="19"/>
    <n v="5"/>
    <s v="MAI"/>
    <n v="0"/>
    <x v="19"/>
    <n v="0"/>
    <x v="2"/>
    <s v=""/>
    <n v="0"/>
    <n v="0"/>
    <n v="0"/>
    <n v="0"/>
    <n v="0"/>
    <n v="0"/>
  </r>
  <r>
    <x v="127"/>
    <s v="#LIJSK1NN9 "/>
    <x v="20"/>
    <n v="5"/>
    <s v="MAI"/>
    <s v="MAI"/>
    <x v="20"/>
    <n v="28"/>
    <x v="8"/>
    <d v="1899-12-30T00:38:00"/>
    <n v="4.72"/>
    <n v="8.3352051835853125"/>
    <n v="3.15"/>
    <n v="4.9736842105263124"/>
    <n v="1"/>
    <n v="2.063716883680152"/>
  </r>
  <r>
    <x v="127"/>
    <n v="0"/>
    <x v="20"/>
    <n v="5"/>
    <s v="MAI"/>
    <n v="0"/>
    <x v="20"/>
    <n v="0"/>
    <x v="9"/>
    <s v=""/>
    <n v="0"/>
    <n v="0"/>
    <n v="0"/>
    <n v="0"/>
    <n v="0"/>
    <n v="0"/>
  </r>
  <r>
    <x v="127"/>
    <n v="0"/>
    <x v="20"/>
    <n v="5"/>
    <s v="MAI"/>
    <n v="0"/>
    <x v="20"/>
    <n v="0"/>
    <x v="2"/>
    <s v=""/>
    <n v="0"/>
    <n v="0"/>
    <n v="0"/>
    <n v="0"/>
    <n v="0"/>
    <n v="0"/>
  </r>
  <r>
    <x v="127"/>
    <n v="0"/>
    <x v="20"/>
    <n v="5"/>
    <s v="MAI"/>
    <n v="0"/>
    <x v="20"/>
    <n v="0"/>
    <x v="2"/>
    <s v=""/>
    <n v="0"/>
    <n v="0"/>
    <n v="0"/>
    <n v="0"/>
    <n v="0"/>
    <n v="0"/>
  </r>
  <r>
    <x v="128"/>
    <s v="#LI9GMG76S "/>
    <x v="20"/>
    <n v="5"/>
    <s v="MAI"/>
    <n v="0"/>
    <x v="20"/>
    <n v="0"/>
    <x v="13"/>
    <d v="1899-12-30T00:41:00"/>
    <n v="4.43"/>
    <n v="7.8230845261192652"/>
    <n v="3.05"/>
    <n v="4.4634146341463401"/>
    <n v="1"/>
    <n v="1.9982020619760201"/>
  </r>
  <r>
    <x v="128"/>
    <n v="0"/>
    <x v="20"/>
    <n v="5"/>
    <s v="MAI"/>
    <n v="0"/>
    <x v="20"/>
    <n v="0"/>
    <x v="13"/>
    <s v=""/>
    <n v="0"/>
    <n v="0"/>
    <n v="0"/>
    <n v="0"/>
    <n v="0"/>
    <n v="0"/>
  </r>
  <r>
    <x v="128"/>
    <n v="0"/>
    <x v="20"/>
    <n v="5"/>
    <s v="MAI"/>
    <n v="0"/>
    <x v="20"/>
    <n v="0"/>
    <x v="2"/>
    <s v=""/>
    <n v="0"/>
    <n v="0"/>
    <n v="0"/>
    <n v="0"/>
    <n v="0"/>
    <n v="0"/>
  </r>
  <r>
    <x v="128"/>
    <n v="0"/>
    <x v="20"/>
    <n v="5"/>
    <s v="MAI"/>
    <n v="0"/>
    <x v="20"/>
    <n v="0"/>
    <x v="2"/>
    <s v=""/>
    <n v="0"/>
    <n v="0"/>
    <n v="0"/>
    <n v="0"/>
    <n v="0"/>
    <n v="0"/>
  </r>
  <r>
    <x v="129"/>
    <s v="#LIGEJ1L3M "/>
    <x v="20"/>
    <n v="5"/>
    <s v="MAI"/>
    <n v="0"/>
    <x v="20"/>
    <n v="0"/>
    <x v="14"/>
    <d v="1899-12-30T00:36:00"/>
    <n v="2.31"/>
    <n v="4.0793059267123031"/>
    <n v="2.2999999999999998"/>
    <n v="3.8333333333333468"/>
    <n v="1"/>
    <n v="1.5068408991950315"/>
  </r>
  <r>
    <x v="129"/>
    <n v="0"/>
    <x v="20"/>
    <n v="5"/>
    <s v="MAI"/>
    <n v="0"/>
    <x v="20"/>
    <n v="0"/>
    <x v="14"/>
    <s v=""/>
    <n v="0"/>
    <n v="0"/>
    <n v="0"/>
    <n v="0"/>
    <n v="0"/>
    <n v="0"/>
  </r>
  <r>
    <x v="129"/>
    <n v="0"/>
    <x v="20"/>
    <n v="5"/>
    <s v="MAI"/>
    <n v="0"/>
    <x v="20"/>
    <n v="0"/>
    <x v="2"/>
    <s v=""/>
    <n v="0"/>
    <n v="0"/>
    <n v="0"/>
    <n v="0"/>
    <n v="0"/>
    <n v="0"/>
  </r>
  <r>
    <x v="129"/>
    <n v="0"/>
    <x v="20"/>
    <n v="5"/>
    <s v="MAI"/>
    <n v="0"/>
    <x v="20"/>
    <n v="0"/>
    <x v="2"/>
    <s v=""/>
    <n v="0"/>
    <n v="0"/>
    <n v="0"/>
    <n v="0"/>
    <n v="0"/>
    <n v="0"/>
  </r>
  <r>
    <x v="130"/>
    <s v="#LIPSQD9SM "/>
    <x v="20"/>
    <n v="5"/>
    <s v="MAI"/>
    <n v="0"/>
    <x v="20"/>
    <n v="0"/>
    <x v="0"/>
    <d v="1899-12-30T00:21:00"/>
    <n v="3.02"/>
    <n v="5.3331185708533146"/>
    <n v="2.56"/>
    <n v="7.3142857142857958"/>
    <n v="1"/>
    <n v="1.6771794356257743"/>
  </r>
  <r>
    <x v="130"/>
    <n v="0"/>
    <x v="20"/>
    <n v="5"/>
    <s v="MAI"/>
    <n v="0"/>
    <x v="20"/>
    <n v="0"/>
    <x v="0"/>
    <s v=""/>
    <n v="0"/>
    <n v="0"/>
    <n v="0"/>
    <n v="0"/>
    <n v="0"/>
    <n v="0"/>
  </r>
  <r>
    <x v="130"/>
    <n v="0"/>
    <x v="20"/>
    <n v="5"/>
    <s v="MAI"/>
    <n v="0"/>
    <x v="20"/>
    <n v="0"/>
    <x v="2"/>
    <s v=""/>
    <n v="0"/>
    <n v="0"/>
    <n v="0"/>
    <n v="0"/>
    <n v="0"/>
    <n v="0"/>
  </r>
  <r>
    <x v="130"/>
    <n v="0"/>
    <x v="20"/>
    <n v="5"/>
    <s v="MAI"/>
    <n v="0"/>
    <x v="20"/>
    <n v="0"/>
    <x v="2"/>
    <s v=""/>
    <n v="0"/>
    <n v="0"/>
    <n v="0"/>
    <n v="0"/>
    <n v="0"/>
    <n v="0"/>
  </r>
  <r>
    <x v="131"/>
    <s v="#LIFT7UKD1 "/>
    <x v="20"/>
    <n v="5"/>
    <s v="MAI"/>
    <n v="0"/>
    <x v="20"/>
    <n v="0"/>
    <x v="0"/>
    <d v="1899-12-30T00:42:00"/>
    <n v="3.13"/>
    <n v="5.5273712340300909"/>
    <n v="2.59"/>
    <n v="3.7000000000000131"/>
    <n v="1"/>
    <n v="1.6968338821370137"/>
  </r>
  <r>
    <x v="131"/>
    <n v="0"/>
    <x v="20"/>
    <n v="5"/>
    <s v="MAI"/>
    <n v="0"/>
    <x v="20"/>
    <n v="0"/>
    <x v="1"/>
    <s v=""/>
    <n v="0"/>
    <n v="0"/>
    <n v="0"/>
    <n v="0"/>
    <n v="0"/>
    <n v="0"/>
  </r>
  <r>
    <x v="131"/>
    <n v="0"/>
    <x v="20"/>
    <n v="5"/>
    <s v="MAI"/>
    <n v="0"/>
    <x v="20"/>
    <n v="0"/>
    <x v="2"/>
    <s v=""/>
    <n v="0"/>
    <n v="0"/>
    <n v="0"/>
    <n v="0"/>
    <n v="0"/>
    <n v="0"/>
  </r>
  <r>
    <x v="131"/>
    <n v="0"/>
    <x v="20"/>
    <n v="5"/>
    <s v="MAI"/>
    <n v="0"/>
    <x v="20"/>
    <n v="0"/>
    <x v="2"/>
    <s v=""/>
    <n v="0"/>
    <n v="0"/>
    <n v="0"/>
    <n v="0"/>
    <n v="0"/>
    <n v="0"/>
  </r>
  <r>
    <x v="132"/>
    <s v="#LISLRCUME "/>
    <x v="20"/>
    <n v="5"/>
    <s v="MAI"/>
    <n v="0"/>
    <x v="20"/>
    <n v="0"/>
    <x v="1"/>
    <d v="1899-12-30T00:22:00"/>
    <n v="3"/>
    <n v="5.297799904821173"/>
    <n v="2.54"/>
    <n v="6.9272727272727534"/>
    <n v="1"/>
    <n v="1.6640764712849481"/>
  </r>
  <r>
    <x v="132"/>
    <n v="0"/>
    <x v="20"/>
    <n v="5"/>
    <s v="MAI"/>
    <n v="0"/>
    <x v="20"/>
    <n v="0"/>
    <x v="1"/>
    <s v=""/>
    <n v="0"/>
    <n v="0"/>
    <n v="0"/>
    <n v="0"/>
    <n v="0"/>
    <n v="0"/>
  </r>
  <r>
    <x v="132"/>
    <n v="0"/>
    <x v="20"/>
    <n v="5"/>
    <s v="MAI"/>
    <n v="0"/>
    <x v="20"/>
    <n v="0"/>
    <x v="2"/>
    <s v=""/>
    <n v="0"/>
    <n v="0"/>
    <n v="0"/>
    <n v="0"/>
    <n v="0"/>
    <n v="0"/>
  </r>
  <r>
    <x v="132"/>
    <n v="0"/>
    <x v="20"/>
    <n v="5"/>
    <s v="MAI"/>
    <n v="0"/>
    <x v="20"/>
    <n v="0"/>
    <x v="2"/>
    <s v=""/>
    <n v="0"/>
    <n v="0"/>
    <n v="0"/>
    <n v="0"/>
    <n v="0"/>
    <n v="0"/>
  </r>
  <r>
    <x v="133"/>
    <s v="#LIV3WP5TL "/>
    <x v="20"/>
    <n v="5"/>
    <s v="MAI"/>
    <n v="0"/>
    <x v="20"/>
    <n v="0"/>
    <x v="1"/>
    <d v="1899-12-30T00:38:00"/>
    <n v="2.3199999999999998"/>
    <n v="4.0969652597283739"/>
    <n v="3.1"/>
    <n v="4.8947368421052806"/>
    <n v="1"/>
    <n v="2.0309594728280862"/>
  </r>
  <r>
    <x v="133"/>
    <n v="0"/>
    <x v="20"/>
    <n v="5"/>
    <s v="MAI"/>
    <n v="0"/>
    <x v="20"/>
    <n v="0"/>
    <x v="3"/>
    <s v=""/>
    <n v="0"/>
    <n v="0"/>
    <n v="0"/>
    <n v="0"/>
    <n v="0"/>
    <n v="0"/>
  </r>
  <r>
    <x v="133"/>
    <n v="0"/>
    <x v="20"/>
    <n v="5"/>
    <s v="MAI"/>
    <n v="0"/>
    <x v="20"/>
    <n v="0"/>
    <x v="2"/>
    <s v=""/>
    <n v="0"/>
    <n v="0"/>
    <n v="0"/>
    <n v="0"/>
    <n v="0"/>
    <n v="0"/>
  </r>
  <r>
    <x v="133"/>
    <n v="0"/>
    <x v="20"/>
    <n v="5"/>
    <s v="MAI"/>
    <n v="0"/>
    <x v="20"/>
    <n v="0"/>
    <x v="2"/>
    <s v=""/>
    <n v="0"/>
    <n v="0"/>
    <n v="0"/>
    <n v="0"/>
    <n v="0"/>
    <n v="0"/>
  </r>
  <r>
    <x v="134"/>
    <s v="#LIDNZ19JN "/>
    <x v="20"/>
    <n v="5"/>
    <s v="MAI"/>
    <n v="0"/>
    <x v="20"/>
    <n v="0"/>
    <x v="3"/>
    <d v="1899-12-30T00:27:00"/>
    <n v="4.05"/>
    <n v="7.1520298715085833"/>
    <n v="2.91"/>
    <n v="6.4666666666666899"/>
    <n v="1"/>
    <n v="1.9064813115902357"/>
  </r>
  <r>
    <x v="134"/>
    <n v="0"/>
    <x v="20"/>
    <n v="5"/>
    <s v="MAI"/>
    <n v="0"/>
    <x v="20"/>
    <n v="0"/>
    <x v="3"/>
    <s v=""/>
    <n v="0"/>
    <n v="0"/>
    <n v="0"/>
    <n v="0"/>
    <n v="0"/>
    <n v="0"/>
  </r>
  <r>
    <x v="134"/>
    <n v="0"/>
    <x v="20"/>
    <n v="5"/>
    <s v="MAI"/>
    <n v="0"/>
    <x v="20"/>
    <n v="0"/>
    <x v="2"/>
    <s v=""/>
    <n v="0"/>
    <n v="0"/>
    <n v="0"/>
    <n v="0"/>
    <n v="0"/>
    <n v="0"/>
  </r>
  <r>
    <x v="134"/>
    <n v="0"/>
    <x v="20"/>
    <n v="5"/>
    <s v="MAI"/>
    <n v="0"/>
    <x v="20"/>
    <n v="0"/>
    <x v="2"/>
    <s v=""/>
    <n v="0"/>
    <n v="0"/>
    <n v="0"/>
    <n v="0"/>
    <n v="0"/>
    <n v="0"/>
  </r>
  <r>
    <x v="135"/>
    <s v="#LICWH2RHW "/>
    <x v="20"/>
    <n v="5"/>
    <s v="MAI"/>
    <n v="0"/>
    <x v="20"/>
    <n v="0"/>
    <x v="5"/>
    <d v="1899-12-30T00:43:00"/>
    <n v="14.53"/>
    <n v="25.659010872350549"/>
    <n v="7.3"/>
    <n v="10.186046511627943"/>
    <n v="1"/>
    <n v="4.782581984401622"/>
  </r>
  <r>
    <x v="135"/>
    <n v="0"/>
    <x v="20"/>
    <n v="5"/>
    <s v="MAI"/>
    <n v="0"/>
    <x v="20"/>
    <n v="0"/>
    <x v="5"/>
    <s v=""/>
    <n v="0"/>
    <n v="0"/>
    <n v="0"/>
    <n v="0"/>
    <n v="0"/>
    <n v="0"/>
  </r>
  <r>
    <x v="135"/>
    <n v="0"/>
    <x v="20"/>
    <n v="5"/>
    <s v="MAI"/>
    <n v="0"/>
    <x v="20"/>
    <n v="0"/>
    <x v="2"/>
    <s v=""/>
    <n v="0"/>
    <n v="0"/>
    <n v="0"/>
    <n v="0"/>
    <n v="0"/>
    <n v="0"/>
  </r>
  <r>
    <x v="136"/>
    <s v="#LI1LFUAUJ "/>
    <x v="21"/>
    <n v="5"/>
    <s v="MAI"/>
    <s v="MAI"/>
    <x v="21"/>
    <n v="29"/>
    <x v="7"/>
    <d v="1899-12-30T00:31:00"/>
    <n v="2.57"/>
    <n v="4.5384485851301379"/>
    <n v="2.4"/>
    <n v="4.645161290322573"/>
    <n v="1"/>
    <n v="1.5723557208991634"/>
  </r>
  <r>
    <x v="136"/>
    <n v="0"/>
    <x v="21"/>
    <n v="5"/>
    <s v="MAI"/>
    <n v="0"/>
    <x v="21"/>
    <n v="0"/>
    <x v="7"/>
    <s v=""/>
    <n v="0"/>
    <n v="0"/>
    <n v="0"/>
    <n v="0"/>
    <n v="0"/>
    <n v="0"/>
  </r>
  <r>
    <x v="136"/>
    <n v="0"/>
    <x v="21"/>
    <n v="5"/>
    <s v="MAI"/>
    <n v="0"/>
    <x v="21"/>
    <n v="0"/>
    <x v="2"/>
    <s v=""/>
    <n v="0"/>
    <n v="0"/>
    <n v="0"/>
    <n v="0"/>
    <n v="0"/>
    <n v="0"/>
  </r>
  <r>
    <x v="136"/>
    <n v="0"/>
    <x v="21"/>
    <n v="5"/>
    <s v="MAI"/>
    <n v="0"/>
    <x v="21"/>
    <n v="0"/>
    <x v="2"/>
    <s v=""/>
    <n v="0"/>
    <n v="0"/>
    <n v="0"/>
    <n v="0"/>
    <n v="0"/>
    <n v="0"/>
  </r>
  <r>
    <x v="137"/>
    <s v="#LI28XH6J1 "/>
    <x v="21"/>
    <n v="5"/>
    <s v="MAI"/>
    <n v="0"/>
    <x v="21"/>
    <n v="0"/>
    <x v="7"/>
    <d v="1899-12-30T00:32:00"/>
    <n v="3.54"/>
    <n v="6.2514038876889844"/>
    <n v="2.73"/>
    <n v="5.1187499999999924"/>
    <n v="1"/>
    <n v="1.7885546325227983"/>
  </r>
  <r>
    <x v="137"/>
    <n v="0"/>
    <x v="21"/>
    <n v="5"/>
    <s v="MAI"/>
    <n v="0"/>
    <x v="21"/>
    <n v="0"/>
    <x v="8"/>
    <s v=""/>
    <n v="0"/>
    <n v="0"/>
    <n v="0"/>
    <n v="0"/>
    <n v="0"/>
    <n v="0"/>
  </r>
  <r>
    <x v="137"/>
    <n v="0"/>
    <x v="21"/>
    <n v="5"/>
    <s v="MAI"/>
    <n v="0"/>
    <x v="21"/>
    <n v="0"/>
    <x v="2"/>
    <s v=""/>
    <n v="0"/>
    <n v="0"/>
    <n v="0"/>
    <n v="0"/>
    <n v="0"/>
    <n v="0"/>
  </r>
  <r>
    <x v="137"/>
    <n v="0"/>
    <x v="21"/>
    <n v="5"/>
    <s v="MAI"/>
    <n v="0"/>
    <x v="21"/>
    <n v="0"/>
    <x v="2"/>
    <s v=""/>
    <n v="0"/>
    <n v="0"/>
    <n v="0"/>
    <n v="0"/>
    <n v="0"/>
    <n v="0"/>
  </r>
  <r>
    <x v="138"/>
    <s v="#LIHJWWDRK "/>
    <x v="21"/>
    <n v="5"/>
    <s v="MAI"/>
    <n v="0"/>
    <x v="21"/>
    <n v="0"/>
    <x v="8"/>
    <d v="1899-12-30T00:28:00"/>
    <n v="2.9"/>
    <n v="5.1212065746604676"/>
    <n v="2.5099999999999998"/>
    <n v="5.3785714285714477"/>
    <n v="1"/>
    <n v="1.6444220247737082"/>
  </r>
  <r>
    <x v="138"/>
    <n v="0"/>
    <x v="21"/>
    <n v="5"/>
    <s v="MAI"/>
    <n v="0"/>
    <x v="21"/>
    <n v="0"/>
    <x v="8"/>
    <s v=""/>
    <n v="0"/>
    <n v="0"/>
    <n v="0"/>
    <n v="0"/>
    <n v="0"/>
    <n v="0"/>
  </r>
  <r>
    <x v="138"/>
    <n v="0"/>
    <x v="21"/>
    <n v="5"/>
    <s v="MAI"/>
    <n v="0"/>
    <x v="21"/>
    <n v="0"/>
    <x v="2"/>
    <s v=""/>
    <n v="0"/>
    <n v="0"/>
    <n v="0"/>
    <n v="0"/>
    <n v="0"/>
    <n v="0"/>
  </r>
  <r>
    <x v="138"/>
    <n v="0"/>
    <x v="21"/>
    <n v="5"/>
    <s v="MAI"/>
    <n v="0"/>
    <x v="21"/>
    <n v="0"/>
    <x v="2"/>
    <s v=""/>
    <n v="0"/>
    <n v="0"/>
    <n v="0"/>
    <n v="0"/>
    <n v="0"/>
    <n v="0"/>
  </r>
  <r>
    <x v="139"/>
    <s v="#LILYXFPXW "/>
    <x v="21"/>
    <n v="5"/>
    <s v="MAI"/>
    <n v="0"/>
    <x v="21"/>
    <n v="0"/>
    <x v="0"/>
    <d v="1899-12-30T00:57:00"/>
    <n v="6.93"/>
    <n v="12.237917780136909"/>
    <n v="3.92"/>
    <n v="4.1263157894736642"/>
    <n v="1"/>
    <n v="2.5681810108019669"/>
  </r>
  <r>
    <x v="139"/>
    <n v="0"/>
    <x v="21"/>
    <n v="5"/>
    <s v="MAI"/>
    <n v="0"/>
    <x v="21"/>
    <n v="0"/>
    <x v="1"/>
    <s v=""/>
    <n v="0"/>
    <n v="0"/>
    <n v="0"/>
    <n v="0"/>
    <n v="0"/>
    <n v="0"/>
  </r>
  <r>
    <x v="139"/>
    <n v="0"/>
    <x v="21"/>
    <n v="5"/>
    <s v="MAI"/>
    <n v="0"/>
    <x v="21"/>
    <n v="0"/>
    <x v="2"/>
    <s v=""/>
    <n v="0"/>
    <n v="0"/>
    <n v="0"/>
    <n v="0"/>
    <n v="0"/>
    <n v="0"/>
  </r>
  <r>
    <x v="139"/>
    <n v="0"/>
    <x v="21"/>
    <n v="5"/>
    <s v="MAI"/>
    <n v="0"/>
    <x v="21"/>
    <n v="0"/>
    <x v="2"/>
    <s v=""/>
    <n v="0"/>
    <n v="0"/>
    <n v="0"/>
    <n v="0"/>
    <n v="0"/>
    <n v="0"/>
  </r>
  <r>
    <x v="140"/>
    <s v="#LIGGEUDV3 "/>
    <x v="21"/>
    <n v="5"/>
    <s v="MAI"/>
    <n v="0"/>
    <x v="21"/>
    <n v="0"/>
    <x v="1"/>
    <d v="1899-12-30T00:33:00"/>
    <n v="4.21"/>
    <n v="7.4345791997657127"/>
    <n v="3.27"/>
    <n v="5.9454545454545951"/>
    <n v="1"/>
    <n v="2.14233466972511"/>
  </r>
  <r>
    <x v="140"/>
    <n v="0"/>
    <x v="21"/>
    <n v="5"/>
    <s v="MAI"/>
    <n v="0"/>
    <x v="21"/>
    <n v="0"/>
    <x v="1"/>
    <s v=""/>
    <n v="0"/>
    <n v="0"/>
    <n v="0"/>
    <n v="0"/>
    <n v="0"/>
    <n v="0"/>
  </r>
  <r>
    <x v="140"/>
    <n v="0"/>
    <x v="21"/>
    <n v="5"/>
    <s v="MAI"/>
    <n v="0"/>
    <x v="21"/>
    <n v="0"/>
    <x v="2"/>
    <s v=""/>
    <n v="0"/>
    <n v="0"/>
    <n v="0"/>
    <n v="0"/>
    <n v="0"/>
    <n v="0"/>
  </r>
  <r>
    <x v="140"/>
    <n v="0"/>
    <x v="21"/>
    <n v="5"/>
    <s v="MAI"/>
    <n v="0"/>
    <x v="21"/>
    <n v="0"/>
    <x v="2"/>
    <s v=""/>
    <n v="0"/>
    <n v="0"/>
    <n v="0"/>
    <n v="0"/>
    <n v="0"/>
    <n v="0"/>
  </r>
  <r>
    <x v="141"/>
    <s v="#LI5NCRWZT "/>
    <x v="21"/>
    <n v="5"/>
    <s v="MAI"/>
    <n v="0"/>
    <x v="21"/>
    <n v="0"/>
    <x v="3"/>
    <d v="1899-12-30T00:34:00"/>
    <n v="12.34"/>
    <n v="21.791616941831091"/>
    <n v="6.13"/>
    <n v="10.817647058823518"/>
    <n v="1"/>
    <n v="4.0160585704632794"/>
  </r>
  <r>
    <x v="141"/>
    <n v="0"/>
    <x v="21"/>
    <n v="5"/>
    <s v="MAI"/>
    <n v="0"/>
    <x v="21"/>
    <n v="0"/>
    <x v="5"/>
    <s v=""/>
    <n v="0"/>
    <n v="0"/>
    <n v="0"/>
    <n v="0"/>
    <n v="0"/>
    <n v="0"/>
  </r>
  <r>
    <x v="141"/>
    <n v="0"/>
    <x v="21"/>
    <n v="5"/>
    <s v="MAI"/>
    <n v="0"/>
    <x v="21"/>
    <n v="0"/>
    <x v="2"/>
    <s v=""/>
    <n v="0"/>
    <n v="0"/>
    <n v="0"/>
    <n v="0"/>
    <n v="0"/>
    <n v="0"/>
  </r>
  <r>
    <x v="142"/>
    <s v="#LIL2LC8WQ "/>
    <x v="22"/>
    <n v="5"/>
    <s v="MAI"/>
    <s v="MAI"/>
    <x v="22"/>
    <n v="30"/>
    <x v="7"/>
    <d v="1899-12-30T00:40:00"/>
    <n v="7.28"/>
    <n v="12.855994435699381"/>
    <n v="4.04"/>
    <n v="6.0599999999999969"/>
    <n v="1"/>
    <n v="2.6467987968469253"/>
  </r>
  <r>
    <x v="142"/>
    <n v="0"/>
    <x v="22"/>
    <n v="5"/>
    <s v="MAI"/>
    <n v="0"/>
    <x v="22"/>
    <n v="0"/>
    <x v="7"/>
    <s v=""/>
    <n v="0"/>
    <n v="0"/>
    <n v="0"/>
    <n v="0"/>
    <n v="0"/>
    <n v="0"/>
  </r>
  <r>
    <x v="142"/>
    <n v="0"/>
    <x v="22"/>
    <n v="5"/>
    <s v="MAI"/>
    <n v="0"/>
    <x v="22"/>
    <n v="0"/>
    <x v="2"/>
    <s v=""/>
    <n v="0"/>
    <n v="0"/>
    <n v="0"/>
    <n v="0"/>
    <n v="0"/>
    <n v="0"/>
  </r>
  <r>
    <x v="142"/>
    <n v="0"/>
    <x v="22"/>
    <n v="5"/>
    <s v="MAI"/>
    <n v="0"/>
    <x v="22"/>
    <n v="0"/>
    <x v="2"/>
    <s v=""/>
    <n v="0"/>
    <n v="0"/>
    <n v="0"/>
    <n v="0"/>
    <n v="0"/>
    <n v="0"/>
  </r>
  <r>
    <x v="143"/>
    <s v="#LIEV1PAUV "/>
    <x v="22"/>
    <n v="5"/>
    <s v="MAI"/>
    <n v="0"/>
    <x v="22"/>
    <n v="0"/>
    <x v="7"/>
    <d v="1899-12-30T00:23:00"/>
    <n v="5.23"/>
    <n v="9.2358311674049123"/>
    <n v="4.32"/>
    <n v="11.269565217391348"/>
    <n v="1"/>
    <n v="2.8302402976184942"/>
  </r>
  <r>
    <x v="143"/>
    <n v="0"/>
    <x v="22"/>
    <n v="5"/>
    <s v="MAI"/>
    <n v="0"/>
    <x v="22"/>
    <n v="0"/>
    <x v="8"/>
    <s v=""/>
    <n v="0"/>
    <n v="0"/>
    <n v="0"/>
    <n v="0"/>
    <n v="0"/>
    <n v="0"/>
  </r>
  <r>
    <x v="143"/>
    <n v="0"/>
    <x v="22"/>
    <n v="5"/>
    <s v="MAI"/>
    <n v="0"/>
    <x v="22"/>
    <n v="0"/>
    <x v="2"/>
    <s v=""/>
    <n v="0"/>
    <n v="0"/>
    <n v="0"/>
    <n v="0"/>
    <n v="0"/>
    <n v="0"/>
  </r>
  <r>
    <x v="143"/>
    <n v="0"/>
    <x v="22"/>
    <n v="5"/>
    <s v="MAI"/>
    <n v="0"/>
    <x v="22"/>
    <n v="0"/>
    <x v="2"/>
    <s v=""/>
    <n v="0"/>
    <n v="0"/>
    <n v="0"/>
    <n v="0"/>
    <n v="0"/>
    <n v="0"/>
  </r>
  <r>
    <x v="144"/>
    <s v="#LIA4FV9AQ "/>
    <x v="22"/>
    <n v="5"/>
    <s v="MAI"/>
    <n v="0"/>
    <x v="22"/>
    <n v="0"/>
    <x v="8"/>
    <d v="1899-12-30T00:27:00"/>
    <n v="3.81"/>
    <n v="6.72820587912289"/>
    <n v="2.83"/>
    <n v="6.2888888888888745"/>
    <n v="1"/>
    <n v="1.8540694542269303"/>
  </r>
  <r>
    <x v="144"/>
    <n v="0"/>
    <x v="22"/>
    <n v="5"/>
    <s v="MAI"/>
    <n v="0"/>
    <x v="22"/>
    <n v="0"/>
    <x v="8"/>
    <s v=""/>
    <n v="0"/>
    <n v="0"/>
    <n v="0"/>
    <n v="0"/>
    <n v="0"/>
    <n v="0"/>
  </r>
  <r>
    <x v="144"/>
    <n v="0"/>
    <x v="22"/>
    <n v="5"/>
    <s v="MAI"/>
    <n v="0"/>
    <x v="22"/>
    <n v="0"/>
    <x v="2"/>
    <s v=""/>
    <n v="0"/>
    <n v="0"/>
    <n v="0"/>
    <n v="0"/>
    <n v="0"/>
    <n v="0"/>
  </r>
  <r>
    <x v="144"/>
    <n v="0"/>
    <x v="22"/>
    <n v="5"/>
    <s v="MAI"/>
    <n v="0"/>
    <x v="22"/>
    <n v="0"/>
    <x v="2"/>
    <s v=""/>
    <n v="0"/>
    <n v="0"/>
    <n v="0"/>
    <n v="0"/>
    <n v="0"/>
    <n v="0"/>
  </r>
  <r>
    <x v="145"/>
    <s v="#LIUDVJDU4 "/>
    <x v="22"/>
    <n v="5"/>
    <s v="MAI"/>
    <n v="0"/>
    <x v="22"/>
    <n v="0"/>
    <x v="8"/>
    <d v="1899-12-30T00:34:00"/>
    <n v="6.79"/>
    <n v="11.990687117911921"/>
    <n v="3.87"/>
    <n v="6.829411764705875"/>
    <n v="1"/>
    <n v="2.5354235999499011"/>
  </r>
  <r>
    <x v="145"/>
    <n v="0"/>
    <x v="22"/>
    <n v="5"/>
    <s v="MAI"/>
    <n v="0"/>
    <x v="22"/>
    <n v="0"/>
    <x v="9"/>
    <s v=""/>
    <n v="0"/>
    <n v="0"/>
    <n v="0"/>
    <n v="0"/>
    <n v="0"/>
    <n v="0"/>
  </r>
  <r>
    <x v="145"/>
    <n v="0"/>
    <x v="22"/>
    <n v="5"/>
    <s v="MAI"/>
    <n v="0"/>
    <x v="22"/>
    <n v="0"/>
    <x v="2"/>
    <s v=""/>
    <n v="0"/>
    <n v="0"/>
    <n v="0"/>
    <n v="0"/>
    <n v="0"/>
    <n v="0"/>
  </r>
  <r>
    <x v="145"/>
    <n v="0"/>
    <x v="22"/>
    <n v="5"/>
    <s v="MAI"/>
    <n v="0"/>
    <x v="22"/>
    <n v="0"/>
    <x v="2"/>
    <s v=""/>
    <n v="0"/>
    <n v="0"/>
    <n v="0"/>
    <n v="0"/>
    <n v="0"/>
    <n v="0"/>
  </r>
  <r>
    <x v="146"/>
    <s v="#LIBNSL1MN "/>
    <x v="22"/>
    <n v="5"/>
    <s v="MAI"/>
    <n v="0"/>
    <x v="22"/>
    <n v="0"/>
    <x v="9"/>
    <d v="1899-12-30T00:40:00"/>
    <n v="5.42"/>
    <n v="9.5713584947102532"/>
    <n v="3.39"/>
    <n v="5.0850000000000186"/>
    <n v="1"/>
    <n v="2.2209524557700684"/>
  </r>
  <r>
    <x v="146"/>
    <n v="0"/>
    <x v="22"/>
    <n v="5"/>
    <s v="MAI"/>
    <n v="0"/>
    <x v="22"/>
    <n v="0"/>
    <x v="9"/>
    <s v=""/>
    <n v="0"/>
    <n v="0"/>
    <n v="0"/>
    <n v="0"/>
    <n v="0"/>
    <n v="0"/>
  </r>
  <r>
    <x v="146"/>
    <n v="0"/>
    <x v="22"/>
    <n v="5"/>
    <s v="MAI"/>
    <n v="0"/>
    <x v="22"/>
    <n v="0"/>
    <x v="2"/>
    <s v=""/>
    <n v="0"/>
    <n v="0"/>
    <n v="0"/>
    <n v="0"/>
    <n v="0"/>
    <n v="0"/>
  </r>
  <r>
    <x v="146"/>
    <n v="0"/>
    <x v="22"/>
    <n v="5"/>
    <s v="MAI"/>
    <n v="0"/>
    <x v="22"/>
    <n v="0"/>
    <x v="2"/>
    <s v=""/>
    <n v="0"/>
    <n v="0"/>
    <n v="0"/>
    <n v="0"/>
    <n v="0"/>
    <n v="0"/>
  </r>
  <r>
    <x v="147"/>
    <s v="#LIVTHPDHY "/>
    <x v="22"/>
    <n v="5"/>
    <s v="MAI"/>
    <n v="0"/>
    <x v="22"/>
    <n v="0"/>
    <x v="0"/>
    <d v="1899-12-30T00:26:00"/>
    <n v="4.09"/>
    <n v="7.2226672035728656"/>
    <n v="2.98"/>
    <n v="6.8769230769231013"/>
    <n v="1"/>
    <n v="1.9523416867831278"/>
  </r>
  <r>
    <x v="147"/>
    <n v="0"/>
    <x v="22"/>
    <n v="5"/>
    <s v="MAI"/>
    <n v="0"/>
    <x v="22"/>
    <n v="0"/>
    <x v="0"/>
    <s v=""/>
    <n v="0"/>
    <n v="0"/>
    <n v="0"/>
    <n v="0"/>
    <n v="0"/>
    <n v="0"/>
  </r>
  <r>
    <x v="147"/>
    <n v="0"/>
    <x v="22"/>
    <n v="5"/>
    <s v="MAI"/>
    <n v="0"/>
    <x v="22"/>
    <n v="0"/>
    <x v="2"/>
    <s v=""/>
    <n v="0"/>
    <n v="0"/>
    <n v="0"/>
    <n v="0"/>
    <n v="0"/>
    <n v="0"/>
  </r>
  <r>
    <x v="147"/>
    <n v="0"/>
    <x v="22"/>
    <n v="5"/>
    <s v="MAI"/>
    <n v="0"/>
    <x v="22"/>
    <n v="0"/>
    <x v="2"/>
    <s v=""/>
    <n v="0"/>
    <n v="0"/>
    <n v="0"/>
    <n v="0"/>
    <n v="0"/>
    <n v="0"/>
  </r>
  <r>
    <x v="148"/>
    <s v="#LIW8MG1AF "/>
    <x v="22"/>
    <n v="5"/>
    <s v="MAI"/>
    <n v="0"/>
    <x v="22"/>
    <n v="0"/>
    <x v="0"/>
    <d v="1899-12-30T00:46:00"/>
    <n v="6.52"/>
    <n v="11.513885126478016"/>
    <n v="3.78"/>
    <n v="4.9304347826086952"/>
    <n v="1"/>
    <n v="2.4764602604161823"/>
  </r>
  <r>
    <x v="148"/>
    <n v="0"/>
    <x v="22"/>
    <n v="5"/>
    <s v="MAI"/>
    <n v="0"/>
    <x v="22"/>
    <n v="0"/>
    <x v="1"/>
    <s v=""/>
    <n v="0"/>
    <n v="0"/>
    <n v="0"/>
    <n v="0"/>
    <n v="0"/>
    <n v="0"/>
  </r>
  <r>
    <x v="148"/>
    <n v="0"/>
    <x v="22"/>
    <n v="5"/>
    <s v="MAI"/>
    <n v="0"/>
    <x v="22"/>
    <n v="0"/>
    <x v="2"/>
    <s v=""/>
    <n v="0"/>
    <n v="0"/>
    <n v="0"/>
    <n v="0"/>
    <n v="0"/>
    <n v="0"/>
  </r>
  <r>
    <x v="148"/>
    <n v="0"/>
    <x v="22"/>
    <n v="5"/>
    <s v="MAI"/>
    <n v="0"/>
    <x v="22"/>
    <n v="0"/>
    <x v="2"/>
    <s v=""/>
    <n v="0"/>
    <n v="0"/>
    <n v="0"/>
    <n v="0"/>
    <n v="0"/>
    <n v="0"/>
  </r>
  <r>
    <x v="149"/>
    <s v="#LIJJ4HGLV "/>
    <x v="22"/>
    <n v="5"/>
    <s v="MAI"/>
    <n v="0"/>
    <x v="22"/>
    <n v="0"/>
    <x v="1"/>
    <d v="1899-12-30T00:50:00"/>
    <n v="17.43"/>
    <n v="30.780217447011015"/>
    <n v="8.91"/>
    <n v="10.69199999999997"/>
    <n v="1"/>
    <n v="5.8373706138381447"/>
  </r>
  <r>
    <x v="149"/>
    <n v="0"/>
    <x v="22"/>
    <n v="5"/>
    <s v="MAI"/>
    <n v="0"/>
    <x v="22"/>
    <n v="0"/>
    <x v="3"/>
    <s v=""/>
    <n v="0"/>
    <n v="0"/>
    <n v="0"/>
    <n v="0"/>
    <n v="0"/>
    <n v="0"/>
  </r>
  <r>
    <x v="149"/>
    <n v="0"/>
    <x v="22"/>
    <n v="5"/>
    <s v="MAI"/>
    <n v="0"/>
    <x v="22"/>
    <n v="0"/>
    <x v="2"/>
    <s v=""/>
    <n v="0"/>
    <n v="0"/>
    <n v="0"/>
    <n v="0"/>
    <n v="0"/>
    <n v="0"/>
  </r>
  <r>
    <x v="149"/>
    <n v="0"/>
    <x v="22"/>
    <n v="5"/>
    <s v="MAI"/>
    <n v="0"/>
    <x v="22"/>
    <n v="0"/>
    <x v="2"/>
    <s v=""/>
    <n v="0"/>
    <n v="0"/>
    <n v="0"/>
    <n v="0"/>
    <n v="0"/>
    <n v="0"/>
  </r>
  <r>
    <x v="150"/>
    <s v="#LIUAHR5F1 "/>
    <x v="22"/>
    <n v="5"/>
    <s v="MAI"/>
    <n v="0"/>
    <x v="22"/>
    <n v="0"/>
    <x v="5"/>
    <d v="1899-12-30T00:10:00"/>
    <n v="2.92"/>
    <n v="5.1565252406926083"/>
    <n v="2.52"/>
    <n v="15.120000000000296"/>
    <n v="1"/>
    <n v="1.6509735069441216"/>
  </r>
  <r>
    <x v="150"/>
    <n v="0"/>
    <x v="22"/>
    <n v="5"/>
    <s v="MAI"/>
    <n v="0"/>
    <x v="22"/>
    <n v="0"/>
    <x v="5"/>
    <s v=""/>
    <n v="0"/>
    <n v="0"/>
    <n v="0"/>
    <n v="0"/>
    <n v="0"/>
    <n v="0"/>
  </r>
  <r>
    <x v="150"/>
    <n v="0"/>
    <x v="22"/>
    <n v="5"/>
    <s v="MAI"/>
    <n v="0"/>
    <x v="22"/>
    <n v="0"/>
    <x v="2"/>
    <s v=""/>
    <n v="0"/>
    <n v="0"/>
    <n v="0"/>
    <n v="0"/>
    <n v="0"/>
    <n v="0"/>
  </r>
  <r>
    <x v="150"/>
    <n v="0"/>
    <x v="22"/>
    <n v="5"/>
    <s v="MAI"/>
    <n v="0"/>
    <x v="22"/>
    <n v="0"/>
    <x v="2"/>
    <s v=""/>
    <n v="0"/>
    <n v="0"/>
    <n v="0"/>
    <n v="0"/>
    <n v="0"/>
    <n v="0"/>
  </r>
  <r>
    <x v="151"/>
    <s v="#LIVFTHRQT "/>
    <x v="22"/>
    <n v="5"/>
    <s v="MAI"/>
    <n v="0"/>
    <x v="22"/>
    <n v="0"/>
    <x v="5"/>
    <d v="1899-12-30T00:36:00"/>
    <n v="11.11"/>
    <n v="19.619518980854412"/>
    <n v="6.46"/>
    <n v="10.766666666666609"/>
    <n v="1"/>
    <n v="4.232257482086915"/>
  </r>
  <r>
    <x v="151"/>
    <n v="0"/>
    <x v="22"/>
    <n v="5"/>
    <s v="MAI"/>
    <n v="0"/>
    <x v="22"/>
    <n v="0"/>
    <x v="5"/>
    <s v=""/>
    <n v="0"/>
    <n v="0"/>
    <n v="0"/>
    <n v="0"/>
    <n v="0"/>
    <n v="0"/>
  </r>
  <r>
    <x v="151"/>
    <n v="0"/>
    <x v="22"/>
    <n v="5"/>
    <s v="MAI"/>
    <n v="0"/>
    <x v="22"/>
    <n v="0"/>
    <x v="2"/>
    <s v=""/>
    <n v="0"/>
    <n v="0"/>
    <n v="0"/>
    <n v="0"/>
    <n v="0"/>
    <n v="0"/>
  </r>
  <r>
    <x v="151"/>
    <n v="0"/>
    <x v="22"/>
    <n v="5"/>
    <s v="MAI"/>
    <n v="0"/>
    <x v="22"/>
    <n v="0"/>
    <x v="2"/>
    <s v=""/>
    <n v="0"/>
    <n v="0"/>
    <n v="0"/>
    <n v="0"/>
    <n v="0"/>
    <n v="0"/>
  </r>
  <r>
    <x v="152"/>
    <s v="#LILK1C1J4 "/>
    <x v="22"/>
    <n v="5"/>
    <s v="MAI"/>
    <n v="0"/>
    <x v="22"/>
    <n v="0"/>
    <x v="5"/>
    <d v="1899-12-30T00:36:00"/>
    <n v="15.25"/>
    <n v="26.93048284950763"/>
    <n v="7.85"/>
    <n v="13.083333333333321"/>
    <n v="1"/>
    <n v="5.1429135037743468"/>
  </r>
  <r>
    <x v="152"/>
    <n v="0"/>
    <x v="22"/>
    <n v="5"/>
    <s v="MAI"/>
    <n v="0"/>
    <x v="22"/>
    <n v="0"/>
    <x v="4"/>
    <s v=""/>
    <n v="0"/>
    <n v="0"/>
    <n v="0"/>
    <n v="0"/>
    <n v="0"/>
    <n v="0"/>
  </r>
  <r>
    <x v="152"/>
    <n v="0"/>
    <x v="22"/>
    <n v="5"/>
    <s v="MAI"/>
    <n v="0"/>
    <x v="22"/>
    <n v="0"/>
    <x v="2"/>
    <s v=""/>
    <n v="0"/>
    <n v="0"/>
    <n v="0"/>
    <n v="0"/>
    <n v="0"/>
    <n v="0"/>
  </r>
  <r>
    <x v="153"/>
    <s v="#LIL47E3ZX "/>
    <x v="23"/>
    <n v="6"/>
    <s v="JUN"/>
    <s v="JUN"/>
    <x v="23"/>
    <n v="1"/>
    <x v="11"/>
    <d v="1899-12-30T00:48:00"/>
    <n v="3.87"/>
    <n v="6.834161877219314"/>
    <n v="3.32"/>
    <n v="4.1500000000000004"/>
    <n v="1"/>
    <n v="2.1750920805771758"/>
  </r>
  <r>
    <x v="153"/>
    <n v="0"/>
    <x v="23"/>
    <n v="6"/>
    <s v="JUN"/>
    <n v="0"/>
    <x v="23"/>
    <n v="0"/>
    <x v="11"/>
    <s v=""/>
    <n v="0"/>
    <n v="0"/>
    <n v="0"/>
    <n v="0"/>
    <n v="0"/>
    <n v="0"/>
  </r>
  <r>
    <x v="153"/>
    <n v="0"/>
    <x v="23"/>
    <n v="6"/>
    <s v="JUN"/>
    <n v="0"/>
    <x v="23"/>
    <n v="0"/>
    <x v="2"/>
    <s v=""/>
    <n v="0"/>
    <n v="0"/>
    <n v="0"/>
    <n v="0"/>
    <n v="0"/>
    <n v="0"/>
  </r>
  <r>
    <x v="153"/>
    <n v="0"/>
    <x v="23"/>
    <n v="6"/>
    <s v="JUN"/>
    <n v="0"/>
    <x v="23"/>
    <n v="0"/>
    <x v="2"/>
    <s v=""/>
    <n v="0"/>
    <n v="0"/>
    <n v="0"/>
    <n v="0"/>
    <n v="0"/>
    <n v="0"/>
  </r>
  <r>
    <x v="154"/>
    <s v="#LIEL7LQAZ "/>
    <x v="23"/>
    <n v="6"/>
    <s v="JUN"/>
    <n v="0"/>
    <x v="23"/>
    <n v="0"/>
    <x v="7"/>
    <d v="1899-12-30T00:26:00"/>
    <n v="3.9"/>
    <n v="6.8871398762675247"/>
    <n v="2.93"/>
    <n v="6.7615384615384864"/>
    <n v="1"/>
    <n v="1.9195842759310622"/>
  </r>
  <r>
    <x v="154"/>
    <n v="0"/>
    <x v="23"/>
    <n v="6"/>
    <s v="JUN"/>
    <n v="0"/>
    <x v="23"/>
    <n v="0"/>
    <x v="7"/>
    <s v=""/>
    <n v="0"/>
    <n v="0"/>
    <n v="0"/>
    <n v="0"/>
    <n v="0"/>
    <n v="0"/>
  </r>
  <r>
    <x v="154"/>
    <n v="0"/>
    <x v="23"/>
    <n v="6"/>
    <s v="JUN"/>
    <n v="0"/>
    <x v="23"/>
    <n v="0"/>
    <x v="2"/>
    <s v=""/>
    <n v="0"/>
    <n v="0"/>
    <n v="0"/>
    <n v="0"/>
    <n v="0"/>
    <n v="0"/>
  </r>
  <r>
    <x v="154"/>
    <n v="0"/>
    <x v="23"/>
    <n v="6"/>
    <s v="JUN"/>
    <n v="0"/>
    <x v="23"/>
    <n v="0"/>
    <x v="2"/>
    <s v=""/>
    <n v="0"/>
    <n v="0"/>
    <n v="0"/>
    <n v="0"/>
    <n v="0"/>
    <n v="0"/>
  </r>
  <r>
    <x v="155"/>
    <s v="#LIB3MBFVS "/>
    <x v="23"/>
    <n v="6"/>
    <s v="JUN"/>
    <n v="0"/>
    <x v="23"/>
    <n v="0"/>
    <x v="7"/>
    <d v="1899-12-30T00:51:00"/>
    <n v="7.98"/>
    <n v="14.092147746824322"/>
    <n v="5.05"/>
    <n v="5.9411764705882373"/>
    <n v="1"/>
    <n v="3.3084984960586561"/>
  </r>
  <r>
    <x v="155"/>
    <n v="0"/>
    <x v="23"/>
    <n v="6"/>
    <s v="JUN"/>
    <n v="0"/>
    <x v="23"/>
    <n v="0"/>
    <x v="8"/>
    <s v=""/>
    <n v="0"/>
    <n v="0"/>
    <n v="0"/>
    <n v="0"/>
    <n v="0"/>
    <n v="0"/>
  </r>
  <r>
    <x v="155"/>
    <n v="0"/>
    <x v="23"/>
    <n v="6"/>
    <s v="JUN"/>
    <n v="0"/>
    <x v="23"/>
    <n v="0"/>
    <x v="2"/>
    <s v=""/>
    <n v="0"/>
    <n v="0"/>
    <n v="0"/>
    <n v="0"/>
    <n v="0"/>
    <n v="0"/>
  </r>
  <r>
    <x v="155"/>
    <n v="0"/>
    <x v="23"/>
    <n v="6"/>
    <s v="JUN"/>
    <n v="0"/>
    <x v="23"/>
    <n v="0"/>
    <x v="2"/>
    <s v=""/>
    <n v="0"/>
    <n v="0"/>
    <n v="0"/>
    <n v="0"/>
    <n v="0"/>
    <n v="0"/>
  </r>
  <r>
    <x v="156"/>
    <s v="#LIFR26H9Y "/>
    <x v="23"/>
    <n v="6"/>
    <s v="JUN"/>
    <n v="0"/>
    <x v="23"/>
    <n v="0"/>
    <x v="8"/>
    <d v="1899-12-30T00:42:00"/>
    <n v="5.66"/>
    <n v="9.9951824870959474"/>
    <n v="3.47"/>
    <n v="4.9571428571428573"/>
    <n v="1"/>
    <n v="2.2733643131333738"/>
  </r>
  <r>
    <x v="156"/>
    <n v="0"/>
    <x v="23"/>
    <n v="6"/>
    <s v="JUN"/>
    <n v="0"/>
    <x v="23"/>
    <n v="0"/>
    <x v="9"/>
    <s v=""/>
    <n v="0"/>
    <n v="0"/>
    <n v="0"/>
    <n v="0"/>
    <n v="0"/>
    <n v="0"/>
  </r>
  <r>
    <x v="156"/>
    <n v="0"/>
    <x v="23"/>
    <n v="6"/>
    <s v="JUN"/>
    <n v="0"/>
    <x v="23"/>
    <n v="0"/>
    <x v="2"/>
    <s v=""/>
    <n v="0"/>
    <n v="0"/>
    <n v="0"/>
    <n v="0"/>
    <n v="0"/>
    <n v="0"/>
  </r>
  <r>
    <x v="156"/>
    <n v="0"/>
    <x v="23"/>
    <n v="6"/>
    <s v="JUN"/>
    <n v="0"/>
    <x v="23"/>
    <n v="0"/>
    <x v="2"/>
    <s v=""/>
    <n v="0"/>
    <n v="0"/>
    <n v="0"/>
    <n v="0"/>
    <n v="0"/>
    <n v="0"/>
  </r>
  <r>
    <x v="157"/>
    <s v="#LISVLV2VP "/>
    <x v="23"/>
    <n v="6"/>
    <s v="JUN"/>
    <n v="0"/>
    <x v="23"/>
    <n v="0"/>
    <x v="9"/>
    <d v="1899-12-30T00:29:00"/>
    <n v="1.61"/>
    <n v="2.8431526155873632"/>
    <n v="2.06"/>
    <n v="4.2620689655172335"/>
    <n v="1"/>
    <n v="1.3496053271051154"/>
  </r>
  <r>
    <x v="157"/>
    <n v="0"/>
    <x v="23"/>
    <n v="6"/>
    <s v="JUN"/>
    <n v="0"/>
    <x v="23"/>
    <n v="0"/>
    <x v="9"/>
    <s v=""/>
    <n v="0"/>
    <n v="0"/>
    <n v="0"/>
    <n v="0"/>
    <n v="0"/>
    <n v="0"/>
  </r>
  <r>
    <x v="157"/>
    <n v="0"/>
    <x v="23"/>
    <n v="6"/>
    <s v="JUN"/>
    <n v="0"/>
    <x v="23"/>
    <n v="0"/>
    <x v="2"/>
    <s v=""/>
    <n v="0"/>
    <n v="0"/>
    <n v="0"/>
    <n v="0"/>
    <n v="0"/>
    <n v="0"/>
  </r>
  <r>
    <x v="157"/>
    <n v="0"/>
    <x v="23"/>
    <n v="6"/>
    <s v="JUN"/>
    <n v="0"/>
    <x v="23"/>
    <n v="0"/>
    <x v="2"/>
    <s v=""/>
    <n v="0"/>
    <n v="0"/>
    <n v="0"/>
    <n v="0"/>
    <n v="0"/>
    <n v="0"/>
  </r>
  <r>
    <x v="158"/>
    <s v="#LINVPVKD1 "/>
    <x v="23"/>
    <n v="6"/>
    <s v="JUN"/>
    <n v="0"/>
    <x v="23"/>
    <n v="0"/>
    <x v="9"/>
    <d v="1899-12-30T00:52:00"/>
    <n v="9.5"/>
    <n v="16.776366365267048"/>
    <n v="4.82"/>
    <n v="5.5615384615384471"/>
    <n v="1"/>
    <n v="3.1578144061391535"/>
  </r>
  <r>
    <x v="158"/>
    <n v="0"/>
    <x v="23"/>
    <n v="6"/>
    <s v="JUN"/>
    <n v="0"/>
    <x v="23"/>
    <n v="0"/>
    <x v="10"/>
    <s v=""/>
    <n v="0"/>
    <n v="0"/>
    <n v="0"/>
    <n v="0"/>
    <n v="0"/>
    <n v="0"/>
  </r>
  <r>
    <x v="158"/>
    <n v="0"/>
    <x v="23"/>
    <n v="6"/>
    <s v="JUN"/>
    <n v="0"/>
    <x v="23"/>
    <n v="0"/>
    <x v="2"/>
    <s v=""/>
    <n v="0"/>
    <n v="0"/>
    <n v="0"/>
    <n v="0"/>
    <n v="0"/>
    <n v="0"/>
  </r>
  <r>
    <x v="158"/>
    <n v="0"/>
    <x v="23"/>
    <n v="6"/>
    <s v="JUN"/>
    <n v="0"/>
    <x v="23"/>
    <n v="0"/>
    <x v="2"/>
    <s v=""/>
    <n v="0"/>
    <n v="0"/>
    <n v="0"/>
    <n v="0"/>
    <n v="0"/>
    <n v="0"/>
  </r>
  <r>
    <x v="159"/>
    <s v="#LIQHJFXR6 "/>
    <x v="23"/>
    <n v="6"/>
    <s v="JUN"/>
    <n v="0"/>
    <x v="23"/>
    <n v="0"/>
    <x v="0"/>
    <d v="1899-12-30T00:30:00"/>
    <n v="7.65"/>
    <n v="13.509389757293992"/>
    <n v="4.17"/>
    <n v="8.3400000000000301"/>
    <n v="1"/>
    <n v="2.7319680650622966"/>
  </r>
  <r>
    <x v="159"/>
    <n v="0"/>
    <x v="23"/>
    <n v="6"/>
    <s v="JUN"/>
    <n v="0"/>
    <x v="23"/>
    <n v="0"/>
    <x v="1"/>
    <s v=""/>
    <n v="0"/>
    <n v="0"/>
    <n v="0"/>
    <n v="0"/>
    <n v="0"/>
    <n v="0"/>
  </r>
  <r>
    <x v="159"/>
    <n v="0"/>
    <x v="23"/>
    <n v="6"/>
    <s v="JUN"/>
    <n v="0"/>
    <x v="23"/>
    <n v="0"/>
    <x v="2"/>
    <s v=""/>
    <n v="0"/>
    <n v="0"/>
    <n v="0"/>
    <n v="0"/>
    <n v="0"/>
    <n v="0"/>
  </r>
  <r>
    <x v="159"/>
    <n v="0"/>
    <x v="23"/>
    <n v="6"/>
    <s v="JUN"/>
    <n v="0"/>
    <x v="23"/>
    <n v="0"/>
    <x v="2"/>
    <s v=""/>
    <n v="0"/>
    <n v="0"/>
    <n v="0"/>
    <n v="0"/>
    <n v="0"/>
    <n v="0"/>
  </r>
  <r>
    <x v="160"/>
    <s v="#LIQG28ALL "/>
    <x v="23"/>
    <n v="6"/>
    <s v="JUN"/>
    <n v="0"/>
    <x v="23"/>
    <n v="0"/>
    <x v="1"/>
    <d v="1899-12-30T00:43:00"/>
    <n v="5.93"/>
    <n v="10.471984478529851"/>
    <n v="4.68"/>
    <n v="6.5302325581395095"/>
    <n v="1"/>
    <n v="3.0660936557533685"/>
  </r>
  <r>
    <x v="160"/>
    <n v="0"/>
    <x v="23"/>
    <n v="6"/>
    <s v="JUN"/>
    <n v="0"/>
    <x v="23"/>
    <n v="0"/>
    <x v="3"/>
    <s v=""/>
    <n v="0"/>
    <n v="0"/>
    <n v="0"/>
    <n v="0"/>
    <n v="0"/>
    <n v="0"/>
  </r>
  <r>
    <x v="160"/>
    <n v="0"/>
    <x v="23"/>
    <n v="6"/>
    <s v="JUN"/>
    <n v="0"/>
    <x v="23"/>
    <n v="0"/>
    <x v="2"/>
    <s v=""/>
    <n v="0"/>
    <n v="0"/>
    <n v="0"/>
    <n v="0"/>
    <n v="0"/>
    <n v="0"/>
  </r>
  <r>
    <x v="160"/>
    <n v="0"/>
    <x v="23"/>
    <n v="6"/>
    <s v="JUN"/>
    <n v="0"/>
    <x v="23"/>
    <n v="0"/>
    <x v="2"/>
    <s v=""/>
    <n v="0"/>
    <n v="0"/>
    <n v="0"/>
    <n v="0"/>
    <n v="0"/>
    <n v="0"/>
  </r>
  <r>
    <x v="161"/>
    <s v="#LIAAWA9K2 "/>
    <x v="23"/>
    <n v="6"/>
    <s v="JUN"/>
    <n v="0"/>
    <x v="23"/>
    <n v="0"/>
    <x v="3"/>
    <d v="1899-12-30T00:17:00"/>
    <n v="3.65"/>
    <n v="6.4456565508657606"/>
    <n v="2.77"/>
    <n v="9.7764705882353287"/>
    <n v="1"/>
    <n v="1.8147605612044511"/>
  </r>
  <r>
    <x v="161"/>
    <n v="0"/>
    <x v="23"/>
    <n v="6"/>
    <s v="JUN"/>
    <n v="0"/>
    <x v="23"/>
    <n v="0"/>
    <x v="3"/>
    <s v=""/>
    <n v="0"/>
    <n v="0"/>
    <n v="0"/>
    <n v="0"/>
    <n v="0"/>
    <n v="0"/>
  </r>
  <r>
    <x v="161"/>
    <n v="0"/>
    <x v="23"/>
    <n v="6"/>
    <s v="JUN"/>
    <n v="0"/>
    <x v="23"/>
    <n v="0"/>
    <x v="2"/>
    <s v=""/>
    <n v="0"/>
    <n v="0"/>
    <n v="0"/>
    <n v="0"/>
    <n v="0"/>
    <n v="0"/>
  </r>
  <r>
    <x v="161"/>
    <n v="0"/>
    <x v="23"/>
    <n v="6"/>
    <s v="JUN"/>
    <n v="0"/>
    <x v="23"/>
    <n v="0"/>
    <x v="2"/>
    <s v=""/>
    <n v="0"/>
    <n v="0"/>
    <n v="0"/>
    <n v="0"/>
    <n v="0"/>
    <n v="0"/>
  </r>
  <r>
    <x v="162"/>
    <s v="#LIB4EE11L "/>
    <x v="23"/>
    <n v="6"/>
    <s v="JUN"/>
    <n v="0"/>
    <x v="23"/>
    <n v="0"/>
    <x v="3"/>
    <d v="1899-12-30T00:30:00"/>
    <n v="5.44"/>
    <n v="9.6066771607423949"/>
    <n v="3.4"/>
    <n v="6.8000000000000238"/>
    <n v="1"/>
    <n v="2.2275039379404813"/>
  </r>
  <r>
    <x v="162"/>
    <n v="0"/>
    <x v="23"/>
    <n v="6"/>
    <s v="JUN"/>
    <n v="0"/>
    <x v="23"/>
    <n v="0"/>
    <x v="5"/>
    <s v=""/>
    <n v="0"/>
    <n v="0"/>
    <n v="0"/>
    <n v="0"/>
    <n v="0"/>
    <n v="0"/>
  </r>
  <r>
    <x v="162"/>
    <n v="0"/>
    <x v="23"/>
    <n v="6"/>
    <s v="JUN"/>
    <n v="0"/>
    <x v="23"/>
    <n v="0"/>
    <x v="2"/>
    <s v=""/>
    <n v="0"/>
    <n v="0"/>
    <n v="0"/>
    <n v="0"/>
    <n v="0"/>
    <n v="0"/>
  </r>
  <r>
    <x v="162"/>
    <n v="0"/>
    <x v="23"/>
    <n v="6"/>
    <s v="JUN"/>
    <n v="0"/>
    <x v="23"/>
    <n v="0"/>
    <x v="2"/>
    <s v=""/>
    <n v="0"/>
    <n v="0"/>
    <n v="0"/>
    <n v="0"/>
    <n v="0"/>
    <n v="0"/>
  </r>
  <r>
    <x v="163"/>
    <s v="#LICCMWWWZ "/>
    <x v="23"/>
    <n v="6"/>
    <s v="JUN"/>
    <n v="0"/>
    <x v="23"/>
    <n v="0"/>
    <x v="5"/>
    <d v="1899-12-30T00:36:00"/>
    <n v="3.4"/>
    <n v="6.0041732254639966"/>
    <n v="2.68"/>
    <n v="4.4666666666666632"/>
    <n v="1"/>
    <n v="1.7557972216707325"/>
  </r>
  <r>
    <x v="163"/>
    <n v="0"/>
    <x v="23"/>
    <n v="6"/>
    <s v="JUN"/>
    <n v="0"/>
    <x v="23"/>
    <n v="0"/>
    <x v="4"/>
    <s v=""/>
    <n v="0"/>
    <n v="0"/>
    <n v="0"/>
    <n v="0"/>
    <n v="0"/>
    <n v="0"/>
  </r>
  <r>
    <x v="163"/>
    <n v="0"/>
    <x v="23"/>
    <n v="6"/>
    <s v="JUN"/>
    <n v="0"/>
    <x v="23"/>
    <n v="0"/>
    <x v="2"/>
    <s v=""/>
    <n v="0"/>
    <n v="0"/>
    <n v="0"/>
    <n v="0"/>
    <n v="0"/>
    <n v="0"/>
  </r>
  <r>
    <x v="163"/>
    <n v="0"/>
    <x v="23"/>
    <n v="6"/>
    <s v="JUN"/>
    <n v="0"/>
    <x v="23"/>
    <n v="0"/>
    <x v="2"/>
    <s v=""/>
    <n v="0"/>
    <n v="0"/>
    <n v="0"/>
    <n v="0"/>
    <n v="0"/>
    <n v="0"/>
  </r>
  <r>
    <x v="164"/>
    <s v="#LIRTBPKJK "/>
    <x v="23"/>
    <n v="6"/>
    <s v="JUN"/>
    <n v="0"/>
    <x v="23"/>
    <n v="0"/>
    <x v="4"/>
    <d v="1899-12-30T00:31:00"/>
    <n v="3.82"/>
    <n v="6.74586521213896"/>
    <n v="2.83"/>
    <n v="5.4774193548387009"/>
    <n v="1"/>
    <n v="1.8540694542269303"/>
  </r>
  <r>
    <x v="164"/>
    <n v="0"/>
    <x v="23"/>
    <n v="6"/>
    <s v="JUN"/>
    <n v="0"/>
    <x v="23"/>
    <n v="0"/>
    <x v="4"/>
    <s v=""/>
    <n v="0"/>
    <n v="0"/>
    <n v="0"/>
    <n v="0"/>
    <n v="0"/>
    <n v="0"/>
  </r>
  <r>
    <x v="164"/>
    <n v="0"/>
    <x v="23"/>
    <n v="6"/>
    <s v="JUN"/>
    <n v="0"/>
    <x v="23"/>
    <n v="0"/>
    <x v="2"/>
    <s v=""/>
    <n v="0"/>
    <n v="0"/>
    <n v="0"/>
    <n v="0"/>
    <n v="0"/>
    <n v="0"/>
  </r>
  <r>
    <x v="165"/>
    <s v="#LISJHTJKW "/>
    <x v="24"/>
    <n v="6"/>
    <s v="JUN"/>
    <s v="JUN"/>
    <x v="24"/>
    <n v="2"/>
    <x v="6"/>
    <d v="1899-12-30T00:41:00"/>
    <n v="2.69"/>
    <n v="4.750360581322985"/>
    <n v="2.44"/>
    <n v="3.570731707317079"/>
    <n v="1"/>
    <n v="1.5985616495808161"/>
  </r>
  <r>
    <x v="165"/>
    <n v="0"/>
    <x v="24"/>
    <n v="6"/>
    <s v="JUN"/>
    <n v="0"/>
    <x v="24"/>
    <n v="0"/>
    <x v="6"/>
    <s v=""/>
    <n v="0"/>
    <n v="0"/>
    <n v="0"/>
    <n v="0"/>
    <n v="0"/>
    <n v="0"/>
  </r>
  <r>
    <x v="165"/>
    <n v="0"/>
    <x v="24"/>
    <n v="6"/>
    <s v="JUN"/>
    <n v="0"/>
    <x v="24"/>
    <n v="0"/>
    <x v="2"/>
    <s v=""/>
    <n v="0"/>
    <n v="0"/>
    <n v="0"/>
    <n v="0"/>
    <n v="0"/>
    <n v="0"/>
  </r>
  <r>
    <x v="165"/>
    <n v="0"/>
    <x v="24"/>
    <n v="6"/>
    <s v="JUN"/>
    <n v="0"/>
    <x v="24"/>
    <n v="0"/>
    <x v="2"/>
    <s v=""/>
    <n v="0"/>
    <n v="0"/>
    <n v="0"/>
    <n v="0"/>
    <n v="0"/>
    <n v="0"/>
  </r>
  <r>
    <x v="166"/>
    <s v="#LIT81SXWM "/>
    <x v="24"/>
    <n v="6"/>
    <s v="JUN"/>
    <n v="0"/>
    <x v="24"/>
    <n v="0"/>
    <x v="6"/>
    <d v="1899-12-30T00:49:00"/>
    <n v="5.33"/>
    <n v="9.4124244975656186"/>
    <n v="3.36"/>
    <n v="4.1142857142857157"/>
    <n v="1"/>
    <n v="2.2012980092588288"/>
  </r>
  <r>
    <x v="166"/>
    <n v="0"/>
    <x v="24"/>
    <n v="6"/>
    <s v="JUN"/>
    <n v="0"/>
    <x v="24"/>
    <n v="0"/>
    <x v="7"/>
    <s v=""/>
    <n v="0"/>
    <n v="0"/>
    <n v="0"/>
    <n v="0"/>
    <n v="0"/>
    <n v="0"/>
  </r>
  <r>
    <x v="166"/>
    <n v="0"/>
    <x v="24"/>
    <n v="6"/>
    <s v="JUN"/>
    <n v="0"/>
    <x v="24"/>
    <n v="0"/>
    <x v="2"/>
    <s v=""/>
    <n v="0"/>
    <n v="0"/>
    <n v="0"/>
    <n v="0"/>
    <n v="0"/>
    <n v="0"/>
  </r>
  <r>
    <x v="166"/>
    <n v="0"/>
    <x v="24"/>
    <n v="6"/>
    <s v="JUN"/>
    <n v="0"/>
    <x v="24"/>
    <n v="0"/>
    <x v="2"/>
    <s v=""/>
    <n v="0"/>
    <n v="0"/>
    <n v="0"/>
    <n v="0"/>
    <n v="0"/>
    <n v="0"/>
  </r>
  <r>
    <x v="167"/>
    <s v="#LIART713T "/>
    <x v="24"/>
    <n v="6"/>
    <s v="JUN"/>
    <n v="0"/>
    <x v="24"/>
    <n v="0"/>
    <x v="7"/>
    <d v="1899-12-30T00:53:00"/>
    <n v="5.24"/>
    <n v="9.2534905004209822"/>
    <n v="3.33"/>
    <n v="3.769811320754719"/>
    <n v="1"/>
    <n v="2.1816435627475892"/>
  </r>
  <r>
    <x v="167"/>
    <n v="0"/>
    <x v="24"/>
    <n v="6"/>
    <s v="JUN"/>
    <n v="0"/>
    <x v="24"/>
    <n v="0"/>
    <x v="8"/>
    <s v=""/>
    <n v="0"/>
    <n v="0"/>
    <n v="0"/>
    <n v="0"/>
    <n v="0"/>
    <n v="0"/>
  </r>
  <r>
    <x v="167"/>
    <n v="0"/>
    <x v="24"/>
    <n v="6"/>
    <s v="JUN"/>
    <n v="0"/>
    <x v="24"/>
    <n v="0"/>
    <x v="2"/>
    <s v=""/>
    <n v="0"/>
    <n v="0"/>
    <n v="0"/>
    <n v="0"/>
    <n v="0"/>
    <n v="0"/>
  </r>
  <r>
    <x v="167"/>
    <n v="0"/>
    <x v="24"/>
    <n v="6"/>
    <s v="JUN"/>
    <n v="0"/>
    <x v="24"/>
    <n v="0"/>
    <x v="2"/>
    <s v=""/>
    <n v="0"/>
    <n v="0"/>
    <n v="0"/>
    <n v="0"/>
    <n v="0"/>
    <n v="0"/>
  </r>
  <r>
    <x v="168"/>
    <s v="#LIJ5DHYF4 "/>
    <x v="24"/>
    <n v="6"/>
    <s v="JUN"/>
    <n v="0"/>
    <x v="24"/>
    <n v="0"/>
    <x v="8"/>
    <d v="1899-12-30T00:22:00"/>
    <n v="8.9"/>
    <n v="15.716806384302815"/>
    <n v="4.6100000000000003"/>
    <n v="12.572727272727224"/>
    <n v="1"/>
    <n v="3.0202332805604768"/>
  </r>
  <r>
    <x v="168"/>
    <n v="0"/>
    <x v="24"/>
    <n v="6"/>
    <s v="JUN"/>
    <n v="0"/>
    <x v="24"/>
    <n v="0"/>
    <x v="8"/>
    <s v=""/>
    <n v="0"/>
    <n v="0"/>
    <n v="0"/>
    <n v="0"/>
    <n v="0"/>
    <n v="0"/>
  </r>
  <r>
    <x v="168"/>
    <n v="0"/>
    <x v="24"/>
    <n v="6"/>
    <s v="JUN"/>
    <n v="0"/>
    <x v="24"/>
    <n v="0"/>
    <x v="2"/>
    <s v=""/>
    <n v="0"/>
    <n v="0"/>
    <n v="0"/>
    <n v="0"/>
    <n v="0"/>
    <n v="0"/>
  </r>
  <r>
    <x v="168"/>
    <n v="0"/>
    <x v="24"/>
    <n v="6"/>
    <s v="JUN"/>
    <n v="0"/>
    <x v="24"/>
    <n v="0"/>
    <x v="2"/>
    <s v=""/>
    <n v="0"/>
    <n v="0"/>
    <n v="0"/>
    <n v="0"/>
    <n v="0"/>
    <n v="0"/>
  </r>
  <r>
    <x v="169"/>
    <s v="#LIACWA1ZL "/>
    <x v="24"/>
    <n v="6"/>
    <s v="JUN"/>
    <n v="0"/>
    <x v="24"/>
    <n v="0"/>
    <x v="8"/>
    <d v="1899-12-30T00:21:00"/>
    <n v="5.38"/>
    <n v="9.50072116264597"/>
    <n v="3.38"/>
    <n v="9.6571428571428903"/>
    <n v="1"/>
    <n v="2.214400973599655"/>
  </r>
  <r>
    <x v="169"/>
    <n v="0"/>
    <x v="24"/>
    <n v="6"/>
    <s v="JUN"/>
    <n v="0"/>
    <x v="24"/>
    <n v="0"/>
    <x v="9"/>
    <s v=""/>
    <n v="0"/>
    <n v="0"/>
    <n v="0"/>
    <n v="0"/>
    <n v="0"/>
    <n v="0"/>
  </r>
  <r>
    <x v="169"/>
    <n v="0"/>
    <x v="24"/>
    <n v="6"/>
    <s v="JUN"/>
    <n v="0"/>
    <x v="24"/>
    <n v="0"/>
    <x v="2"/>
    <s v=""/>
    <n v="0"/>
    <n v="0"/>
    <n v="0"/>
    <n v="0"/>
    <n v="0"/>
    <n v="0"/>
  </r>
  <r>
    <x v="169"/>
    <n v="0"/>
    <x v="24"/>
    <n v="6"/>
    <s v="JUN"/>
    <n v="0"/>
    <x v="24"/>
    <n v="0"/>
    <x v="2"/>
    <s v=""/>
    <n v="0"/>
    <n v="0"/>
    <n v="0"/>
    <n v="0"/>
    <n v="0"/>
    <n v="0"/>
  </r>
  <r>
    <x v="170"/>
    <s v="#LI2XL9EGD "/>
    <x v="24"/>
    <n v="6"/>
    <s v="JUN"/>
    <n v="0"/>
    <x v="24"/>
    <n v="0"/>
    <x v="9"/>
    <d v="1899-12-30T00:33:00"/>
    <n v="2.11"/>
    <n v="3.7261192663908917"/>
    <n v="2.5499999999999998"/>
    <n v="4.6363636363636305"/>
    <n v="1"/>
    <n v="1.670627953455361"/>
  </r>
  <r>
    <x v="170"/>
    <n v="0"/>
    <x v="24"/>
    <n v="6"/>
    <s v="JUN"/>
    <n v="0"/>
    <x v="24"/>
    <n v="0"/>
    <x v="10"/>
    <s v=""/>
    <n v="0"/>
    <n v="0"/>
    <n v="0"/>
    <n v="0"/>
    <n v="0"/>
    <n v="0"/>
  </r>
  <r>
    <x v="170"/>
    <n v="0"/>
    <x v="24"/>
    <n v="6"/>
    <s v="JUN"/>
    <n v="0"/>
    <x v="24"/>
    <n v="0"/>
    <x v="2"/>
    <s v=""/>
    <n v="0"/>
    <n v="0"/>
    <n v="0"/>
    <n v="0"/>
    <n v="0"/>
    <n v="0"/>
  </r>
  <r>
    <x v="170"/>
    <n v="0"/>
    <x v="24"/>
    <n v="6"/>
    <s v="JUN"/>
    <n v="0"/>
    <x v="24"/>
    <n v="0"/>
    <x v="2"/>
    <s v=""/>
    <n v="0"/>
    <n v="0"/>
    <n v="0"/>
    <n v="0"/>
    <n v="0"/>
    <n v="0"/>
  </r>
  <r>
    <x v="171"/>
    <s v="#LI2VF1TTS "/>
    <x v="24"/>
    <n v="6"/>
    <s v="JUN"/>
    <n v="0"/>
    <x v="24"/>
    <n v="0"/>
    <x v="13"/>
    <d v="1899-12-30T01:10:00"/>
    <n v="15.39"/>
    <n v="27.17771351173262"/>
    <n v="6.88"/>
    <n v="5.8971428571428515"/>
    <n v="1"/>
    <n v="4.5074197332442685"/>
  </r>
  <r>
    <x v="171"/>
    <n v="0"/>
    <x v="24"/>
    <n v="6"/>
    <s v="JUN"/>
    <n v="0"/>
    <x v="24"/>
    <n v="0"/>
    <x v="14"/>
    <s v=""/>
    <n v="0"/>
    <n v="0"/>
    <n v="0"/>
    <n v="0"/>
    <n v="0"/>
    <n v="0"/>
  </r>
  <r>
    <x v="171"/>
    <n v="0"/>
    <x v="24"/>
    <n v="6"/>
    <s v="JUN"/>
    <n v="0"/>
    <x v="24"/>
    <n v="0"/>
    <x v="2"/>
    <s v=""/>
    <n v="0"/>
    <n v="0"/>
    <n v="0"/>
    <n v="0"/>
    <n v="0"/>
    <n v="0"/>
  </r>
  <r>
    <x v="171"/>
    <n v="0"/>
    <x v="24"/>
    <n v="6"/>
    <s v="JUN"/>
    <n v="0"/>
    <x v="24"/>
    <n v="0"/>
    <x v="2"/>
    <s v=""/>
    <n v="0"/>
    <n v="0"/>
    <n v="0"/>
    <n v="0"/>
    <n v="0"/>
    <n v="0"/>
  </r>
  <r>
    <x v="172"/>
    <s v="#LI5DDAW9J "/>
    <x v="24"/>
    <n v="6"/>
    <s v="JUN"/>
    <n v="0"/>
    <x v="24"/>
    <n v="0"/>
    <x v="1"/>
    <d v="1899-12-30T00:47:00"/>
    <n v="14.74"/>
    <n v="26.029856865688032"/>
    <n v="8.08"/>
    <n v="10.314893617021243"/>
    <n v="1"/>
    <n v="5.2935975936938506"/>
  </r>
  <r>
    <x v="172"/>
    <n v="0"/>
    <x v="24"/>
    <n v="6"/>
    <s v="JUN"/>
    <n v="0"/>
    <x v="24"/>
    <n v="0"/>
    <x v="1"/>
    <s v=""/>
    <n v="0"/>
    <n v="0"/>
    <n v="0"/>
    <n v="0"/>
    <n v="0"/>
    <n v="0"/>
  </r>
  <r>
    <x v="172"/>
    <n v="0"/>
    <x v="24"/>
    <n v="6"/>
    <s v="JUN"/>
    <n v="0"/>
    <x v="24"/>
    <n v="0"/>
    <x v="2"/>
    <s v=""/>
    <n v="0"/>
    <n v="0"/>
    <n v="0"/>
    <n v="0"/>
    <n v="0"/>
    <n v="0"/>
  </r>
  <r>
    <x v="172"/>
    <n v="0"/>
    <x v="24"/>
    <n v="6"/>
    <s v="JUN"/>
    <n v="0"/>
    <x v="24"/>
    <n v="0"/>
    <x v="2"/>
    <s v=""/>
    <n v="0"/>
    <n v="0"/>
    <n v="0"/>
    <n v="0"/>
    <n v="0"/>
    <n v="0"/>
  </r>
  <r>
    <x v="173"/>
    <s v="#LIAGR4DUE "/>
    <x v="24"/>
    <n v="6"/>
    <s v="JUN"/>
    <n v="0"/>
    <x v="24"/>
    <n v="0"/>
    <x v="3"/>
    <d v="1899-12-30T00:44:00"/>
    <n v="10.45"/>
    <n v="18.454003001793751"/>
    <n v="5.38"/>
    <n v="7.3363636363636369"/>
    <n v="1"/>
    <n v="3.5246974076822912"/>
  </r>
  <r>
    <x v="173"/>
    <n v="0"/>
    <x v="24"/>
    <n v="6"/>
    <s v="JUN"/>
    <n v="0"/>
    <x v="24"/>
    <n v="0"/>
    <x v="5"/>
    <s v=""/>
    <n v="0"/>
    <n v="0"/>
    <n v="0"/>
    <n v="0"/>
    <n v="0"/>
    <n v="0"/>
  </r>
  <r>
    <x v="173"/>
    <n v="0"/>
    <x v="24"/>
    <n v="6"/>
    <s v="JUN"/>
    <n v="0"/>
    <x v="24"/>
    <n v="0"/>
    <x v="2"/>
    <s v=""/>
    <n v="0"/>
    <n v="0"/>
    <n v="0"/>
    <n v="0"/>
    <n v="0"/>
    <n v="0"/>
  </r>
  <r>
    <x v="174"/>
    <s v="#LIGAE7B2R "/>
    <x v="25"/>
    <n v="6"/>
    <s v="JUN"/>
    <s v="JUN"/>
    <x v="25"/>
    <n v="3"/>
    <x v="6"/>
    <d v="1899-12-30T00:33:00"/>
    <n v="4.37"/>
    <n v="7.7171285280228421"/>
    <n v="3.02"/>
    <n v="5.4909090909090841"/>
    <n v="1"/>
    <n v="1.9785476154647808"/>
  </r>
  <r>
    <x v="174"/>
    <n v="0"/>
    <x v="25"/>
    <n v="6"/>
    <s v="JUN"/>
    <n v="0"/>
    <x v="25"/>
    <n v="0"/>
    <x v="6"/>
    <s v=""/>
    <n v="0"/>
    <n v="0"/>
    <n v="0"/>
    <n v="0"/>
    <n v="0"/>
    <n v="0"/>
  </r>
  <r>
    <x v="174"/>
    <n v="0"/>
    <x v="25"/>
    <n v="6"/>
    <s v="JUN"/>
    <n v="0"/>
    <x v="25"/>
    <n v="0"/>
    <x v="2"/>
    <s v=""/>
    <n v="0"/>
    <n v="0"/>
    <n v="0"/>
    <n v="0"/>
    <n v="0"/>
    <n v="0"/>
  </r>
  <r>
    <x v="174"/>
    <n v="0"/>
    <x v="25"/>
    <n v="6"/>
    <s v="JUN"/>
    <n v="0"/>
    <x v="25"/>
    <n v="0"/>
    <x v="2"/>
    <s v=""/>
    <n v="0"/>
    <n v="0"/>
    <n v="0"/>
    <n v="0"/>
    <n v="0"/>
    <n v="0"/>
  </r>
  <r>
    <x v="175"/>
    <s v="#LIAFFLYLA "/>
    <x v="25"/>
    <n v="6"/>
    <s v="JUN"/>
    <n v="0"/>
    <x v="25"/>
    <n v="0"/>
    <x v="6"/>
    <d v="1899-12-30T00:27:00"/>
    <n v="2.73"/>
    <n v="4.8209979133872674"/>
    <n v="2.48"/>
    <n v="5.5111111111111306"/>
    <n v="1"/>
    <n v="1.6247675782624689"/>
  </r>
  <r>
    <x v="175"/>
    <n v="0"/>
    <x v="25"/>
    <n v="6"/>
    <s v="JUN"/>
    <n v="0"/>
    <x v="25"/>
    <n v="0"/>
    <x v="7"/>
    <s v=""/>
    <n v="0"/>
    <n v="0"/>
    <n v="0"/>
    <n v="0"/>
    <n v="0"/>
    <n v="0"/>
  </r>
  <r>
    <x v="175"/>
    <n v="0"/>
    <x v="25"/>
    <n v="6"/>
    <s v="JUN"/>
    <n v="0"/>
    <x v="25"/>
    <n v="0"/>
    <x v="2"/>
    <s v=""/>
    <n v="0"/>
    <n v="0"/>
    <n v="0"/>
    <n v="0"/>
    <n v="0"/>
    <n v="0"/>
  </r>
  <r>
    <x v="175"/>
    <n v="0"/>
    <x v="25"/>
    <n v="6"/>
    <s v="JUN"/>
    <n v="0"/>
    <x v="25"/>
    <n v="0"/>
    <x v="2"/>
    <s v=""/>
    <n v="0"/>
    <n v="0"/>
    <n v="0"/>
    <n v="0"/>
    <n v="0"/>
    <n v="0"/>
  </r>
  <r>
    <x v="176"/>
    <s v="#LIPVZX9VQ "/>
    <x v="25"/>
    <n v="6"/>
    <s v="JUN"/>
    <n v="0"/>
    <x v="25"/>
    <n v="0"/>
    <x v="7"/>
    <d v="1899-12-30T00:34:00"/>
    <n v="2.78"/>
    <n v="4.9092945784676205"/>
    <n v="2.4700000000000002"/>
    <n v="4.3588235294117803"/>
    <n v="1"/>
    <n v="1.6182160960920557"/>
  </r>
  <r>
    <x v="176"/>
    <n v="0"/>
    <x v="25"/>
    <n v="6"/>
    <s v="JUN"/>
    <n v="0"/>
    <x v="25"/>
    <n v="0"/>
    <x v="8"/>
    <s v=""/>
    <n v="0"/>
    <n v="0"/>
    <n v="0"/>
    <n v="0"/>
    <n v="0"/>
    <n v="0"/>
  </r>
  <r>
    <x v="176"/>
    <n v="0"/>
    <x v="25"/>
    <n v="6"/>
    <s v="JUN"/>
    <n v="0"/>
    <x v="25"/>
    <n v="0"/>
    <x v="2"/>
    <s v=""/>
    <n v="0"/>
    <n v="0"/>
    <n v="0"/>
    <n v="0"/>
    <n v="0"/>
    <n v="0"/>
  </r>
  <r>
    <x v="176"/>
    <n v="0"/>
    <x v="25"/>
    <n v="6"/>
    <s v="JUN"/>
    <n v="0"/>
    <x v="25"/>
    <n v="0"/>
    <x v="2"/>
    <s v=""/>
    <n v="0"/>
    <n v="0"/>
    <n v="0"/>
    <n v="0"/>
    <n v="0"/>
    <n v="0"/>
  </r>
  <r>
    <x v="177"/>
    <s v="#LIP4LJKF6 "/>
    <x v="25"/>
    <n v="6"/>
    <s v="JUN"/>
    <n v="0"/>
    <x v="25"/>
    <n v="0"/>
    <x v="8"/>
    <d v="1899-12-30T00:24:00"/>
    <n v="4.5199999999999996"/>
    <n v="7.9820185232639007"/>
    <n v="3.08"/>
    <n v="7.7000000000000268"/>
    <n v="1"/>
    <n v="2.0178565084872599"/>
  </r>
  <r>
    <x v="177"/>
    <n v="0"/>
    <x v="25"/>
    <n v="6"/>
    <s v="JUN"/>
    <n v="0"/>
    <x v="25"/>
    <n v="0"/>
    <x v="8"/>
    <s v=""/>
    <n v="0"/>
    <n v="0"/>
    <n v="0"/>
    <n v="0"/>
    <n v="0"/>
    <n v="0"/>
  </r>
  <r>
    <x v="177"/>
    <n v="0"/>
    <x v="25"/>
    <n v="6"/>
    <s v="JUN"/>
    <n v="0"/>
    <x v="25"/>
    <n v="0"/>
    <x v="2"/>
    <s v=""/>
    <n v="0"/>
    <n v="0"/>
    <n v="0"/>
    <n v="0"/>
    <n v="0"/>
    <n v="0"/>
  </r>
  <r>
    <x v="177"/>
    <n v="0"/>
    <x v="25"/>
    <n v="6"/>
    <s v="JUN"/>
    <n v="0"/>
    <x v="25"/>
    <n v="0"/>
    <x v="2"/>
    <s v=""/>
    <n v="0"/>
    <n v="0"/>
    <n v="0"/>
    <n v="0"/>
    <n v="0"/>
    <n v="0"/>
  </r>
  <r>
    <x v="178"/>
    <s v="#LI2LKLXBA "/>
    <x v="25"/>
    <n v="6"/>
    <s v="JUN"/>
    <n v="0"/>
    <x v="25"/>
    <n v="0"/>
    <x v="8"/>
    <d v="1899-12-30T00:22:00"/>
    <n v="2.83"/>
    <n v="4.9975912435479737"/>
    <n v="2.48"/>
    <n v="6.763636363636337"/>
    <n v="1"/>
    <n v="1.6247675782624689"/>
  </r>
  <r>
    <x v="178"/>
    <n v="0"/>
    <x v="25"/>
    <n v="6"/>
    <s v="JUN"/>
    <n v="0"/>
    <x v="25"/>
    <n v="0"/>
    <x v="9"/>
    <s v=""/>
    <n v="0"/>
    <n v="0"/>
    <n v="0"/>
    <n v="0"/>
    <n v="0"/>
    <n v="0"/>
  </r>
  <r>
    <x v="178"/>
    <n v="0"/>
    <x v="25"/>
    <n v="6"/>
    <s v="JUN"/>
    <n v="0"/>
    <x v="25"/>
    <n v="0"/>
    <x v="2"/>
    <s v=""/>
    <n v="0"/>
    <n v="0"/>
    <n v="0"/>
    <n v="0"/>
    <n v="0"/>
    <n v="0"/>
  </r>
  <r>
    <x v="178"/>
    <n v="0"/>
    <x v="25"/>
    <n v="6"/>
    <s v="JUN"/>
    <n v="0"/>
    <x v="25"/>
    <n v="0"/>
    <x v="2"/>
    <s v=""/>
    <n v="0"/>
    <n v="0"/>
    <n v="0"/>
    <n v="0"/>
    <n v="0"/>
    <n v="0"/>
  </r>
  <r>
    <x v="179"/>
    <s v="#LIRVHA7W1 "/>
    <x v="25"/>
    <n v="6"/>
    <s v="JUN"/>
    <n v="0"/>
    <x v="25"/>
    <n v="0"/>
    <x v="9"/>
    <d v="1899-12-30T00:33:00"/>
    <n v="6.2"/>
    <n v="10.948786469963759"/>
    <n v="3.69"/>
    <n v="6.7090909090909001"/>
    <n v="1"/>
    <n v="2.4174969208824639"/>
  </r>
  <r>
    <x v="179"/>
    <n v="0"/>
    <x v="25"/>
    <n v="6"/>
    <s v="JUN"/>
    <n v="0"/>
    <x v="25"/>
    <n v="0"/>
    <x v="9"/>
    <s v=""/>
    <n v="0"/>
    <n v="0"/>
    <n v="0"/>
    <n v="0"/>
    <n v="0"/>
    <n v="0"/>
  </r>
  <r>
    <x v="179"/>
    <n v="0"/>
    <x v="25"/>
    <n v="6"/>
    <s v="JUN"/>
    <n v="0"/>
    <x v="25"/>
    <n v="0"/>
    <x v="2"/>
    <s v=""/>
    <n v="0"/>
    <n v="0"/>
    <n v="0"/>
    <n v="0"/>
    <n v="0"/>
    <n v="0"/>
  </r>
  <r>
    <x v="179"/>
    <n v="0"/>
    <x v="25"/>
    <n v="6"/>
    <s v="JUN"/>
    <n v="0"/>
    <x v="25"/>
    <n v="0"/>
    <x v="2"/>
    <s v=""/>
    <n v="0"/>
    <n v="0"/>
    <n v="0"/>
    <n v="0"/>
    <n v="0"/>
    <n v="0"/>
  </r>
  <r>
    <x v="180"/>
    <s v="#LIZSURSAP "/>
    <x v="25"/>
    <n v="6"/>
    <s v="JUN"/>
    <n v="0"/>
    <x v="25"/>
    <n v="0"/>
    <x v="9"/>
    <d v="1899-12-30T00:39:00"/>
    <n v="6.06"/>
    <n v="10.701555807738769"/>
    <n v="3.8"/>
    <n v="5.8461538461538423"/>
    <n v="1"/>
    <n v="2.4895632247570085"/>
  </r>
  <r>
    <x v="180"/>
    <n v="0"/>
    <x v="25"/>
    <n v="6"/>
    <s v="JUN"/>
    <n v="0"/>
    <x v="25"/>
    <n v="0"/>
    <x v="10"/>
    <s v=""/>
    <n v="0"/>
    <n v="0"/>
    <n v="0"/>
    <n v="0"/>
    <n v="0"/>
    <n v="0"/>
  </r>
  <r>
    <x v="180"/>
    <n v="0"/>
    <x v="25"/>
    <n v="6"/>
    <s v="JUN"/>
    <n v="0"/>
    <x v="25"/>
    <n v="0"/>
    <x v="2"/>
    <s v=""/>
    <n v="0"/>
    <n v="0"/>
    <n v="0"/>
    <n v="0"/>
    <n v="0"/>
    <n v="0"/>
  </r>
  <r>
    <x v="180"/>
    <n v="0"/>
    <x v="25"/>
    <n v="6"/>
    <s v="JUN"/>
    <n v="0"/>
    <x v="25"/>
    <n v="0"/>
    <x v="2"/>
    <s v=""/>
    <n v="0"/>
    <n v="0"/>
    <n v="0"/>
    <n v="0"/>
    <n v="0"/>
    <n v="0"/>
  </r>
  <r>
    <x v="181"/>
    <s v="#LIW6MJNPB "/>
    <x v="25"/>
    <n v="6"/>
    <s v="JUN"/>
    <n v="0"/>
    <x v="25"/>
    <n v="0"/>
    <x v="10"/>
    <d v="1899-12-30T00:33:00"/>
    <n v="4.38"/>
    <n v="7.7347878610389129"/>
    <n v="3.09"/>
    <n v="5.6181818181818111"/>
    <n v="1"/>
    <n v="2.0244079906576729"/>
  </r>
  <r>
    <x v="181"/>
    <n v="0"/>
    <x v="25"/>
    <n v="6"/>
    <s v="JUN"/>
    <n v="0"/>
    <x v="25"/>
    <n v="0"/>
    <x v="12"/>
    <s v=""/>
    <n v="0"/>
    <n v="0"/>
    <n v="0"/>
    <n v="0"/>
    <n v="0"/>
    <n v="0"/>
  </r>
  <r>
    <x v="181"/>
    <n v="0"/>
    <x v="25"/>
    <n v="6"/>
    <s v="JUN"/>
    <n v="0"/>
    <x v="25"/>
    <n v="0"/>
    <x v="2"/>
    <s v=""/>
    <n v="0"/>
    <n v="0"/>
    <n v="0"/>
    <n v="0"/>
    <n v="0"/>
    <n v="0"/>
  </r>
  <r>
    <x v="181"/>
    <n v="0"/>
    <x v="25"/>
    <n v="6"/>
    <s v="JUN"/>
    <n v="0"/>
    <x v="25"/>
    <n v="0"/>
    <x v="2"/>
    <s v=""/>
    <n v="0"/>
    <n v="0"/>
    <n v="0"/>
    <n v="0"/>
    <n v="0"/>
    <n v="0"/>
  </r>
  <r>
    <x v="182"/>
    <s v="#LIEWNZE5L "/>
    <x v="25"/>
    <n v="6"/>
    <s v="JUN"/>
    <n v="0"/>
    <x v="25"/>
    <n v="0"/>
    <x v="14"/>
    <d v="1899-12-30T00:23:00"/>
    <n v="3.48"/>
    <n v="6.1454478895925613"/>
    <n v="2.71"/>
    <n v="7.0695652173913306"/>
    <n v="1"/>
    <n v="1.7754516681819721"/>
  </r>
  <r>
    <x v="182"/>
    <n v="0"/>
    <x v="25"/>
    <n v="6"/>
    <s v="JUN"/>
    <n v="0"/>
    <x v="25"/>
    <n v="0"/>
    <x v="14"/>
    <s v=""/>
    <n v="0"/>
    <n v="0"/>
    <n v="0"/>
    <n v="0"/>
    <n v="0"/>
    <n v="0"/>
  </r>
  <r>
    <x v="182"/>
    <n v="0"/>
    <x v="25"/>
    <n v="6"/>
    <s v="JUN"/>
    <n v="0"/>
    <x v="25"/>
    <n v="0"/>
    <x v="2"/>
    <s v=""/>
    <n v="0"/>
    <n v="0"/>
    <n v="0"/>
    <n v="0"/>
    <n v="0"/>
    <n v="0"/>
  </r>
  <r>
    <x v="182"/>
    <n v="0"/>
    <x v="25"/>
    <n v="6"/>
    <s v="JUN"/>
    <n v="0"/>
    <x v="25"/>
    <n v="0"/>
    <x v="2"/>
    <s v=""/>
    <n v="0"/>
    <n v="0"/>
    <n v="0"/>
    <n v="0"/>
    <n v="0"/>
    <n v="0"/>
  </r>
  <r>
    <x v="183"/>
    <s v="#LI11LRZL3 "/>
    <x v="25"/>
    <n v="6"/>
    <s v="JUN"/>
    <n v="0"/>
    <x v="25"/>
    <n v="0"/>
    <x v="14"/>
    <d v="1899-12-30T00:36:00"/>
    <n v="5.72"/>
    <n v="10.10113848519237"/>
    <n v="3.5"/>
    <n v="5.8333333333333544"/>
    <n v="1"/>
    <n v="2.2930187596446134"/>
  </r>
  <r>
    <x v="183"/>
    <n v="0"/>
    <x v="25"/>
    <n v="6"/>
    <s v="JUN"/>
    <n v="0"/>
    <x v="25"/>
    <n v="0"/>
    <x v="0"/>
    <s v=""/>
    <n v="0"/>
    <n v="0"/>
    <n v="0"/>
    <n v="0"/>
    <n v="0"/>
    <n v="0"/>
  </r>
  <r>
    <x v="183"/>
    <n v="0"/>
    <x v="25"/>
    <n v="6"/>
    <s v="JUN"/>
    <n v="0"/>
    <x v="25"/>
    <n v="0"/>
    <x v="2"/>
    <s v=""/>
    <n v="0"/>
    <n v="0"/>
    <n v="0"/>
    <n v="0"/>
    <n v="0"/>
    <n v="0"/>
  </r>
  <r>
    <x v="183"/>
    <n v="0"/>
    <x v="25"/>
    <n v="6"/>
    <s v="JUN"/>
    <n v="0"/>
    <x v="25"/>
    <n v="0"/>
    <x v="2"/>
    <s v=""/>
    <n v="0"/>
    <n v="0"/>
    <n v="0"/>
    <n v="0"/>
    <n v="0"/>
    <n v="0"/>
  </r>
  <r>
    <x v="184"/>
    <s v="#LIFXU96EG "/>
    <x v="25"/>
    <n v="6"/>
    <s v="JUN"/>
    <n v="0"/>
    <x v="25"/>
    <n v="0"/>
    <x v="0"/>
    <d v="1899-12-30T00:28:00"/>
    <n v="4.9400000000000004"/>
    <n v="8.7237105099388668"/>
    <n v="3.22"/>
    <n v="6.8999999999999853"/>
    <n v="1"/>
    <n v="2.1095772588730446"/>
  </r>
  <r>
    <x v="184"/>
    <n v="0"/>
    <x v="25"/>
    <n v="6"/>
    <s v="JUN"/>
    <n v="0"/>
    <x v="25"/>
    <n v="0"/>
    <x v="0"/>
    <s v=""/>
    <n v="0"/>
    <n v="0"/>
    <n v="0"/>
    <n v="0"/>
    <n v="0"/>
    <n v="0"/>
  </r>
  <r>
    <x v="184"/>
    <n v="0"/>
    <x v="25"/>
    <n v="6"/>
    <s v="JUN"/>
    <n v="0"/>
    <x v="25"/>
    <n v="0"/>
    <x v="2"/>
    <s v=""/>
    <n v="0"/>
    <n v="0"/>
    <n v="0"/>
    <n v="0"/>
    <n v="0"/>
    <n v="0"/>
  </r>
  <r>
    <x v="184"/>
    <n v="0"/>
    <x v="25"/>
    <n v="6"/>
    <s v="JUN"/>
    <n v="0"/>
    <x v="25"/>
    <n v="0"/>
    <x v="2"/>
    <s v=""/>
    <n v="0"/>
    <n v="0"/>
    <n v="0"/>
    <n v="0"/>
    <n v="0"/>
    <n v="0"/>
  </r>
  <r>
    <x v="185"/>
    <s v="#LIQL1JYJZ "/>
    <x v="25"/>
    <n v="6"/>
    <s v="JUN"/>
    <n v="0"/>
    <x v="25"/>
    <n v="0"/>
    <x v="1"/>
    <d v="1899-12-30T01:40:00"/>
    <n v="8.5"/>
    <n v="15.01043306365999"/>
    <n v="1.95"/>
    <n v="1.1700000000000004"/>
    <n v="1"/>
    <n v="1.2775390232305703"/>
  </r>
  <r>
    <x v="185"/>
    <n v="0"/>
    <x v="25"/>
    <n v="6"/>
    <s v="JUN"/>
    <n v="0"/>
    <x v="25"/>
    <n v="0"/>
    <x v="3"/>
    <s v=""/>
    <n v="0"/>
    <n v="0"/>
    <n v="0"/>
    <n v="0"/>
    <n v="0"/>
    <n v="0"/>
  </r>
  <r>
    <x v="185"/>
    <n v="0"/>
    <x v="25"/>
    <n v="6"/>
    <s v="JUN"/>
    <n v="0"/>
    <x v="25"/>
    <n v="0"/>
    <x v="2"/>
    <s v=""/>
    <n v="0"/>
    <n v="0"/>
    <n v="0"/>
    <n v="0"/>
    <n v="0"/>
    <n v="0"/>
  </r>
  <r>
    <x v="186"/>
    <s v="#LIWGSXK3N "/>
    <x v="26"/>
    <n v="6"/>
    <s v="JUN"/>
    <s v="JUN"/>
    <x v="26"/>
    <n v="4"/>
    <x v="7"/>
    <d v="1899-12-30T00:45:00"/>
    <n v="7.75"/>
    <n v="13.685983087454698"/>
    <n v="4.21"/>
    <n v="5.6133333333333333"/>
    <n v="1"/>
    <n v="2.7581739937439491"/>
  </r>
  <r>
    <x v="186"/>
    <n v="0"/>
    <x v="26"/>
    <n v="6"/>
    <s v="JUN"/>
    <n v="0"/>
    <x v="26"/>
    <n v="0"/>
    <x v="8"/>
    <s v=""/>
    <n v="0"/>
    <n v="0"/>
    <n v="0"/>
    <n v="0"/>
    <n v="0"/>
    <n v="0"/>
  </r>
  <r>
    <x v="186"/>
    <n v="0"/>
    <x v="26"/>
    <n v="6"/>
    <s v="JUN"/>
    <n v="0"/>
    <x v="26"/>
    <n v="0"/>
    <x v="2"/>
    <s v=""/>
    <n v="0"/>
    <n v="0"/>
    <n v="0"/>
    <n v="0"/>
    <n v="0"/>
    <n v="0"/>
  </r>
  <r>
    <x v="186"/>
    <n v="0"/>
    <x v="26"/>
    <n v="6"/>
    <s v="JUN"/>
    <n v="0"/>
    <x v="26"/>
    <n v="0"/>
    <x v="2"/>
    <s v=""/>
    <n v="0"/>
    <n v="0"/>
    <n v="0"/>
    <n v="0"/>
    <n v="0"/>
    <n v="0"/>
  </r>
  <r>
    <x v="187"/>
    <s v="#LIVVV6G5V "/>
    <x v="26"/>
    <n v="6"/>
    <s v="JUN"/>
    <n v="0"/>
    <x v="26"/>
    <n v="0"/>
    <x v="8"/>
    <d v="1899-12-30T00:33:00"/>
    <n v="10.95"/>
    <n v="19.336969652597283"/>
    <n v="6.23"/>
    <n v="11.327272727272714"/>
    <n v="1"/>
    <n v="4.081573392167412"/>
  </r>
  <r>
    <x v="187"/>
    <n v="0"/>
    <x v="26"/>
    <n v="6"/>
    <s v="JUN"/>
    <n v="0"/>
    <x v="26"/>
    <n v="0"/>
    <x v="8"/>
    <s v=""/>
    <n v="0"/>
    <n v="0"/>
    <n v="0"/>
    <n v="0"/>
    <n v="0"/>
    <n v="0"/>
  </r>
  <r>
    <x v="187"/>
    <n v="0"/>
    <x v="26"/>
    <n v="6"/>
    <s v="JUN"/>
    <n v="0"/>
    <x v="26"/>
    <n v="0"/>
    <x v="2"/>
    <s v=""/>
    <n v="0"/>
    <n v="0"/>
    <n v="0"/>
    <n v="0"/>
    <n v="0"/>
    <n v="0"/>
  </r>
  <r>
    <x v="187"/>
    <n v="0"/>
    <x v="26"/>
    <n v="6"/>
    <s v="JUN"/>
    <n v="0"/>
    <x v="26"/>
    <n v="0"/>
    <x v="2"/>
    <s v=""/>
    <n v="0"/>
    <n v="0"/>
    <n v="0"/>
    <n v="0"/>
    <n v="0"/>
    <n v="0"/>
  </r>
  <r>
    <x v="188"/>
    <s v="#LIMHRMT2Y "/>
    <x v="26"/>
    <n v="6"/>
    <s v="JUN"/>
    <n v="0"/>
    <x v="26"/>
    <n v="0"/>
    <x v="8"/>
    <d v="1899-12-30T00:37:00"/>
    <n v="10.11"/>
    <n v="17.853585679247352"/>
    <n v="6.53"/>
    <n v="10.589189189189181"/>
    <n v="1"/>
    <n v="4.2781178572798071"/>
  </r>
  <r>
    <x v="188"/>
    <n v="0"/>
    <x v="26"/>
    <n v="6"/>
    <s v="JUN"/>
    <n v="0"/>
    <x v="26"/>
    <n v="0"/>
    <x v="9"/>
    <s v=""/>
    <n v="0"/>
    <n v="0"/>
    <n v="0"/>
    <n v="0"/>
    <n v="0"/>
    <n v="0"/>
  </r>
  <r>
    <x v="188"/>
    <n v="0"/>
    <x v="26"/>
    <n v="6"/>
    <s v="JUN"/>
    <n v="0"/>
    <x v="26"/>
    <n v="0"/>
    <x v="2"/>
    <s v=""/>
    <n v="0"/>
    <n v="0"/>
    <n v="0"/>
    <n v="0"/>
    <n v="0"/>
    <n v="0"/>
  </r>
  <r>
    <x v="188"/>
    <n v="0"/>
    <x v="26"/>
    <n v="6"/>
    <s v="JUN"/>
    <n v="0"/>
    <x v="26"/>
    <n v="0"/>
    <x v="2"/>
    <s v=""/>
    <n v="0"/>
    <n v="0"/>
    <n v="0"/>
    <n v="0"/>
    <n v="0"/>
    <n v="0"/>
  </r>
  <r>
    <x v="189"/>
    <s v="#LILTKETTX "/>
    <x v="26"/>
    <n v="6"/>
    <s v="JUN"/>
    <n v="0"/>
    <x v="26"/>
    <n v="0"/>
    <x v="9"/>
    <d v="1899-12-30T00:26:00"/>
    <n v="3.4"/>
    <n v="6.0041732254639966"/>
    <n v="2.68"/>
    <n v="6.1846153846153689"/>
    <n v="1"/>
    <n v="1.7557972216707325"/>
  </r>
  <r>
    <x v="189"/>
    <n v="0"/>
    <x v="26"/>
    <n v="6"/>
    <s v="JUN"/>
    <n v="0"/>
    <x v="26"/>
    <n v="0"/>
    <x v="9"/>
    <s v=""/>
    <n v="0"/>
    <n v="0"/>
    <n v="0"/>
    <n v="0"/>
    <n v="0"/>
    <n v="0"/>
  </r>
  <r>
    <x v="189"/>
    <n v="0"/>
    <x v="26"/>
    <n v="6"/>
    <s v="JUN"/>
    <n v="0"/>
    <x v="26"/>
    <n v="0"/>
    <x v="2"/>
    <s v=""/>
    <n v="0"/>
    <n v="0"/>
    <n v="0"/>
    <n v="0"/>
    <n v="0"/>
    <n v="0"/>
  </r>
  <r>
    <x v="189"/>
    <n v="0"/>
    <x v="26"/>
    <n v="6"/>
    <s v="JUN"/>
    <n v="0"/>
    <x v="26"/>
    <n v="0"/>
    <x v="2"/>
    <s v=""/>
    <n v="0"/>
    <n v="0"/>
    <n v="0"/>
    <n v="0"/>
    <n v="0"/>
    <n v="0"/>
  </r>
  <r>
    <x v="190"/>
    <s v="#LISTUETWJ "/>
    <x v="26"/>
    <n v="6"/>
    <s v="JUN"/>
    <n v="0"/>
    <x v="26"/>
    <n v="0"/>
    <x v="0"/>
    <d v="1899-12-30T00:51:00"/>
    <n v="8.4600000000000009"/>
    <n v="14.93979573159571"/>
    <n v="4.45"/>
    <n v="5.2352941176470775"/>
    <n v="1"/>
    <n v="2.9154095658338655"/>
  </r>
  <r>
    <x v="190"/>
    <n v="0"/>
    <x v="26"/>
    <n v="6"/>
    <s v="JUN"/>
    <n v="0"/>
    <x v="26"/>
    <n v="0"/>
    <x v="1"/>
    <s v=""/>
    <n v="0"/>
    <n v="0"/>
    <n v="0"/>
    <n v="0"/>
    <n v="0"/>
    <n v="0"/>
  </r>
  <r>
    <x v="190"/>
    <n v="0"/>
    <x v="26"/>
    <n v="6"/>
    <s v="JUN"/>
    <n v="0"/>
    <x v="26"/>
    <n v="0"/>
    <x v="2"/>
    <s v=""/>
    <n v="0"/>
    <n v="0"/>
    <n v="0"/>
    <n v="0"/>
    <n v="0"/>
    <n v="0"/>
  </r>
  <r>
    <x v="190"/>
    <n v="0"/>
    <x v="26"/>
    <n v="6"/>
    <s v="JUN"/>
    <n v="0"/>
    <x v="26"/>
    <n v="0"/>
    <x v="2"/>
    <s v=""/>
    <n v="0"/>
    <n v="0"/>
    <n v="0"/>
    <n v="0"/>
    <n v="0"/>
    <n v="0"/>
  </r>
  <r>
    <x v="191"/>
    <s v="#LILDLMHSL "/>
    <x v="26"/>
    <n v="6"/>
    <s v="JUN"/>
    <n v="0"/>
    <x v="26"/>
    <n v="0"/>
    <x v="1"/>
    <d v="1899-12-30T00:52:00"/>
    <n v="9.85"/>
    <n v="17.394443020829517"/>
    <n v="6.44"/>
    <n v="7.4307692307692346"/>
    <n v="1"/>
    <n v="4.2191545177460892"/>
  </r>
  <r>
    <x v="191"/>
    <n v="0"/>
    <x v="26"/>
    <n v="6"/>
    <s v="JUN"/>
    <n v="0"/>
    <x v="26"/>
    <n v="0"/>
    <x v="3"/>
    <s v=""/>
    <n v="0"/>
    <n v="0"/>
    <n v="0"/>
    <n v="0"/>
    <n v="0"/>
    <n v="0"/>
  </r>
  <r>
    <x v="191"/>
    <n v="0"/>
    <x v="26"/>
    <n v="6"/>
    <s v="JUN"/>
    <n v="0"/>
    <x v="26"/>
    <n v="0"/>
    <x v="2"/>
    <s v=""/>
    <n v="0"/>
    <n v="0"/>
    <n v="0"/>
    <n v="0"/>
    <n v="0"/>
    <n v="0"/>
  </r>
  <r>
    <x v="191"/>
    <n v="0"/>
    <x v="26"/>
    <n v="6"/>
    <s v="JUN"/>
    <n v="0"/>
    <x v="26"/>
    <n v="0"/>
    <x v="2"/>
    <s v=""/>
    <n v="0"/>
    <n v="0"/>
    <n v="0"/>
    <n v="0"/>
    <n v="0"/>
    <n v="0"/>
  </r>
  <r>
    <x v="192"/>
    <s v="#LIDJ2ATFF "/>
    <x v="26"/>
    <n v="6"/>
    <s v="JUN"/>
    <n v="0"/>
    <x v="26"/>
    <n v="0"/>
    <x v="3"/>
    <d v="1899-12-30T00:31:00"/>
    <n v="10.35"/>
    <n v="18.277409671633048"/>
    <n v="1.95"/>
    <n v="3.7741935483870908"/>
    <n v="1"/>
    <n v="1.2775390232305703"/>
  </r>
  <r>
    <x v="192"/>
    <n v="0"/>
    <x v="26"/>
    <n v="6"/>
    <s v="JUN"/>
    <n v="0"/>
    <x v="26"/>
    <n v="0"/>
    <x v="5"/>
    <s v=""/>
    <n v="0"/>
    <n v="0"/>
    <n v="0"/>
    <n v="0"/>
    <n v="0"/>
    <n v="0"/>
  </r>
  <r>
    <x v="192"/>
    <n v="0"/>
    <x v="26"/>
    <n v="6"/>
    <s v="JUN"/>
    <n v="0"/>
    <x v="26"/>
    <n v="0"/>
    <x v="2"/>
    <s v=""/>
    <n v="0"/>
    <n v="0"/>
    <n v="0"/>
    <n v="0"/>
    <n v="0"/>
    <n v="0"/>
  </r>
  <r>
    <x v="192"/>
    <n v="0"/>
    <x v="26"/>
    <n v="6"/>
    <s v="JUN"/>
    <n v="0"/>
    <x v="26"/>
    <n v="0"/>
    <x v="2"/>
    <s v=""/>
    <n v="0"/>
    <n v="0"/>
    <n v="0"/>
    <n v="0"/>
    <n v="0"/>
    <n v="0"/>
  </r>
  <r>
    <x v="193"/>
    <s v="#LI6UWWQAP "/>
    <x v="26"/>
    <n v="6"/>
    <s v="JUN"/>
    <n v="0"/>
    <x v="26"/>
    <n v="0"/>
    <x v="5"/>
    <d v="1899-12-30T00:34:00"/>
    <n v="4.1500000000000004"/>
    <n v="7.3286232016692905"/>
    <n v="4.7"/>
    <n v="8.2941176470588136"/>
    <n v="1"/>
    <n v="3.0791966200941951"/>
  </r>
  <r>
    <x v="193"/>
    <n v="0"/>
    <x v="26"/>
    <n v="6"/>
    <s v="JUN"/>
    <n v="0"/>
    <x v="26"/>
    <n v="0"/>
    <x v="4"/>
    <s v=""/>
    <n v="0"/>
    <n v="0"/>
    <n v="0"/>
    <n v="0"/>
    <n v="0"/>
    <n v="0"/>
  </r>
  <r>
    <x v="193"/>
    <n v="0"/>
    <x v="26"/>
    <n v="6"/>
    <s v="JUN"/>
    <n v="0"/>
    <x v="26"/>
    <n v="0"/>
    <x v="2"/>
    <s v=""/>
    <n v="0"/>
    <n v="0"/>
    <n v="0"/>
    <n v="0"/>
    <n v="0"/>
    <n v="0"/>
  </r>
  <r>
    <x v="194"/>
    <s v="#LIR6CCDCZ "/>
    <x v="27"/>
    <n v="6"/>
    <s v="JUN"/>
    <s v="JUN"/>
    <x v="27"/>
    <n v="5"/>
    <x v="7"/>
    <d v="1899-12-30T00:46:00"/>
    <n v="5.7"/>
    <n v="10.065819819160229"/>
    <n v="3.49"/>
    <n v="4.552173913043478"/>
    <n v="1"/>
    <n v="2.2864672774742001"/>
  </r>
  <r>
    <x v="194"/>
    <n v="0"/>
    <x v="27"/>
    <n v="6"/>
    <s v="JUN"/>
    <n v="0"/>
    <x v="27"/>
    <n v="0"/>
    <x v="7"/>
    <s v=""/>
    <n v="0"/>
    <n v="0"/>
    <n v="0"/>
    <n v="0"/>
    <n v="0"/>
    <n v="0"/>
  </r>
  <r>
    <x v="194"/>
    <n v="0"/>
    <x v="27"/>
    <n v="6"/>
    <s v="JUN"/>
    <n v="0"/>
    <x v="27"/>
    <n v="0"/>
    <x v="2"/>
    <s v=""/>
    <n v="0"/>
    <n v="0"/>
    <n v="0"/>
    <n v="0"/>
    <n v="0"/>
    <n v="0"/>
  </r>
  <r>
    <x v="194"/>
    <n v="0"/>
    <x v="27"/>
    <n v="6"/>
    <s v="JUN"/>
    <n v="0"/>
    <x v="27"/>
    <n v="0"/>
    <x v="2"/>
    <s v=""/>
    <n v="0"/>
    <n v="0"/>
    <n v="0"/>
    <n v="0"/>
    <n v="0"/>
    <n v="0"/>
  </r>
  <r>
    <x v="195"/>
    <s v="#LI9TBUANM "/>
    <x v="27"/>
    <n v="6"/>
    <s v="JUN"/>
    <n v="0"/>
    <x v="27"/>
    <n v="0"/>
    <x v="8"/>
    <d v="1899-12-30T00:25:00"/>
    <n v="6.62"/>
    <n v="11.690478456638722"/>
    <n v="3.83"/>
    <n v="9.1920000000000321"/>
    <n v="1"/>
    <n v="2.5092176712682481"/>
  </r>
  <r>
    <x v="195"/>
    <n v="0"/>
    <x v="27"/>
    <n v="6"/>
    <s v="JUN"/>
    <n v="0"/>
    <x v="27"/>
    <n v="0"/>
    <x v="8"/>
    <s v=""/>
    <n v="0"/>
    <n v="0"/>
    <n v="0"/>
    <n v="0"/>
    <n v="0"/>
    <n v="0"/>
  </r>
  <r>
    <x v="195"/>
    <n v="0"/>
    <x v="27"/>
    <n v="6"/>
    <s v="JUN"/>
    <n v="0"/>
    <x v="27"/>
    <n v="0"/>
    <x v="2"/>
    <s v=""/>
    <n v="0"/>
    <n v="0"/>
    <n v="0"/>
    <n v="0"/>
    <n v="0"/>
    <n v="0"/>
  </r>
  <r>
    <x v="195"/>
    <n v="0"/>
    <x v="27"/>
    <n v="6"/>
    <s v="JUN"/>
    <n v="0"/>
    <x v="27"/>
    <n v="0"/>
    <x v="2"/>
    <s v=""/>
    <n v="0"/>
    <n v="0"/>
    <n v="0"/>
    <n v="0"/>
    <n v="0"/>
    <n v="0"/>
  </r>
  <r>
    <x v="196"/>
    <s v="#LI1ZBXKSU "/>
    <x v="27"/>
    <n v="6"/>
    <s v="JUN"/>
    <n v="0"/>
    <x v="27"/>
    <n v="0"/>
    <x v="9"/>
    <d v="1899-12-30T00:52:00"/>
    <n v="3.93"/>
    <n v="6.9401178753157371"/>
    <n v="2.87"/>
    <n v="3.3115384615384631"/>
    <n v="1"/>
    <n v="1.880275382908583"/>
  </r>
  <r>
    <x v="196"/>
    <n v="0"/>
    <x v="27"/>
    <n v="6"/>
    <s v="JUN"/>
    <n v="0"/>
    <x v="27"/>
    <n v="0"/>
    <x v="9"/>
    <s v=""/>
    <n v="0"/>
    <n v="0"/>
    <n v="0"/>
    <n v="0"/>
    <n v="0"/>
    <n v="0"/>
  </r>
  <r>
    <x v="196"/>
    <n v="0"/>
    <x v="27"/>
    <n v="6"/>
    <s v="JUN"/>
    <n v="0"/>
    <x v="27"/>
    <n v="0"/>
    <x v="2"/>
    <s v=""/>
    <n v="0"/>
    <n v="0"/>
    <n v="0"/>
    <n v="0"/>
    <n v="0"/>
    <n v="0"/>
  </r>
  <r>
    <x v="196"/>
    <n v="0"/>
    <x v="27"/>
    <n v="6"/>
    <s v="JUN"/>
    <n v="0"/>
    <x v="27"/>
    <n v="0"/>
    <x v="2"/>
    <s v=""/>
    <n v="0"/>
    <n v="0"/>
    <n v="0"/>
    <n v="0"/>
    <n v="0"/>
    <n v="0"/>
  </r>
  <r>
    <x v="197"/>
    <s v="#LIVKKH2GC "/>
    <x v="27"/>
    <n v="6"/>
    <s v="JUN"/>
    <n v="0"/>
    <x v="27"/>
    <n v="0"/>
    <x v="0"/>
    <d v="1899-12-30T00:38:00"/>
    <n v="2.74"/>
    <n v="4.8386572464033382"/>
    <n v="2.5499999999999998"/>
    <n v="4.0263157894736983"/>
    <n v="1"/>
    <n v="1.670627953455361"/>
  </r>
  <r>
    <x v="197"/>
    <n v="0"/>
    <x v="27"/>
    <n v="6"/>
    <s v="JUN"/>
    <n v="0"/>
    <x v="27"/>
    <n v="0"/>
    <x v="1"/>
    <s v=""/>
    <n v="0"/>
    <n v="0"/>
    <n v="0"/>
    <n v="0"/>
    <n v="0"/>
    <n v="0"/>
  </r>
  <r>
    <x v="197"/>
    <n v="0"/>
    <x v="27"/>
    <n v="6"/>
    <s v="JUN"/>
    <n v="0"/>
    <x v="27"/>
    <n v="0"/>
    <x v="2"/>
    <s v=""/>
    <n v="0"/>
    <n v="0"/>
    <n v="0"/>
    <n v="0"/>
    <n v="0"/>
    <n v="0"/>
  </r>
  <r>
    <x v="197"/>
    <n v="0"/>
    <x v="27"/>
    <n v="6"/>
    <s v="JUN"/>
    <n v="0"/>
    <x v="27"/>
    <n v="0"/>
    <x v="2"/>
    <s v=""/>
    <n v="0"/>
    <n v="0"/>
    <n v="0"/>
    <n v="0"/>
    <n v="0"/>
    <n v="0"/>
  </r>
  <r>
    <x v="198"/>
    <s v="#LISBD2LS1 "/>
    <x v="27"/>
    <n v="6"/>
    <s v="JUN"/>
    <n v="0"/>
    <x v="27"/>
    <n v="0"/>
    <x v="1"/>
    <d v="1899-12-30T00:41:00"/>
    <n v="4.04"/>
    <n v="7.1343705384925133"/>
    <n v="3.78"/>
    <n v="5.5317073170731685"/>
    <n v="1"/>
    <n v="2.4764602604161823"/>
  </r>
  <r>
    <x v="198"/>
    <n v="0"/>
    <x v="27"/>
    <n v="6"/>
    <s v="JUN"/>
    <n v="0"/>
    <x v="27"/>
    <n v="0"/>
    <x v="1"/>
    <s v=""/>
    <n v="0"/>
    <n v="0"/>
    <n v="0"/>
    <n v="0"/>
    <n v="0"/>
    <n v="0"/>
  </r>
  <r>
    <x v="198"/>
    <n v="0"/>
    <x v="27"/>
    <n v="6"/>
    <s v="JUN"/>
    <n v="0"/>
    <x v="27"/>
    <n v="0"/>
    <x v="2"/>
    <s v=""/>
    <n v="0"/>
    <n v="0"/>
    <n v="0"/>
    <n v="0"/>
    <n v="0"/>
    <n v="0"/>
  </r>
  <r>
    <x v="198"/>
    <n v="0"/>
    <x v="27"/>
    <n v="6"/>
    <s v="JUN"/>
    <n v="0"/>
    <x v="27"/>
    <n v="0"/>
    <x v="2"/>
    <s v=""/>
    <n v="0"/>
    <n v="0"/>
    <n v="0"/>
    <n v="0"/>
    <n v="0"/>
    <n v="0"/>
  </r>
  <r>
    <x v="199"/>
    <s v="#LICH6JS1G "/>
    <x v="27"/>
    <n v="6"/>
    <s v="JUN"/>
    <n v="0"/>
    <x v="27"/>
    <n v="0"/>
    <x v="1"/>
    <d v="1899-12-30T00:36:00"/>
    <n v="8.2899999999999991"/>
    <n v="14.639587070322508"/>
    <n v="5.72"/>
    <n v="9.533333333333367"/>
    <n v="1"/>
    <n v="3.7474478014763393"/>
  </r>
  <r>
    <x v="199"/>
    <n v="0"/>
    <x v="27"/>
    <n v="6"/>
    <s v="JUN"/>
    <n v="0"/>
    <x v="27"/>
    <n v="0"/>
    <x v="3"/>
    <s v=""/>
    <n v="0"/>
    <n v="0"/>
    <n v="0"/>
    <n v="0"/>
    <n v="0"/>
    <n v="0"/>
  </r>
  <r>
    <x v="199"/>
    <n v="0"/>
    <x v="27"/>
    <n v="6"/>
    <s v="JUN"/>
    <n v="0"/>
    <x v="27"/>
    <n v="0"/>
    <x v="2"/>
    <s v=""/>
    <n v="0"/>
    <n v="0"/>
    <n v="0"/>
    <n v="0"/>
    <n v="0"/>
    <n v="0"/>
  </r>
  <r>
    <x v="200"/>
    <s v="#LIJP3CKZP "/>
    <x v="28"/>
    <n v="6"/>
    <s v="JUN"/>
    <s v="JUN"/>
    <x v="28"/>
    <n v="6"/>
    <x v="7"/>
    <d v="1899-12-30T00:56:00"/>
    <n v="7.18"/>
    <n v="12.679401105538673"/>
    <n v="4.01"/>
    <n v="4.2964285714285744"/>
    <n v="1"/>
    <n v="2.6271443503356853"/>
  </r>
  <r>
    <x v="200"/>
    <n v="0"/>
    <x v="28"/>
    <n v="6"/>
    <s v="JUN"/>
    <n v="0"/>
    <x v="28"/>
    <n v="0"/>
    <x v="8"/>
    <s v=""/>
    <n v="0"/>
    <n v="0"/>
    <n v="0"/>
    <n v="0"/>
    <n v="0"/>
    <n v="0"/>
  </r>
  <r>
    <x v="200"/>
    <n v="0"/>
    <x v="28"/>
    <n v="6"/>
    <s v="JUN"/>
    <n v="0"/>
    <x v="28"/>
    <n v="0"/>
    <x v="2"/>
    <s v=""/>
    <n v="0"/>
    <n v="0"/>
    <n v="0"/>
    <n v="0"/>
    <n v="0"/>
    <n v="0"/>
  </r>
  <r>
    <x v="200"/>
    <n v="0"/>
    <x v="28"/>
    <n v="6"/>
    <s v="JUN"/>
    <n v="0"/>
    <x v="28"/>
    <n v="0"/>
    <x v="2"/>
    <s v=""/>
    <n v="0"/>
    <n v="0"/>
    <n v="0"/>
    <n v="0"/>
    <n v="0"/>
    <n v="0"/>
  </r>
  <r>
    <x v="201"/>
    <s v="#LIUYCYB3Y "/>
    <x v="28"/>
    <n v="6"/>
    <s v="JUN"/>
    <n v="0"/>
    <x v="28"/>
    <n v="0"/>
    <x v="0"/>
    <d v="1899-12-30T00:35:00"/>
    <n v="6.23"/>
    <n v="11.00176446901197"/>
    <n v="3.68"/>
    <n v="6.30857142857145"/>
    <n v="1"/>
    <n v="2.4109454387120506"/>
  </r>
  <r>
    <x v="201"/>
    <n v="0"/>
    <x v="28"/>
    <n v="6"/>
    <s v="JUN"/>
    <n v="0"/>
    <x v="28"/>
    <n v="0"/>
    <x v="1"/>
    <s v=""/>
    <n v="0"/>
    <n v="0"/>
    <n v="0"/>
    <n v="0"/>
    <n v="0"/>
    <n v="0"/>
  </r>
  <r>
    <x v="201"/>
    <n v="0"/>
    <x v="28"/>
    <n v="6"/>
    <s v="JUN"/>
    <n v="0"/>
    <x v="28"/>
    <n v="0"/>
    <x v="2"/>
    <s v=""/>
    <n v="0"/>
    <n v="0"/>
    <n v="0"/>
    <n v="0"/>
    <n v="0"/>
    <n v="0"/>
  </r>
  <r>
    <x v="201"/>
    <n v="0"/>
    <x v="28"/>
    <n v="6"/>
    <s v="JUN"/>
    <n v="0"/>
    <x v="28"/>
    <n v="0"/>
    <x v="2"/>
    <s v=""/>
    <n v="0"/>
    <n v="0"/>
    <n v="0"/>
    <n v="0"/>
    <n v="0"/>
    <n v="0"/>
  </r>
  <r>
    <x v="202"/>
    <s v="#LIWVBTKSQ "/>
    <x v="28"/>
    <n v="6"/>
    <s v="JUN"/>
    <n v="0"/>
    <x v="28"/>
    <n v="0"/>
    <x v="1"/>
    <d v="1899-12-30T00:47:00"/>
    <n v="3.68"/>
    <n v="6.498634549913973"/>
    <n v="2.78"/>
    <n v="3.548936170212754"/>
    <n v="1"/>
    <n v="1.8213120433748642"/>
  </r>
  <r>
    <x v="202"/>
    <n v="0"/>
    <x v="28"/>
    <n v="6"/>
    <s v="JUN"/>
    <n v="0"/>
    <x v="28"/>
    <n v="0"/>
    <x v="3"/>
    <s v=""/>
    <n v="0"/>
    <n v="0"/>
    <n v="0"/>
    <n v="0"/>
    <n v="0"/>
    <n v="0"/>
  </r>
  <r>
    <x v="202"/>
    <n v="0"/>
    <x v="28"/>
    <n v="6"/>
    <s v="JUN"/>
    <n v="0"/>
    <x v="28"/>
    <n v="0"/>
    <x v="2"/>
    <s v=""/>
    <n v="0"/>
    <n v="0"/>
    <n v="0"/>
    <n v="0"/>
    <n v="0"/>
    <n v="0"/>
  </r>
  <r>
    <x v="202"/>
    <n v="0"/>
    <x v="28"/>
    <n v="6"/>
    <s v="JUN"/>
    <n v="0"/>
    <x v="28"/>
    <n v="0"/>
    <x v="2"/>
    <s v=""/>
    <n v="0"/>
    <n v="0"/>
    <n v="0"/>
    <n v="0"/>
    <n v="0"/>
    <n v="0"/>
  </r>
  <r>
    <x v="203"/>
    <s v="#LIRZ1U33E "/>
    <x v="28"/>
    <n v="6"/>
    <s v="JUN"/>
    <n v="0"/>
    <x v="28"/>
    <n v="0"/>
    <x v="3"/>
    <d v="1899-12-30T00:33:00"/>
    <n v="4.87"/>
    <n v="8.600095178826372"/>
    <n v="3.62"/>
    <n v="6.5818181818182371"/>
    <n v="1"/>
    <n v="2.3716365456895714"/>
  </r>
  <r>
    <x v="203"/>
    <n v="0"/>
    <x v="28"/>
    <n v="6"/>
    <s v="JUN"/>
    <n v="0"/>
    <x v="28"/>
    <n v="0"/>
    <x v="3"/>
    <s v=""/>
    <n v="0"/>
    <n v="0"/>
    <n v="0"/>
    <n v="0"/>
    <n v="0"/>
    <n v="0"/>
  </r>
  <r>
    <x v="203"/>
    <n v="0"/>
    <x v="28"/>
    <n v="6"/>
    <s v="JUN"/>
    <n v="0"/>
    <x v="28"/>
    <n v="0"/>
    <x v="2"/>
    <s v=""/>
    <n v="0"/>
    <n v="0"/>
    <n v="0"/>
    <n v="0"/>
    <n v="0"/>
    <n v="0"/>
  </r>
  <r>
    <x v="203"/>
    <n v="0"/>
    <x v="28"/>
    <n v="6"/>
    <s v="JUN"/>
    <n v="0"/>
    <x v="28"/>
    <n v="0"/>
    <x v="2"/>
    <s v=""/>
    <n v="0"/>
    <n v="0"/>
    <n v="0"/>
    <n v="0"/>
    <n v="0"/>
    <n v="0"/>
  </r>
  <r>
    <x v="204"/>
    <s v="#LITKYA1WA "/>
    <x v="28"/>
    <n v="6"/>
    <s v="JUN"/>
    <n v="0"/>
    <x v="28"/>
    <n v="0"/>
    <x v="3"/>
    <d v="1899-12-30T00:50:00"/>
    <n v="5.73"/>
    <n v="10.118797818208442"/>
    <n v="4.74"/>
    <n v="5.6880000000000024"/>
    <n v="1"/>
    <n v="3.1054025487758481"/>
  </r>
  <r>
    <x v="204"/>
    <n v="0"/>
    <x v="28"/>
    <n v="6"/>
    <s v="JUN"/>
    <n v="0"/>
    <x v="28"/>
    <n v="0"/>
    <x v="5"/>
    <s v=""/>
    <n v="0"/>
    <n v="0"/>
    <n v="0"/>
    <n v="0"/>
    <n v="0"/>
    <n v="0"/>
  </r>
  <r>
    <x v="204"/>
    <n v="0"/>
    <x v="28"/>
    <n v="6"/>
    <s v="JUN"/>
    <n v="0"/>
    <x v="28"/>
    <n v="0"/>
    <x v="2"/>
    <s v=""/>
    <n v="0"/>
    <n v="0"/>
    <n v="0"/>
    <n v="0"/>
    <n v="0"/>
    <n v="0"/>
  </r>
  <r>
    <x v="205"/>
    <s v="#LIVFRMREH "/>
    <x v="29"/>
    <n v="6"/>
    <s v="JUN"/>
    <s v="JUN"/>
    <x v="0"/>
    <n v="7"/>
    <x v="7"/>
    <d v="1899-12-30T01:09:00"/>
    <n v="6.41"/>
    <n v="11.319632463301241"/>
    <n v="4.96"/>
    <n v="4.3130434782608651"/>
    <n v="1"/>
    <n v="3.2495351565249377"/>
  </r>
  <r>
    <x v="205"/>
    <n v="0"/>
    <x v="29"/>
    <n v="6"/>
    <s v="JUN"/>
    <n v="0"/>
    <x v="0"/>
    <n v="0"/>
    <x v="8"/>
    <s v=""/>
    <n v="0"/>
    <n v="0"/>
    <n v="0"/>
    <n v="0"/>
    <n v="0"/>
    <n v="0"/>
  </r>
  <r>
    <x v="205"/>
    <n v="0"/>
    <x v="29"/>
    <n v="6"/>
    <s v="JUN"/>
    <n v="0"/>
    <x v="0"/>
    <n v="0"/>
    <x v="2"/>
    <s v=""/>
    <n v="0"/>
    <n v="0"/>
    <n v="0"/>
    <n v="0"/>
    <n v="0"/>
    <n v="0"/>
  </r>
  <r>
    <x v="205"/>
    <n v="0"/>
    <x v="29"/>
    <n v="6"/>
    <s v="JUN"/>
    <n v="0"/>
    <x v="0"/>
    <n v="0"/>
    <x v="2"/>
    <s v=""/>
    <n v="0"/>
    <n v="0"/>
    <n v="0"/>
    <n v="0"/>
    <n v="0"/>
    <n v="0"/>
  </r>
  <r>
    <x v="206"/>
    <s v="#LI1EE6BDY "/>
    <x v="29"/>
    <n v="6"/>
    <s v="JUN"/>
    <n v="0"/>
    <x v="0"/>
    <n v="0"/>
    <x v="8"/>
    <d v="1899-12-30T00:23:00"/>
    <n v="4.7"/>
    <n v="8.2998865175531709"/>
    <n v="4.08"/>
    <n v="10.643478260869605"/>
    <n v="1"/>
    <n v="2.6730047255285778"/>
  </r>
  <r>
    <x v="206"/>
    <n v="0"/>
    <x v="29"/>
    <n v="6"/>
    <s v="JUN"/>
    <n v="0"/>
    <x v="0"/>
    <n v="0"/>
    <x v="8"/>
    <s v=""/>
    <n v="0"/>
    <n v="0"/>
    <n v="0"/>
    <n v="0"/>
    <n v="0"/>
    <n v="0"/>
  </r>
  <r>
    <x v="206"/>
    <n v="0"/>
    <x v="29"/>
    <n v="6"/>
    <s v="JUN"/>
    <n v="0"/>
    <x v="0"/>
    <n v="0"/>
    <x v="2"/>
    <s v=""/>
    <n v="0"/>
    <n v="0"/>
    <n v="0"/>
    <n v="0"/>
    <n v="0"/>
    <n v="0"/>
  </r>
  <r>
    <x v="206"/>
    <n v="0"/>
    <x v="29"/>
    <n v="6"/>
    <s v="JUN"/>
    <n v="0"/>
    <x v="0"/>
    <n v="0"/>
    <x v="2"/>
    <s v=""/>
    <n v="0"/>
    <n v="0"/>
    <n v="0"/>
    <n v="0"/>
    <n v="0"/>
    <n v="0"/>
  </r>
  <r>
    <x v="207"/>
    <s v="#LIFSJE8JA "/>
    <x v="29"/>
    <n v="6"/>
    <s v="JUN"/>
    <n v="0"/>
    <x v="0"/>
    <n v="0"/>
    <x v="0"/>
    <d v="1899-12-30T00:44:00"/>
    <n v="5.92"/>
    <n v="10.454325145513781"/>
    <n v="4.6500000000000004"/>
    <n v="6.3409090909091148"/>
    <n v="1"/>
    <n v="3.0464392092421293"/>
  </r>
  <r>
    <x v="207"/>
    <n v="0"/>
    <x v="29"/>
    <n v="6"/>
    <s v="JUN"/>
    <n v="0"/>
    <x v="0"/>
    <n v="0"/>
    <x v="1"/>
    <s v=""/>
    <n v="0"/>
    <n v="0"/>
    <n v="0"/>
    <n v="0"/>
    <n v="0"/>
    <n v="0"/>
  </r>
  <r>
    <x v="207"/>
    <n v="0"/>
    <x v="29"/>
    <n v="6"/>
    <s v="JUN"/>
    <n v="0"/>
    <x v="0"/>
    <n v="0"/>
    <x v="2"/>
    <s v=""/>
    <n v="0"/>
    <n v="0"/>
    <n v="0"/>
    <n v="0"/>
    <n v="0"/>
    <n v="0"/>
  </r>
  <r>
    <x v="207"/>
    <n v="0"/>
    <x v="29"/>
    <n v="6"/>
    <s v="JUN"/>
    <n v="0"/>
    <x v="0"/>
    <n v="0"/>
    <x v="2"/>
    <s v=""/>
    <n v="0"/>
    <n v="0"/>
    <n v="0"/>
    <n v="0"/>
    <n v="0"/>
    <n v="0"/>
  </r>
  <r>
    <x v="208"/>
    <s v="#LIGA7C6AH "/>
    <x v="29"/>
    <n v="6"/>
    <s v="JUN"/>
    <n v="0"/>
    <x v="0"/>
    <n v="0"/>
    <x v="1"/>
    <d v="1899-12-30T00:28:00"/>
    <n v="11.59"/>
    <n v="20.4671669656258"/>
    <n v="7.21"/>
    <n v="15.449999999999967"/>
    <n v="1"/>
    <n v="4.7236186448679032"/>
  </r>
  <r>
    <x v="208"/>
    <n v="0"/>
    <x v="29"/>
    <n v="6"/>
    <s v="JUN"/>
    <n v="0"/>
    <x v="0"/>
    <n v="0"/>
    <x v="1"/>
    <s v=""/>
    <n v="0"/>
    <n v="0"/>
    <n v="0"/>
    <n v="0"/>
    <n v="0"/>
    <n v="0"/>
  </r>
  <r>
    <x v="208"/>
    <n v="0"/>
    <x v="29"/>
    <n v="6"/>
    <s v="JUN"/>
    <n v="0"/>
    <x v="0"/>
    <n v="0"/>
    <x v="2"/>
    <s v=""/>
    <n v="0"/>
    <n v="0"/>
    <n v="0"/>
    <n v="0"/>
    <n v="0"/>
    <n v="0"/>
  </r>
  <r>
    <x v="208"/>
    <n v="0"/>
    <x v="29"/>
    <n v="6"/>
    <s v="JUN"/>
    <n v="0"/>
    <x v="0"/>
    <n v="0"/>
    <x v="2"/>
    <s v=""/>
    <n v="0"/>
    <n v="0"/>
    <n v="0"/>
    <n v="0"/>
    <n v="0"/>
    <n v="0"/>
  </r>
  <r>
    <x v="209"/>
    <s v="#LIWLMBDMZ "/>
    <x v="29"/>
    <n v="6"/>
    <s v="JUN"/>
    <n v="0"/>
    <x v="0"/>
    <n v="0"/>
    <x v="3"/>
    <d v="1899-12-30T02:02:00"/>
    <n v="9.3000000000000007"/>
    <n v="16.423179704945639"/>
    <n v="6.17"/>
    <n v="3.0344262295081954"/>
    <n v="1"/>
    <n v="4.0422644991449328"/>
  </r>
  <r>
    <x v="209"/>
    <n v="0"/>
    <x v="29"/>
    <n v="6"/>
    <s v="JUN"/>
    <n v="0"/>
    <x v="0"/>
    <n v="0"/>
    <x v="4"/>
    <s v=""/>
    <n v="0"/>
    <n v="0"/>
    <n v="0"/>
    <n v="0"/>
    <n v="0"/>
    <n v="0"/>
  </r>
  <r>
    <x v="209"/>
    <n v="0"/>
    <x v="29"/>
    <n v="6"/>
    <s v="JUN"/>
    <n v="0"/>
    <x v="0"/>
    <n v="0"/>
    <x v="2"/>
    <s v=""/>
    <n v="0"/>
    <n v="0"/>
    <n v="0"/>
    <n v="0"/>
    <n v="0"/>
    <n v="0"/>
  </r>
  <r>
    <x v="209"/>
    <n v="0"/>
    <x v="29"/>
    <n v="6"/>
    <s v="JUN"/>
    <n v="0"/>
    <x v="0"/>
    <n v="0"/>
    <x v="2"/>
    <s v=""/>
    <n v="0"/>
    <n v="0"/>
    <n v="0"/>
    <n v="0"/>
    <n v="0"/>
    <n v="0"/>
  </r>
  <r>
    <x v="210"/>
    <s v="#LI2NSU1XL "/>
    <x v="29"/>
    <n v="6"/>
    <s v="JUN"/>
    <n v="0"/>
    <x v="0"/>
    <n v="0"/>
    <x v="1"/>
    <d v="1899-12-30T00:36:00"/>
    <n v="2.82"/>
    <n v="4.9799319105319029"/>
    <n v="4.2300000000000004"/>
    <n v="7.0500000000000256"/>
    <n v="1"/>
    <n v="2.7712769580847758"/>
  </r>
  <r>
    <x v="210"/>
    <n v="0"/>
    <x v="29"/>
    <n v="6"/>
    <s v="JUN"/>
    <n v="0"/>
    <x v="0"/>
    <n v="0"/>
    <x v="3"/>
    <s v=""/>
    <n v="0"/>
    <n v="0"/>
    <n v="0"/>
    <n v="0"/>
    <n v="0"/>
    <n v="0"/>
  </r>
  <r>
    <x v="210"/>
    <n v="0"/>
    <x v="29"/>
    <n v="6"/>
    <s v="JUN"/>
    <n v="0"/>
    <x v="0"/>
    <n v="0"/>
    <x v="2"/>
    <s v=""/>
    <n v="0"/>
    <n v="0"/>
    <n v="0"/>
    <n v="0"/>
    <n v="0"/>
    <n v="0"/>
  </r>
  <r>
    <x v="210"/>
    <n v="0"/>
    <x v="29"/>
    <n v="6"/>
    <s v="JUN"/>
    <n v="0"/>
    <x v="0"/>
    <n v="0"/>
    <x v="2"/>
    <s v=""/>
    <n v="0"/>
    <n v="0"/>
    <n v="0"/>
    <n v="0"/>
    <n v="0"/>
    <n v="0"/>
  </r>
  <r>
    <x v="211"/>
    <s v="#LILL3CYAX "/>
    <x v="29"/>
    <n v="6"/>
    <s v="JUN"/>
    <n v="0"/>
    <x v="0"/>
    <n v="0"/>
    <x v="3"/>
    <d v="1899-12-30T00:54:00"/>
    <n v="13.01"/>
    <n v="22.974792253907822"/>
    <n v="9.7799999999999994"/>
    <n v="10.86666666666664"/>
    <n v="1"/>
    <n v="6.4073495626640904"/>
  </r>
  <r>
    <x v="211"/>
    <n v="0"/>
    <x v="29"/>
    <n v="6"/>
    <s v="JUN"/>
    <n v="0"/>
    <x v="0"/>
    <n v="0"/>
    <x v="5"/>
    <s v=""/>
    <n v="0"/>
    <n v="0"/>
    <n v="0"/>
    <n v="0"/>
    <n v="0"/>
    <n v="0"/>
  </r>
  <r>
    <x v="211"/>
    <n v="0"/>
    <x v="29"/>
    <n v="6"/>
    <s v="JUN"/>
    <n v="0"/>
    <x v="0"/>
    <n v="0"/>
    <x v="2"/>
    <s v=""/>
    <n v="0"/>
    <n v="0"/>
    <n v="0"/>
    <n v="0"/>
    <n v="0"/>
    <n v="0"/>
  </r>
  <r>
    <x v="211"/>
    <n v="0"/>
    <x v="29"/>
    <n v="6"/>
    <s v="JUN"/>
    <n v="0"/>
    <x v="0"/>
    <n v="0"/>
    <x v="2"/>
    <s v=""/>
    <n v="0"/>
    <n v="0"/>
    <n v="0"/>
    <n v="0"/>
    <n v="0"/>
    <n v="0"/>
  </r>
  <r>
    <x v="212"/>
    <s v="#LIPRQ97NR "/>
    <x v="29"/>
    <n v="6"/>
    <s v="JUN"/>
    <n v="0"/>
    <x v="0"/>
    <n v="0"/>
    <x v="2"/>
    <d v="1899-12-30T00:00:00"/>
    <n v="6.22"/>
    <n v="10.984105135995899"/>
    <n v="6.36"/>
    <n v="0"/>
    <n v="1"/>
    <n v="4.1667426603827833"/>
  </r>
  <r>
    <x v="212"/>
    <n v="0"/>
    <x v="29"/>
    <n v="6"/>
    <s v="JUN"/>
    <n v="0"/>
    <x v="0"/>
    <n v="0"/>
    <x v="2"/>
    <s v=""/>
    <n v="0"/>
    <n v="0"/>
    <n v="0"/>
    <n v="0"/>
    <n v="0"/>
    <n v="0"/>
  </r>
  <r>
    <x v="212"/>
    <n v="0"/>
    <x v="29"/>
    <n v="6"/>
    <s v="JUN"/>
    <n v="0"/>
    <x v="0"/>
    <n v="0"/>
    <x v="2"/>
    <s v=""/>
    <n v="0"/>
    <n v="0"/>
    <n v="0"/>
    <n v="0"/>
    <n v="0"/>
    <n v="0"/>
  </r>
  <r>
    <x v="212"/>
    <n v="0"/>
    <x v="29"/>
    <n v="6"/>
    <s v="JUN"/>
    <n v="0"/>
    <x v="0"/>
    <n v="0"/>
    <x v="2"/>
    <s v=""/>
    <n v="0"/>
    <n v="0"/>
    <n v="0"/>
    <n v="0"/>
    <n v="0"/>
    <n v="0"/>
  </r>
  <r>
    <x v="213"/>
    <s v="#LIKJBFDY1 "/>
    <x v="29"/>
    <n v="6"/>
    <s v="JUN"/>
    <n v="0"/>
    <x v="0"/>
    <n v="0"/>
    <x v="5"/>
    <d v="1899-12-30T00:17:00"/>
    <n v="5.62"/>
    <n v="9.9245451550316641"/>
    <n v="4.6500000000000004"/>
    <n v="16.411764705882412"/>
    <n v="1"/>
    <n v="3.0464392092421293"/>
  </r>
  <r>
    <x v="213"/>
    <n v="0"/>
    <x v="29"/>
    <n v="6"/>
    <s v="JUN"/>
    <n v="0"/>
    <x v="0"/>
    <n v="0"/>
    <x v="5"/>
    <s v=""/>
    <n v="0"/>
    <n v="0"/>
    <n v="0"/>
    <n v="0"/>
    <n v="0"/>
    <n v="0"/>
  </r>
  <r>
    <x v="213"/>
    <n v="0"/>
    <x v="29"/>
    <n v="6"/>
    <s v="JUN"/>
    <n v="0"/>
    <x v="0"/>
    <n v="0"/>
    <x v="2"/>
    <s v=""/>
    <n v="0"/>
    <n v="0"/>
    <n v="0"/>
    <n v="0"/>
    <n v="0"/>
    <n v="0"/>
  </r>
  <r>
    <x v="213"/>
    <n v="0"/>
    <x v="29"/>
    <n v="6"/>
    <s v="JUN"/>
    <n v="0"/>
    <x v="0"/>
    <n v="0"/>
    <x v="2"/>
    <s v=""/>
    <n v="0"/>
    <n v="0"/>
    <n v="0"/>
    <n v="0"/>
    <n v="0"/>
    <n v="0"/>
  </r>
  <r>
    <x v="214"/>
    <s v="#LILQYWHPP "/>
    <x v="29"/>
    <n v="6"/>
    <s v="JUN"/>
    <n v="0"/>
    <x v="0"/>
    <n v="0"/>
    <x v="5"/>
    <d v="1899-12-30T01:21:00"/>
    <n v="13.89"/>
    <n v="24.528813559322032"/>
    <n v="1.95"/>
    <n v="1.4444444444444438"/>
    <n v="1"/>
    <n v="1.2775390232305703"/>
  </r>
  <r>
    <x v="214"/>
    <n v="0"/>
    <x v="29"/>
    <n v="6"/>
    <s v="JUN"/>
    <n v="0"/>
    <x v="0"/>
    <n v="0"/>
    <x v="4"/>
    <s v=""/>
    <n v="0"/>
    <n v="0"/>
    <n v="0"/>
    <n v="0"/>
    <n v="0"/>
    <n v="0"/>
  </r>
  <r>
    <x v="214"/>
    <n v="0"/>
    <x v="29"/>
    <n v="6"/>
    <s v="JUN"/>
    <n v="0"/>
    <x v="0"/>
    <n v="0"/>
    <x v="2"/>
    <s v=""/>
    <n v="0"/>
    <n v="0"/>
    <n v="0"/>
    <n v="0"/>
    <n v="0"/>
    <n v="0"/>
  </r>
  <r>
    <x v="214"/>
    <n v="0"/>
    <x v="29"/>
    <n v="6"/>
    <s v="JUN"/>
    <n v="0"/>
    <x v="0"/>
    <n v="0"/>
    <x v="2"/>
    <s v=""/>
    <n v="0"/>
    <n v="0"/>
    <n v="0"/>
    <n v="0"/>
    <n v="0"/>
    <n v="0"/>
  </r>
  <r>
    <x v="215"/>
    <s v="#LIBU2YDEF "/>
    <x v="29"/>
    <n v="6"/>
    <s v="JUN"/>
    <n v="0"/>
    <x v="0"/>
    <n v="0"/>
    <x v="4"/>
    <d v="1899-12-30T00:10:00"/>
    <n v="5.27"/>
    <n v="9.3064684994691937"/>
    <n v="4.34"/>
    <n v="26.040000000000092"/>
    <n v="1"/>
    <n v="2.8433432619593204"/>
  </r>
  <r>
    <x v="215"/>
    <n v="0"/>
    <x v="29"/>
    <n v="6"/>
    <s v="JUN"/>
    <n v="0"/>
    <x v="0"/>
    <n v="0"/>
    <x v="4"/>
    <s v=""/>
    <n v="0"/>
    <n v="0"/>
    <n v="0"/>
    <n v="0"/>
    <n v="0"/>
    <n v="0"/>
  </r>
  <r>
    <x v="215"/>
    <n v="0"/>
    <x v="29"/>
    <n v="6"/>
    <s v="JUN"/>
    <n v="0"/>
    <x v="0"/>
    <n v="0"/>
    <x v="2"/>
    <s v=""/>
    <n v="0"/>
    <n v="0"/>
    <n v="0"/>
    <n v="0"/>
    <n v="0"/>
    <n v="0"/>
  </r>
  <r>
    <x v="216"/>
    <s v="#LI1LDFBRE "/>
    <x v="30"/>
    <n v="6"/>
    <s v="JUN"/>
    <s v="JUN"/>
    <x v="1"/>
    <n v="8"/>
    <x v="0"/>
    <d v="1899-12-30T00:48:00"/>
    <n v="3.32"/>
    <n v="5.8628985613354319"/>
    <n v="2.66"/>
    <n v="3.3250000000000117"/>
    <n v="1"/>
    <n v="1.7426942573299062"/>
  </r>
  <r>
    <x v="216"/>
    <n v="0"/>
    <x v="30"/>
    <n v="6"/>
    <s v="JUN"/>
    <n v="0"/>
    <x v="1"/>
    <n v="0"/>
    <x v="1"/>
    <s v=""/>
    <n v="0"/>
    <n v="0"/>
    <n v="0"/>
    <n v="0"/>
    <n v="0"/>
    <n v="0"/>
  </r>
  <r>
    <x v="216"/>
    <n v="0"/>
    <x v="30"/>
    <n v="6"/>
    <s v="JUN"/>
    <n v="0"/>
    <x v="1"/>
    <n v="0"/>
    <x v="2"/>
    <s v=""/>
    <n v="0"/>
    <n v="0"/>
    <n v="0"/>
    <n v="0"/>
    <n v="0"/>
    <n v="0"/>
  </r>
  <r>
    <x v="216"/>
    <n v="0"/>
    <x v="30"/>
    <n v="6"/>
    <s v="JUN"/>
    <n v="0"/>
    <x v="1"/>
    <n v="0"/>
    <x v="2"/>
    <s v=""/>
    <n v="0"/>
    <n v="0"/>
    <n v="0"/>
    <n v="0"/>
    <n v="0"/>
    <n v="0"/>
  </r>
  <r>
    <x v="217"/>
    <s v="#LIYRVLZUF "/>
    <x v="30"/>
    <n v="6"/>
    <s v="JUN"/>
    <n v="0"/>
    <x v="1"/>
    <n v="0"/>
    <x v="1"/>
    <d v="1899-12-30T00:36:00"/>
    <n v="2.57"/>
    <n v="4.5384485851301379"/>
    <n v="3.61"/>
    <n v="6.0166666666666613"/>
    <n v="1"/>
    <n v="2.365085063519158"/>
  </r>
  <r>
    <x v="217"/>
    <n v="0"/>
    <x v="30"/>
    <n v="6"/>
    <s v="JUN"/>
    <n v="0"/>
    <x v="1"/>
    <n v="0"/>
    <x v="3"/>
    <s v=""/>
    <n v="0"/>
    <n v="0"/>
    <n v="0"/>
    <n v="0"/>
    <n v="0"/>
    <n v="0"/>
  </r>
  <r>
    <x v="217"/>
    <n v="0"/>
    <x v="30"/>
    <n v="6"/>
    <s v="JUN"/>
    <n v="0"/>
    <x v="1"/>
    <n v="0"/>
    <x v="2"/>
    <s v=""/>
    <n v="0"/>
    <n v="0"/>
    <n v="0"/>
    <n v="0"/>
    <n v="0"/>
    <n v="0"/>
  </r>
  <r>
    <x v="217"/>
    <n v="0"/>
    <x v="30"/>
    <n v="6"/>
    <s v="JUN"/>
    <n v="0"/>
    <x v="1"/>
    <n v="0"/>
    <x v="2"/>
    <s v=""/>
    <n v="0"/>
    <n v="0"/>
    <n v="0"/>
    <n v="0"/>
    <n v="0"/>
    <n v="0"/>
  </r>
  <r>
    <x v="218"/>
    <s v="#LIXHTWQVZ "/>
    <x v="30"/>
    <n v="6"/>
    <s v="JUN"/>
    <n v="0"/>
    <x v="1"/>
    <n v="0"/>
    <x v="3"/>
    <d v="1899-12-30T00:36:00"/>
    <n v="3.21"/>
    <n v="5.6686458981586556"/>
    <n v="3.19"/>
    <n v="5.316666666666638"/>
    <n v="1"/>
    <n v="2.0899228123618045"/>
  </r>
  <r>
    <x v="218"/>
    <n v="0"/>
    <x v="30"/>
    <n v="6"/>
    <s v="JUN"/>
    <n v="0"/>
    <x v="1"/>
    <n v="0"/>
    <x v="3"/>
    <s v=""/>
    <n v="0"/>
    <n v="0"/>
    <n v="0"/>
    <n v="0"/>
    <n v="0"/>
    <n v="0"/>
  </r>
  <r>
    <x v="218"/>
    <n v="0"/>
    <x v="30"/>
    <n v="6"/>
    <s v="JUN"/>
    <n v="0"/>
    <x v="1"/>
    <n v="0"/>
    <x v="2"/>
    <s v=""/>
    <n v="0"/>
    <n v="0"/>
    <n v="0"/>
    <n v="0"/>
    <n v="0"/>
    <n v="0"/>
  </r>
  <r>
    <x v="218"/>
    <n v="0"/>
    <x v="30"/>
    <n v="6"/>
    <s v="JUN"/>
    <n v="0"/>
    <x v="1"/>
    <n v="0"/>
    <x v="2"/>
    <s v=""/>
    <n v="0"/>
    <n v="0"/>
    <n v="0"/>
    <n v="0"/>
    <n v="0"/>
    <n v="0"/>
  </r>
  <r>
    <x v="219"/>
    <s v="#LISJZXNNK "/>
    <x v="30"/>
    <n v="6"/>
    <s v="JUN"/>
    <n v="0"/>
    <x v="1"/>
    <n v="0"/>
    <x v="3"/>
    <d v="1899-12-30T00:37:00"/>
    <n v="5.13"/>
    <n v="9.0592378372442059"/>
    <n v="3.29"/>
    <n v="5.3351351351351308"/>
    <n v="1"/>
    <n v="2.1554376340659367"/>
  </r>
  <r>
    <x v="219"/>
    <n v="0"/>
    <x v="30"/>
    <n v="6"/>
    <s v="JUN"/>
    <n v="0"/>
    <x v="1"/>
    <n v="0"/>
    <x v="5"/>
    <s v=""/>
    <n v="0"/>
    <n v="0"/>
    <n v="0"/>
    <n v="0"/>
    <n v="0"/>
    <n v="0"/>
  </r>
  <r>
    <x v="219"/>
    <n v="0"/>
    <x v="30"/>
    <n v="6"/>
    <s v="JUN"/>
    <n v="0"/>
    <x v="1"/>
    <n v="0"/>
    <x v="2"/>
    <s v=""/>
    <n v="0"/>
    <n v="0"/>
    <n v="0"/>
    <n v="0"/>
    <n v="0"/>
    <n v="0"/>
  </r>
  <r>
    <x v="219"/>
    <n v="0"/>
    <x v="30"/>
    <n v="6"/>
    <s v="JUN"/>
    <n v="0"/>
    <x v="1"/>
    <n v="0"/>
    <x v="2"/>
    <s v=""/>
    <n v="0"/>
    <n v="0"/>
    <n v="0"/>
    <n v="0"/>
    <n v="0"/>
    <n v="0"/>
  </r>
  <r>
    <x v="220"/>
    <s v="#LIA1Z7Q2L "/>
    <x v="30"/>
    <n v="6"/>
    <s v="JUN"/>
    <n v="0"/>
    <x v="1"/>
    <n v="0"/>
    <x v="5"/>
    <d v="1899-12-30T00:30:00"/>
    <n v="3.68"/>
    <n v="6.498634549913973"/>
    <n v="2.78"/>
    <n v="5.5599999999999898"/>
    <n v="1"/>
    <n v="1.8213120433748642"/>
  </r>
  <r>
    <x v="220"/>
    <n v="0"/>
    <x v="30"/>
    <n v="6"/>
    <s v="JUN"/>
    <n v="0"/>
    <x v="1"/>
    <n v="0"/>
    <x v="4"/>
    <s v=""/>
    <n v="0"/>
    <n v="0"/>
    <n v="0"/>
    <n v="0"/>
    <n v="0"/>
    <n v="0"/>
  </r>
  <r>
    <x v="220"/>
    <n v="0"/>
    <x v="30"/>
    <n v="6"/>
    <s v="JUN"/>
    <n v="0"/>
    <x v="1"/>
    <n v="0"/>
    <x v="2"/>
    <s v=""/>
    <n v="0"/>
    <n v="0"/>
    <n v="0"/>
    <n v="0"/>
    <n v="0"/>
    <n v="0"/>
  </r>
  <r>
    <x v="221"/>
    <s v="#LIT9YFULG "/>
    <x v="31"/>
    <n v="6"/>
    <s v="JUN"/>
    <s v="JUN"/>
    <x v="2"/>
    <n v="9"/>
    <x v="13"/>
    <d v="1899-12-30T02:32:00"/>
    <n v="6.58"/>
    <n v="11.619841124574441"/>
    <n v="1.5"/>
    <n v="0.59210526315789436"/>
    <n v="1"/>
    <n v="0.98272232556197714"/>
  </r>
  <r>
    <x v="221"/>
    <n v="0"/>
    <x v="31"/>
    <n v="6"/>
    <s v="JUN"/>
    <n v="0"/>
    <x v="2"/>
    <n v="0"/>
    <x v="0"/>
    <s v=""/>
    <n v="0"/>
    <n v="0"/>
    <n v="0"/>
    <n v="0"/>
    <n v="0"/>
    <n v="0"/>
  </r>
  <r>
    <x v="221"/>
    <n v="0"/>
    <x v="31"/>
    <n v="6"/>
    <s v="JUN"/>
    <n v="0"/>
    <x v="2"/>
    <n v="0"/>
    <x v="2"/>
    <s v=""/>
    <n v="0"/>
    <n v="0"/>
    <n v="0"/>
    <n v="0"/>
    <n v="0"/>
    <n v="0"/>
  </r>
  <r>
    <x v="221"/>
    <n v="0"/>
    <x v="31"/>
    <n v="6"/>
    <s v="JUN"/>
    <n v="0"/>
    <x v="2"/>
    <n v="0"/>
    <x v="2"/>
    <s v=""/>
    <n v="0"/>
    <n v="0"/>
    <n v="0"/>
    <n v="0"/>
    <n v="0"/>
    <n v="0"/>
  </r>
  <r>
    <x v="222"/>
    <s v="#LIM1M171B "/>
    <x v="31"/>
    <n v="6"/>
    <s v="JUN"/>
    <n v="0"/>
    <x v="2"/>
    <n v="0"/>
    <x v="1"/>
    <d v="1899-12-30T00:43:00"/>
    <n v="7.04"/>
    <n v="12.432170443313687"/>
    <n v="3.96"/>
    <n v="5.5255813953488566"/>
    <n v="1"/>
    <n v="2.5943869394836194"/>
  </r>
  <r>
    <x v="222"/>
    <n v="0"/>
    <x v="31"/>
    <n v="6"/>
    <s v="JUN"/>
    <n v="0"/>
    <x v="2"/>
    <n v="0"/>
    <x v="3"/>
    <s v=""/>
    <n v="0"/>
    <n v="0"/>
    <n v="0"/>
    <n v="0"/>
    <n v="0"/>
    <n v="0"/>
  </r>
  <r>
    <x v="222"/>
    <n v="0"/>
    <x v="31"/>
    <n v="6"/>
    <s v="JUN"/>
    <n v="0"/>
    <x v="2"/>
    <n v="0"/>
    <x v="2"/>
    <s v=""/>
    <n v="0"/>
    <n v="0"/>
    <n v="0"/>
    <n v="0"/>
    <n v="0"/>
    <n v="0"/>
  </r>
  <r>
    <x v="222"/>
    <n v="0"/>
    <x v="31"/>
    <n v="6"/>
    <s v="JUN"/>
    <n v="0"/>
    <x v="2"/>
    <n v="0"/>
    <x v="2"/>
    <s v=""/>
    <n v="0"/>
    <n v="0"/>
    <n v="0"/>
    <n v="0"/>
    <n v="0"/>
    <n v="0"/>
  </r>
  <r>
    <x v="223"/>
    <s v="#LIRLMPAFB "/>
    <x v="31"/>
    <n v="6"/>
    <s v="JUN"/>
    <n v="0"/>
    <x v="2"/>
    <n v="0"/>
    <x v="3"/>
    <d v="1899-12-30T00:28:00"/>
    <n v="8.58"/>
    <n v="15.151707727788555"/>
    <n v="4.59"/>
    <n v="9.8357142857143209"/>
    <n v="1"/>
    <n v="3.0071303162196501"/>
  </r>
  <r>
    <x v="223"/>
    <n v="0"/>
    <x v="31"/>
    <n v="6"/>
    <s v="JUN"/>
    <n v="0"/>
    <x v="2"/>
    <n v="0"/>
    <x v="5"/>
    <s v=""/>
    <n v="0"/>
    <n v="0"/>
    <n v="0"/>
    <n v="0"/>
    <n v="0"/>
    <n v="0"/>
  </r>
  <r>
    <x v="223"/>
    <n v="0"/>
    <x v="31"/>
    <n v="6"/>
    <s v="JUN"/>
    <n v="0"/>
    <x v="2"/>
    <n v="0"/>
    <x v="2"/>
    <s v=""/>
    <n v="0"/>
    <n v="0"/>
    <n v="0"/>
    <n v="0"/>
    <n v="0"/>
    <n v="0"/>
  </r>
  <r>
    <x v="223"/>
    <n v="0"/>
    <x v="31"/>
    <n v="6"/>
    <s v="JUN"/>
    <n v="0"/>
    <x v="2"/>
    <n v="0"/>
    <x v="2"/>
    <s v=""/>
    <n v="0"/>
    <n v="0"/>
    <n v="0"/>
    <n v="0"/>
    <n v="0"/>
    <n v="0"/>
  </r>
  <r>
    <x v="224"/>
    <s v="#LIQZXV4DU "/>
    <x v="31"/>
    <n v="6"/>
    <s v="JUN"/>
    <n v="0"/>
    <x v="2"/>
    <n v="0"/>
    <x v="3"/>
    <d v="1899-12-30T00:34:00"/>
    <n v="11.15"/>
    <n v="19.690156312918695"/>
    <n v="5.78"/>
    <n v="10.200000000000037"/>
    <n v="1"/>
    <n v="3.7867566944988189"/>
  </r>
  <r>
    <x v="224"/>
    <n v="0"/>
    <x v="31"/>
    <n v="6"/>
    <s v="JUN"/>
    <n v="0"/>
    <x v="2"/>
    <n v="0"/>
    <x v="3"/>
    <s v=""/>
    <n v="0"/>
    <n v="0"/>
    <n v="0"/>
    <n v="0"/>
    <n v="0"/>
    <n v="0"/>
  </r>
  <r>
    <x v="224"/>
    <n v="0"/>
    <x v="31"/>
    <n v="6"/>
    <s v="JUN"/>
    <n v="0"/>
    <x v="2"/>
    <n v="0"/>
    <x v="2"/>
    <s v=""/>
    <n v="0"/>
    <n v="0"/>
    <n v="0"/>
    <n v="0"/>
    <n v="0"/>
    <n v="0"/>
  </r>
  <r>
    <x v="224"/>
    <n v="0"/>
    <x v="31"/>
    <n v="6"/>
    <s v="JUN"/>
    <n v="0"/>
    <x v="2"/>
    <n v="0"/>
    <x v="2"/>
    <s v=""/>
    <n v="0"/>
    <n v="0"/>
    <n v="0"/>
    <n v="0"/>
    <n v="0"/>
    <n v="0"/>
  </r>
  <r>
    <x v="225"/>
    <s v="#LI1369WZW "/>
    <x v="31"/>
    <n v="6"/>
    <s v="JUN"/>
    <n v="0"/>
    <x v="2"/>
    <n v="0"/>
    <x v="5"/>
    <d v="1899-12-30T00:25:00"/>
    <n v="7.7"/>
    <n v="13.597686422374345"/>
    <n v="4.28"/>
    <n v="10.271999999999972"/>
    <n v="1"/>
    <n v="2.8040343689368417"/>
  </r>
  <r>
    <x v="225"/>
    <n v="0"/>
    <x v="31"/>
    <n v="6"/>
    <s v="JUN"/>
    <n v="0"/>
    <x v="2"/>
    <n v="0"/>
    <x v="5"/>
    <s v=""/>
    <n v="0"/>
    <n v="0"/>
    <n v="0"/>
    <n v="0"/>
    <n v="0"/>
    <n v="0"/>
  </r>
  <r>
    <x v="225"/>
    <n v="0"/>
    <x v="31"/>
    <n v="6"/>
    <s v="JUN"/>
    <n v="0"/>
    <x v="2"/>
    <n v="0"/>
    <x v="2"/>
    <s v=""/>
    <n v="0"/>
    <n v="0"/>
    <n v="0"/>
    <n v="0"/>
    <n v="0"/>
    <n v="0"/>
  </r>
  <r>
    <x v="225"/>
    <n v="0"/>
    <x v="31"/>
    <n v="6"/>
    <s v="JUN"/>
    <n v="0"/>
    <x v="2"/>
    <n v="0"/>
    <x v="2"/>
    <s v=""/>
    <n v="0"/>
    <n v="0"/>
    <n v="0"/>
    <n v="0"/>
    <n v="0"/>
    <n v="0"/>
  </r>
  <r>
    <x v="226"/>
    <s v="#LIDVTT61Y "/>
    <x v="31"/>
    <n v="6"/>
    <s v="JUN"/>
    <n v="0"/>
    <x v="2"/>
    <n v="0"/>
    <x v="4"/>
    <d v="1899-12-30T00:39:00"/>
    <n v="15.32"/>
    <n v="27.054098180620127"/>
    <n v="6.92"/>
    <n v="10.646153846153796"/>
    <n v="1"/>
    <n v="4.533625661925921"/>
  </r>
  <r>
    <x v="226"/>
    <n v="0"/>
    <x v="31"/>
    <n v="6"/>
    <s v="JUN"/>
    <n v="0"/>
    <x v="2"/>
    <n v="0"/>
    <x v="4"/>
    <s v=""/>
    <n v="0"/>
    <n v="0"/>
    <n v="0"/>
    <n v="0"/>
    <n v="0"/>
    <n v="0"/>
  </r>
  <r>
    <x v="226"/>
    <n v="0"/>
    <x v="31"/>
    <n v="6"/>
    <s v="JUN"/>
    <n v="0"/>
    <x v="2"/>
    <n v="0"/>
    <x v="2"/>
    <s v=""/>
    <n v="0"/>
    <n v="0"/>
    <n v="0"/>
    <n v="0"/>
    <n v="0"/>
    <n v="0"/>
  </r>
  <r>
    <x v="227"/>
    <s v="#LISZ1PJGS "/>
    <x v="32"/>
    <n v="6"/>
    <s v="JUN"/>
    <s v="JUN"/>
    <x v="3"/>
    <n v="10"/>
    <x v="11"/>
    <d v="1899-12-30T00:36:00"/>
    <n v="2.44"/>
    <n v="4.308877255921221"/>
    <n v="2.35"/>
    <n v="3.9166666666666718"/>
    <n v="1"/>
    <n v="1.5395983100470976"/>
  </r>
  <r>
    <x v="227"/>
    <n v="0"/>
    <x v="32"/>
    <n v="6"/>
    <s v="JUN"/>
    <n v="0"/>
    <x v="3"/>
    <n v="0"/>
    <x v="11"/>
    <s v=""/>
    <n v="0"/>
    <n v="0"/>
    <n v="0"/>
    <n v="0"/>
    <n v="0"/>
    <n v="0"/>
  </r>
  <r>
    <x v="227"/>
    <n v="0"/>
    <x v="32"/>
    <n v="6"/>
    <s v="JUN"/>
    <n v="0"/>
    <x v="3"/>
    <n v="0"/>
    <x v="2"/>
    <s v=""/>
    <n v="0"/>
    <n v="0"/>
    <n v="0"/>
    <n v="0"/>
    <n v="0"/>
    <n v="0"/>
  </r>
  <r>
    <x v="227"/>
    <n v="0"/>
    <x v="32"/>
    <n v="6"/>
    <s v="JUN"/>
    <n v="0"/>
    <x v="3"/>
    <n v="0"/>
    <x v="2"/>
    <s v=""/>
    <n v="0"/>
    <n v="0"/>
    <n v="0"/>
    <n v="0"/>
    <n v="0"/>
    <n v="0"/>
  </r>
  <r>
    <x v="228"/>
    <s v="#LIJX1LUBX "/>
    <x v="32"/>
    <n v="6"/>
    <s v="JUN"/>
    <n v="0"/>
    <x v="3"/>
    <n v="0"/>
    <x v="11"/>
    <d v="1899-12-30T00:28:00"/>
    <n v="4.08"/>
    <n v="7.2050078705567957"/>
    <n v="3.04"/>
    <n v="6.5142857142857187"/>
    <n v="1"/>
    <n v="1.991650579805607"/>
  </r>
  <r>
    <x v="228"/>
    <n v="0"/>
    <x v="32"/>
    <n v="6"/>
    <s v="JUN"/>
    <n v="0"/>
    <x v="3"/>
    <n v="0"/>
    <x v="6"/>
    <s v=""/>
    <n v="0"/>
    <n v="0"/>
    <n v="0"/>
    <n v="0"/>
    <n v="0"/>
    <n v="0"/>
  </r>
  <r>
    <x v="228"/>
    <n v="0"/>
    <x v="32"/>
    <n v="6"/>
    <s v="JUN"/>
    <n v="0"/>
    <x v="3"/>
    <n v="0"/>
    <x v="2"/>
    <s v=""/>
    <n v="0"/>
    <n v="0"/>
    <n v="0"/>
    <n v="0"/>
    <n v="0"/>
    <n v="0"/>
  </r>
  <r>
    <x v="228"/>
    <n v="0"/>
    <x v="32"/>
    <n v="6"/>
    <s v="JUN"/>
    <n v="0"/>
    <x v="3"/>
    <n v="0"/>
    <x v="2"/>
    <s v=""/>
    <n v="0"/>
    <n v="0"/>
    <n v="0"/>
    <n v="0"/>
    <n v="0"/>
    <n v="0"/>
  </r>
  <r>
    <x v="229"/>
    <s v="#LIJ1RSW4X "/>
    <x v="32"/>
    <n v="6"/>
    <s v="JUN"/>
    <n v="0"/>
    <x v="3"/>
    <n v="0"/>
    <x v="6"/>
    <d v="1899-12-30T00:56:00"/>
    <n v="5.59"/>
    <n v="9.8715671559834526"/>
    <n v="4.22"/>
    <n v="4.521428571428574"/>
    <n v="1"/>
    <n v="2.764725475914362"/>
  </r>
  <r>
    <x v="229"/>
    <n v="0"/>
    <x v="32"/>
    <n v="6"/>
    <s v="JUN"/>
    <n v="0"/>
    <x v="3"/>
    <n v="0"/>
    <x v="7"/>
    <s v=""/>
    <n v="0"/>
    <n v="0"/>
    <n v="0"/>
    <n v="0"/>
    <n v="0"/>
    <n v="0"/>
  </r>
  <r>
    <x v="229"/>
    <n v="0"/>
    <x v="32"/>
    <n v="6"/>
    <s v="JUN"/>
    <n v="0"/>
    <x v="3"/>
    <n v="0"/>
    <x v="2"/>
    <s v=""/>
    <n v="0"/>
    <n v="0"/>
    <n v="0"/>
    <n v="0"/>
    <n v="0"/>
    <n v="0"/>
  </r>
  <r>
    <x v="229"/>
    <n v="0"/>
    <x v="32"/>
    <n v="6"/>
    <s v="JUN"/>
    <n v="0"/>
    <x v="3"/>
    <n v="0"/>
    <x v="2"/>
    <s v=""/>
    <n v="0"/>
    <n v="0"/>
    <n v="0"/>
    <n v="0"/>
    <n v="0"/>
    <n v="0"/>
  </r>
  <r>
    <x v="229"/>
    <n v="0"/>
    <x v="32"/>
    <n v="6"/>
    <s v="JUN"/>
    <n v="0"/>
    <x v="3"/>
    <n v="0"/>
    <x v="2"/>
    <s v=""/>
    <n v="0"/>
    <n v="0"/>
    <n v="0"/>
    <n v="0"/>
    <n v="0"/>
    <n v="0"/>
  </r>
  <r>
    <x v="230"/>
    <s v="#LINFHGRHR "/>
    <x v="32"/>
    <n v="6"/>
    <s v="JUN"/>
    <n v="0"/>
    <x v="3"/>
    <n v="0"/>
    <x v="7"/>
    <d v="1899-12-30T00:35:00"/>
    <n v="10.16"/>
    <n v="17.941882344327706"/>
    <n v="5.19"/>
    <n v="8.8971428571428479"/>
    <n v="1"/>
    <n v="3.4002192464444412"/>
  </r>
  <r>
    <x v="230"/>
    <n v="0"/>
    <x v="32"/>
    <n v="6"/>
    <s v="JUN"/>
    <n v="0"/>
    <x v="3"/>
    <n v="0"/>
    <x v="7"/>
    <s v=""/>
    <n v="0"/>
    <n v="0"/>
    <n v="0"/>
    <n v="0"/>
    <n v="0"/>
    <n v="0"/>
  </r>
  <r>
    <x v="230"/>
    <n v="0"/>
    <x v="32"/>
    <n v="6"/>
    <s v="JUN"/>
    <n v="0"/>
    <x v="3"/>
    <n v="0"/>
    <x v="2"/>
    <s v=""/>
    <n v="0"/>
    <n v="0"/>
    <n v="0"/>
    <n v="0"/>
    <n v="0"/>
    <n v="0"/>
  </r>
  <r>
    <x v="230"/>
    <n v="0"/>
    <x v="32"/>
    <n v="6"/>
    <s v="JUN"/>
    <n v="0"/>
    <x v="3"/>
    <n v="0"/>
    <x v="2"/>
    <s v=""/>
    <n v="0"/>
    <n v="0"/>
    <n v="0"/>
    <n v="0"/>
    <n v="0"/>
    <n v="0"/>
  </r>
  <r>
    <x v="231"/>
    <s v="#LI1TRCDNR "/>
    <x v="32"/>
    <n v="6"/>
    <s v="JUN"/>
    <n v="0"/>
    <x v="3"/>
    <n v="0"/>
    <x v="8"/>
    <d v="1899-12-30T00:51:00"/>
    <n v="1.62"/>
    <n v="2.8608119486034336"/>
    <n v="2.4900000000000002"/>
    <n v="2.9294117647058839"/>
    <n v="1"/>
    <n v="1.6313190604328822"/>
  </r>
  <r>
    <x v="231"/>
    <n v="0"/>
    <x v="32"/>
    <n v="6"/>
    <s v="JUN"/>
    <n v="0"/>
    <x v="3"/>
    <n v="0"/>
    <x v="8"/>
    <s v=""/>
    <n v="0"/>
    <n v="0"/>
    <n v="0"/>
    <n v="0"/>
    <n v="0"/>
    <n v="0"/>
  </r>
  <r>
    <x v="231"/>
    <n v="0"/>
    <x v="32"/>
    <n v="6"/>
    <s v="JUN"/>
    <n v="0"/>
    <x v="3"/>
    <n v="0"/>
    <x v="2"/>
    <s v=""/>
    <n v="0"/>
    <n v="0"/>
    <n v="0"/>
    <n v="0"/>
    <n v="0"/>
    <n v="0"/>
  </r>
  <r>
    <x v="231"/>
    <n v="0"/>
    <x v="32"/>
    <n v="6"/>
    <s v="JUN"/>
    <n v="0"/>
    <x v="3"/>
    <n v="0"/>
    <x v="2"/>
    <s v=""/>
    <n v="0"/>
    <n v="0"/>
    <n v="0"/>
    <n v="0"/>
    <n v="0"/>
    <n v="0"/>
  </r>
  <r>
    <x v="232"/>
    <s v="#LIVBUHBTE "/>
    <x v="32"/>
    <n v="6"/>
    <s v="JUN"/>
    <n v="0"/>
    <x v="3"/>
    <n v="0"/>
    <x v="8"/>
    <d v="1899-12-30T00:52:00"/>
    <n v="6.85"/>
    <n v="12.096643116008345"/>
    <n v="3.89"/>
    <n v="4.4884615384615412"/>
    <n v="1"/>
    <n v="2.5485265642907273"/>
  </r>
  <r>
    <x v="232"/>
    <n v="0"/>
    <x v="32"/>
    <n v="6"/>
    <s v="JUN"/>
    <n v="0"/>
    <x v="3"/>
    <n v="0"/>
    <x v="9"/>
    <s v=""/>
    <n v="0"/>
    <n v="0"/>
    <n v="0"/>
    <n v="0"/>
    <n v="0"/>
    <n v="0"/>
  </r>
  <r>
    <x v="232"/>
    <n v="0"/>
    <x v="32"/>
    <n v="6"/>
    <s v="JUN"/>
    <n v="0"/>
    <x v="3"/>
    <n v="0"/>
    <x v="2"/>
    <s v=""/>
    <n v="0"/>
    <n v="0"/>
    <n v="0"/>
    <n v="0"/>
    <n v="0"/>
    <n v="0"/>
  </r>
  <r>
    <x v="232"/>
    <n v="0"/>
    <x v="32"/>
    <n v="6"/>
    <s v="JUN"/>
    <n v="0"/>
    <x v="3"/>
    <n v="0"/>
    <x v="2"/>
    <s v=""/>
    <n v="0"/>
    <n v="0"/>
    <n v="0"/>
    <n v="0"/>
    <n v="0"/>
    <n v="0"/>
  </r>
  <r>
    <x v="233"/>
    <s v="#LI1WTMGAE "/>
    <x v="32"/>
    <n v="6"/>
    <s v="JUN"/>
    <n v="0"/>
    <x v="3"/>
    <n v="0"/>
    <x v="9"/>
    <d v="1899-12-30T00:45:00"/>
    <n v="9.61"/>
    <n v="16.970619028443824"/>
    <n v="5.35"/>
    <n v="7.1333333333333329"/>
    <n v="1"/>
    <n v="3.5050429611710516"/>
  </r>
  <r>
    <x v="233"/>
    <n v="0"/>
    <x v="32"/>
    <n v="6"/>
    <s v="JUN"/>
    <n v="0"/>
    <x v="3"/>
    <n v="0"/>
    <x v="10"/>
    <s v=""/>
    <n v="0"/>
    <n v="0"/>
    <n v="0"/>
    <n v="0"/>
    <n v="0"/>
    <n v="0"/>
  </r>
  <r>
    <x v="233"/>
    <n v="0"/>
    <x v="32"/>
    <n v="6"/>
    <s v="JUN"/>
    <n v="0"/>
    <x v="3"/>
    <n v="0"/>
    <x v="2"/>
    <s v=""/>
    <n v="0"/>
    <n v="0"/>
    <n v="0"/>
    <n v="0"/>
    <n v="0"/>
    <n v="0"/>
  </r>
  <r>
    <x v="233"/>
    <n v="0"/>
    <x v="32"/>
    <n v="6"/>
    <s v="JUN"/>
    <n v="0"/>
    <x v="3"/>
    <n v="0"/>
    <x v="2"/>
    <s v=""/>
    <n v="0"/>
    <n v="0"/>
    <n v="0"/>
    <n v="0"/>
    <n v="0"/>
    <n v="0"/>
  </r>
  <r>
    <x v="234"/>
    <s v="#LIBCCVURP "/>
    <x v="32"/>
    <n v="6"/>
    <s v="JUN"/>
    <n v="0"/>
    <x v="3"/>
    <n v="0"/>
    <x v="10"/>
    <d v="1899-12-30T00:58:00"/>
    <n v="11.67"/>
    <n v="20.608441629754363"/>
    <n v="5.97"/>
    <n v="6.1758620689655217"/>
    <n v="1"/>
    <n v="3.911234855736669"/>
  </r>
  <r>
    <x v="234"/>
    <n v="0"/>
    <x v="32"/>
    <n v="6"/>
    <s v="JUN"/>
    <n v="0"/>
    <x v="3"/>
    <n v="0"/>
    <x v="12"/>
    <s v=""/>
    <n v="0"/>
    <n v="0"/>
    <n v="0"/>
    <n v="0"/>
    <n v="0"/>
    <n v="0"/>
  </r>
  <r>
    <x v="234"/>
    <n v="0"/>
    <x v="32"/>
    <n v="6"/>
    <s v="JUN"/>
    <n v="0"/>
    <x v="3"/>
    <n v="0"/>
    <x v="2"/>
    <s v=""/>
    <n v="0"/>
    <n v="0"/>
    <n v="0"/>
    <n v="0"/>
    <n v="0"/>
    <n v="0"/>
  </r>
  <r>
    <x v="234"/>
    <n v="0"/>
    <x v="32"/>
    <n v="6"/>
    <s v="JUN"/>
    <n v="0"/>
    <x v="3"/>
    <n v="0"/>
    <x v="2"/>
    <s v=""/>
    <n v="0"/>
    <n v="0"/>
    <n v="0"/>
    <n v="0"/>
    <n v="0"/>
    <n v="0"/>
  </r>
  <r>
    <x v="235"/>
    <s v="#LIRLNLFEC "/>
    <x v="32"/>
    <n v="6"/>
    <s v="JUN"/>
    <n v="0"/>
    <x v="3"/>
    <n v="0"/>
    <x v="12"/>
    <d v="1899-12-30T00:33:00"/>
    <n v="10.1"/>
    <n v="17.835926346231282"/>
    <n v="6.66"/>
    <n v="12.109090909090893"/>
    <n v="1"/>
    <n v="4.3632871254951784"/>
  </r>
  <r>
    <x v="235"/>
    <n v="0"/>
    <x v="32"/>
    <n v="6"/>
    <s v="JUN"/>
    <n v="0"/>
    <x v="3"/>
    <n v="0"/>
    <x v="12"/>
    <s v=""/>
    <n v="0"/>
    <n v="0"/>
    <n v="0"/>
    <n v="0"/>
    <n v="0"/>
    <n v="0"/>
  </r>
  <r>
    <x v="235"/>
    <n v="0"/>
    <x v="32"/>
    <n v="6"/>
    <s v="JUN"/>
    <n v="0"/>
    <x v="3"/>
    <n v="0"/>
    <x v="2"/>
    <s v=""/>
    <n v="0"/>
    <n v="0"/>
    <n v="0"/>
    <n v="0"/>
    <n v="0"/>
    <n v="0"/>
  </r>
  <r>
    <x v="235"/>
    <n v="0"/>
    <x v="32"/>
    <n v="6"/>
    <s v="JUN"/>
    <n v="0"/>
    <x v="3"/>
    <n v="0"/>
    <x v="2"/>
    <s v=""/>
    <n v="0"/>
    <n v="0"/>
    <n v="0"/>
    <n v="0"/>
    <n v="0"/>
    <n v="0"/>
  </r>
  <r>
    <x v="236"/>
    <s v="#LIYEMWUGX "/>
    <x v="32"/>
    <n v="6"/>
    <s v="JUN"/>
    <n v="0"/>
    <x v="3"/>
    <n v="0"/>
    <x v="13"/>
    <d v="1899-12-30T01:14:00"/>
    <n v="13.24"/>
    <n v="23.380956913277444"/>
    <n v="6.13"/>
    <n v="4.9702702702702775"/>
    <n v="1"/>
    <n v="4.0160585704632794"/>
  </r>
  <r>
    <x v="236"/>
    <n v="0"/>
    <x v="32"/>
    <n v="6"/>
    <s v="JUN"/>
    <n v="0"/>
    <x v="3"/>
    <n v="0"/>
    <x v="14"/>
    <s v=""/>
    <n v="0"/>
    <n v="0"/>
    <n v="0"/>
    <n v="0"/>
    <n v="0"/>
    <n v="0"/>
  </r>
  <r>
    <x v="236"/>
    <n v="0"/>
    <x v="32"/>
    <n v="6"/>
    <s v="JUN"/>
    <n v="0"/>
    <x v="3"/>
    <n v="0"/>
    <x v="2"/>
    <s v=""/>
    <n v="0"/>
    <n v="0"/>
    <n v="0"/>
    <n v="0"/>
    <n v="0"/>
    <n v="0"/>
  </r>
  <r>
    <x v="236"/>
    <n v="0"/>
    <x v="32"/>
    <n v="6"/>
    <s v="JUN"/>
    <n v="0"/>
    <x v="3"/>
    <n v="0"/>
    <x v="2"/>
    <s v=""/>
    <n v="0"/>
    <n v="0"/>
    <n v="0"/>
    <n v="0"/>
    <n v="0"/>
    <n v="0"/>
  </r>
  <r>
    <x v="237"/>
    <s v="#LIGPNJ2LK "/>
    <x v="32"/>
    <n v="6"/>
    <s v="JUN"/>
    <n v="0"/>
    <x v="3"/>
    <n v="0"/>
    <x v="0"/>
    <d v="1899-12-30T00:54:00"/>
    <n v="6.44"/>
    <n v="11.372610462349453"/>
    <n v="3.96"/>
    <n v="4.4000000000000155"/>
    <n v="1"/>
    <n v="2.5943869394836194"/>
  </r>
  <r>
    <x v="237"/>
    <n v="0"/>
    <x v="32"/>
    <n v="6"/>
    <s v="JUN"/>
    <n v="0"/>
    <x v="3"/>
    <n v="0"/>
    <x v="1"/>
    <s v=""/>
    <n v="0"/>
    <n v="0"/>
    <n v="0"/>
    <n v="0"/>
    <n v="0"/>
    <n v="0"/>
  </r>
  <r>
    <x v="237"/>
    <n v="0"/>
    <x v="32"/>
    <n v="6"/>
    <s v="JUN"/>
    <n v="0"/>
    <x v="3"/>
    <n v="0"/>
    <x v="2"/>
    <s v=""/>
    <n v="0"/>
    <n v="0"/>
    <n v="0"/>
    <n v="0"/>
    <n v="0"/>
    <n v="0"/>
  </r>
  <r>
    <x v="237"/>
    <n v="0"/>
    <x v="32"/>
    <n v="6"/>
    <s v="JUN"/>
    <n v="0"/>
    <x v="3"/>
    <n v="0"/>
    <x v="2"/>
    <s v=""/>
    <n v="0"/>
    <n v="0"/>
    <n v="0"/>
    <n v="0"/>
    <n v="0"/>
    <n v="0"/>
  </r>
  <r>
    <x v="238"/>
    <s v="#LIE1PML1X "/>
    <x v="32"/>
    <n v="6"/>
    <s v="JUN"/>
    <n v="0"/>
    <x v="3"/>
    <n v="0"/>
    <x v="1"/>
    <d v="1899-12-30T00:26:00"/>
    <n v="7.73"/>
    <n v="13.650664421422556"/>
    <n v="5.04"/>
    <n v="11.6307692307692"/>
    <n v="1"/>
    <n v="3.3019470138882432"/>
  </r>
  <r>
    <x v="238"/>
    <n v="0"/>
    <x v="32"/>
    <n v="6"/>
    <s v="JUN"/>
    <n v="0"/>
    <x v="3"/>
    <n v="0"/>
    <x v="3"/>
    <s v=""/>
    <n v="0"/>
    <n v="0"/>
    <n v="0"/>
    <n v="0"/>
    <n v="0"/>
    <n v="0"/>
  </r>
  <r>
    <x v="238"/>
    <n v="0"/>
    <x v="32"/>
    <n v="6"/>
    <s v="JUN"/>
    <n v="0"/>
    <x v="3"/>
    <n v="0"/>
    <x v="2"/>
    <s v=""/>
    <n v="0"/>
    <n v="0"/>
    <n v="0"/>
    <n v="0"/>
    <n v="0"/>
    <n v="0"/>
  </r>
  <r>
    <x v="238"/>
    <n v="0"/>
    <x v="32"/>
    <n v="6"/>
    <s v="JUN"/>
    <n v="0"/>
    <x v="3"/>
    <n v="0"/>
    <x v="2"/>
    <s v=""/>
    <n v="0"/>
    <n v="0"/>
    <n v="0"/>
    <n v="0"/>
    <n v="0"/>
    <n v="0"/>
  </r>
  <r>
    <x v="239"/>
    <s v="#LIR8GYC3F "/>
    <x v="32"/>
    <n v="6"/>
    <s v="JUN"/>
    <n v="0"/>
    <x v="3"/>
    <n v="0"/>
    <x v="3"/>
    <d v="1899-12-30T00:38:00"/>
    <n v="4.92"/>
    <n v="8.6883918439067234"/>
    <n v="3.34"/>
    <n v="5.2736842105263122"/>
    <n v="1"/>
    <n v="2.1881950449180025"/>
  </r>
  <r>
    <x v="239"/>
    <n v="0"/>
    <x v="32"/>
    <n v="6"/>
    <s v="JUN"/>
    <n v="0"/>
    <x v="3"/>
    <n v="0"/>
    <x v="3"/>
    <s v=""/>
    <n v="0"/>
    <n v="0"/>
    <n v="0"/>
    <n v="0"/>
    <n v="0"/>
    <n v="0"/>
  </r>
  <r>
    <x v="239"/>
    <n v="0"/>
    <x v="32"/>
    <n v="6"/>
    <s v="JUN"/>
    <n v="0"/>
    <x v="3"/>
    <n v="0"/>
    <x v="2"/>
    <s v=""/>
    <n v="0"/>
    <n v="0"/>
    <n v="0"/>
    <n v="0"/>
    <n v="0"/>
    <n v="0"/>
  </r>
  <r>
    <x v="239"/>
    <n v="0"/>
    <x v="32"/>
    <n v="6"/>
    <s v="JUN"/>
    <n v="0"/>
    <x v="3"/>
    <n v="0"/>
    <x v="2"/>
    <s v=""/>
    <n v="0"/>
    <n v="0"/>
    <n v="0"/>
    <n v="0"/>
    <n v="0"/>
    <n v="0"/>
  </r>
  <r>
    <x v="240"/>
    <s v="#LI4DPSDXD "/>
    <x v="32"/>
    <n v="6"/>
    <s v="JUN"/>
    <n v="0"/>
    <x v="3"/>
    <n v="0"/>
    <x v="3"/>
    <d v="1899-12-30T00:31:00"/>
    <n v="6.03"/>
    <n v="10.648577808690559"/>
    <n v="3.67"/>
    <n v="7.103225806451638"/>
    <n v="1"/>
    <n v="2.4043939565416372"/>
  </r>
  <r>
    <x v="240"/>
    <n v="0"/>
    <x v="32"/>
    <n v="6"/>
    <s v="JUN"/>
    <n v="0"/>
    <x v="3"/>
    <n v="0"/>
    <x v="5"/>
    <s v=""/>
    <n v="0"/>
    <n v="0"/>
    <n v="0"/>
    <n v="0"/>
    <n v="0"/>
    <n v="0"/>
  </r>
  <r>
    <x v="240"/>
    <n v="0"/>
    <x v="32"/>
    <n v="6"/>
    <s v="JUN"/>
    <n v="0"/>
    <x v="3"/>
    <n v="0"/>
    <x v="2"/>
    <s v=""/>
    <n v="0"/>
    <n v="0"/>
    <n v="0"/>
    <n v="0"/>
    <n v="0"/>
    <n v="0"/>
  </r>
  <r>
    <x v="240"/>
    <n v="0"/>
    <x v="32"/>
    <n v="6"/>
    <s v="JUN"/>
    <n v="0"/>
    <x v="3"/>
    <n v="0"/>
    <x v="2"/>
    <s v=""/>
    <n v="0"/>
    <n v="0"/>
    <n v="0"/>
    <n v="0"/>
    <n v="0"/>
    <n v="0"/>
  </r>
  <r>
    <x v="241"/>
    <s v="#LIJHKCDZC "/>
    <x v="32"/>
    <n v="6"/>
    <s v="JUN"/>
    <n v="0"/>
    <x v="3"/>
    <n v="0"/>
    <x v="5"/>
    <d v="1899-12-30T00:30:00"/>
    <n v="5.48"/>
    <n v="9.6773144928066763"/>
    <n v="4.09"/>
    <n v="8.1799999999999855"/>
    <n v="1"/>
    <n v="2.6795562076989907"/>
  </r>
  <r>
    <x v="241"/>
    <n v="0"/>
    <x v="32"/>
    <n v="6"/>
    <s v="JUN"/>
    <n v="0"/>
    <x v="3"/>
    <n v="0"/>
    <x v="5"/>
    <s v=""/>
    <n v="0"/>
    <n v="0"/>
    <n v="0"/>
    <n v="0"/>
    <n v="0"/>
    <n v="0"/>
  </r>
  <r>
    <x v="242"/>
    <m/>
    <x v="33"/>
    <m/>
    <m/>
    <m/>
    <x v="29"/>
    <m/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4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F3:BJ18" firstHeaderRow="0" firstDataRow="1" firstDataCol="1"/>
  <pivotFields count="17">
    <pivotField showAll="0" sortType="ascending">
      <items count="261">
        <item x="60"/>
        <item x="183"/>
        <item x="72"/>
        <item x="225"/>
        <item x="65"/>
        <item x="80"/>
        <item x="114"/>
        <item x="206"/>
        <item x="56"/>
        <item x="96"/>
        <item x="216"/>
        <item m="1" x="258"/>
        <item x="136"/>
        <item x="231"/>
        <item x="233"/>
        <item x="196"/>
        <item m="1" x="249"/>
        <item x="137"/>
        <item x="84"/>
        <item x="178"/>
        <item x="45"/>
        <item x="210"/>
        <item x="122"/>
        <item x="28"/>
        <item x="171"/>
        <item x="170"/>
        <item x="61"/>
        <item x="48"/>
        <item x="93"/>
        <item x="240"/>
        <item x="104"/>
        <item x="15"/>
        <item x="172"/>
        <item m="1" x="255"/>
        <item x="141"/>
        <item x="193"/>
        <item x="24"/>
        <item x="121"/>
        <item x="37"/>
        <item x="81"/>
        <item x="18"/>
        <item x="26"/>
        <item x="92"/>
        <item x="128"/>
        <item x="6"/>
        <item x="123"/>
        <item x="54"/>
        <item x="195"/>
        <item x="220"/>
        <item m="1" x="250"/>
        <item x="144"/>
        <item x="34"/>
        <item x="161"/>
        <item x="78"/>
        <item x="169"/>
        <item x="175"/>
        <item x="173"/>
        <item x="38"/>
        <item x="62"/>
        <item x="97"/>
        <item x="106"/>
        <item x="47"/>
        <item x="58"/>
        <item x="46"/>
        <item x="167"/>
        <item x="155"/>
        <item x="162"/>
        <item x="30"/>
        <item x="234"/>
        <item x="14"/>
        <item m="1" x="259"/>
        <item x="146"/>
        <item x="94"/>
        <item x="215"/>
        <item x="120"/>
        <item x="163"/>
        <item x="71"/>
        <item x="199"/>
        <item x="21"/>
        <item x="135"/>
        <item x="100"/>
        <item x="19"/>
        <item x="192"/>
        <item x="134"/>
        <item x="119"/>
        <item x="226"/>
        <item x="12"/>
        <item x="50"/>
        <item x="238"/>
        <item x="20"/>
        <item x="116"/>
        <item x="154"/>
        <item m="1" x="246"/>
        <item x="143"/>
        <item x="182"/>
        <item x="49"/>
        <item x="85"/>
        <item x="156"/>
        <item x="207"/>
        <item x="131"/>
        <item x="16"/>
        <item x="70"/>
        <item x="10"/>
        <item x="184"/>
        <item x="208"/>
        <item x="90"/>
        <item x="174"/>
        <item x="129"/>
        <item m="1" x="252"/>
        <item x="140"/>
        <item x="237"/>
        <item x="59"/>
        <item x="103"/>
        <item x="67"/>
        <item m="1" x="243"/>
        <item x="138"/>
        <item x="9"/>
        <item x="83"/>
        <item x="229"/>
        <item x="168"/>
        <item x="241"/>
        <item m="1" x="256"/>
        <item x="149"/>
        <item x="200"/>
        <item x="127"/>
        <item x="89"/>
        <item x="228"/>
        <item x="42"/>
        <item x="117"/>
        <item x="213"/>
        <item x="107"/>
        <item x="112"/>
        <item x="35"/>
        <item x="41"/>
        <item m="1" x="247"/>
        <item x="142"/>
        <item x="101"/>
        <item x="153"/>
        <item x="4"/>
        <item x="11"/>
        <item x="109"/>
        <item x="102"/>
        <item x="191"/>
        <item x="82"/>
        <item x="8"/>
        <item x="125"/>
        <item m="1" x="244"/>
        <item x="152"/>
        <item x="73"/>
        <item x="211"/>
        <item x="214"/>
        <item x="51"/>
        <item x="189"/>
        <item x="69"/>
        <item m="1" x="248"/>
        <item x="139"/>
        <item x="222"/>
        <item x="36"/>
        <item x="188"/>
        <item x="64"/>
        <item x="23"/>
        <item x="39"/>
        <item x="230"/>
        <item x="68"/>
        <item x="110"/>
        <item x="158"/>
        <item x="177"/>
        <item x="17"/>
        <item x="57"/>
        <item x="212"/>
        <item x="113"/>
        <item x="130"/>
        <item x="176"/>
        <item x="33"/>
        <item x="88"/>
        <item x="52"/>
        <item x="25"/>
        <item x="160"/>
        <item x="76"/>
        <item x="159"/>
        <item x="98"/>
        <item x="185"/>
        <item x="91"/>
        <item x="224"/>
        <item x="194"/>
        <item x="239"/>
        <item x="223"/>
        <item x="235"/>
        <item x="3"/>
        <item x="164"/>
        <item x="179"/>
        <item x="7"/>
        <item x="108"/>
        <item x="203"/>
        <item x="99"/>
        <item x="118"/>
        <item x="55"/>
        <item x="198"/>
        <item x="165"/>
        <item x="219"/>
        <item x="132"/>
        <item x="190"/>
        <item x="157"/>
        <item x="227"/>
        <item x="40"/>
        <item x="166"/>
        <item x="221"/>
        <item x="87"/>
        <item x="204"/>
        <item x="13"/>
        <item x="22"/>
        <item x="111"/>
        <item x="66"/>
        <item x="74"/>
        <item m="1" x="257"/>
        <item x="150"/>
        <item x="43"/>
        <item m="1" x="245"/>
        <item x="145"/>
        <item x="77"/>
        <item x="27"/>
        <item x="32"/>
        <item x="86"/>
        <item x="124"/>
        <item x="201"/>
        <item x="133"/>
        <item x="1"/>
        <item x="232"/>
        <item x="31"/>
        <item x="0"/>
        <item x="205"/>
        <item m="1" x="253"/>
        <item x="151"/>
        <item x="197"/>
        <item x="63"/>
        <item x="126"/>
        <item m="1" x="251"/>
        <item x="147"/>
        <item x="187"/>
        <item x="181"/>
        <item m="1" x="254"/>
        <item x="148"/>
        <item x="186"/>
        <item x="209"/>
        <item x="202"/>
        <item x="105"/>
        <item x="115"/>
        <item x="53"/>
        <item x="218"/>
        <item x="236"/>
        <item x="44"/>
        <item x="5"/>
        <item x="217"/>
        <item x="75"/>
        <item x="95"/>
        <item x="79"/>
        <item x="29"/>
        <item x="180"/>
        <item x="2"/>
        <item x="242"/>
        <item t="default"/>
      </items>
    </pivotField>
    <pivotField showAll="0"/>
    <pivotField subtotalTop="0" showAll="0">
      <items count="35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ubtotalTop="0" showAll="0"/>
    <pivotField subtotalTop="0" showAll="0"/>
    <pivotField subtotalTop="0" showAll="0"/>
    <pivotField showAll="0">
      <items count="31"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axis="axisRow" subtotalTop="0" showAll="0" sortType="descending">
      <items count="35">
        <item m="1" x="31"/>
        <item m="1" x="16"/>
        <item m="1" x="21"/>
        <item m="1" x="25"/>
        <item m="1" x="29"/>
        <item m="1" x="33"/>
        <item m="1" x="18"/>
        <item m="1" x="22"/>
        <item m="1" x="24"/>
        <item x="11"/>
        <item m="1" x="28"/>
        <item m="1" x="32"/>
        <item x="6"/>
        <item m="1" x="27"/>
        <item m="1" x="30"/>
        <item m="1" x="19"/>
        <item x="7"/>
        <item m="1" x="23"/>
        <item m="1" x="17"/>
        <item x="8"/>
        <item x="9"/>
        <item x="10"/>
        <item x="12"/>
        <item x="13"/>
        <item x="14"/>
        <item x="0"/>
        <item x="1"/>
        <item x="3"/>
        <item x="5"/>
        <item m="1" x="20"/>
        <item m="1" x="26"/>
        <item h="1" x="2"/>
        <item h="1" x="15"/>
        <item x="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/>
    <pivotField dataField="1" showAll="0"/>
    <pivotField showAll="0"/>
    <pivotField dataField="1" showAll="0"/>
    <pivotField subtotalTop="0" showAll="0"/>
    <pivotField dataField="1" subtotalTop="0" showAll="0"/>
    <pivotField subtotalTop="0" showAll="0"/>
    <pivotField subtotalTop="0" dragToRow="0" dragToCol="0" dragToPage="0" showAll="0" defaultSubtotal="0"/>
  </pivotFields>
  <rowFields count="1">
    <field x="8"/>
  </rowFields>
  <rowItems count="15">
    <i>
      <x v="27"/>
    </i>
    <i>
      <x v="26"/>
    </i>
    <i>
      <x v="25"/>
    </i>
    <i>
      <x v="19"/>
    </i>
    <i>
      <x v="28"/>
    </i>
    <i>
      <x v="16"/>
    </i>
    <i>
      <x v="20"/>
    </i>
    <i>
      <x v="12"/>
    </i>
    <i>
      <x v="33"/>
    </i>
    <i>
      <x v="23"/>
    </i>
    <i>
      <x v="22"/>
    </i>
    <i>
      <x v="21"/>
    </i>
    <i>
      <x v="9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empo" fld="9" baseField="0" baseItem="1" numFmtId="171"/>
    <dataField name="Euros" fld="12" baseField="0" baseItem="63" numFmtId="4"/>
    <dataField name="Km " fld="10" baseField="0" baseItem="82" numFmtId="4"/>
    <dataField name="Sum of Entregas" fld="14" baseField="0" baseItem="143" numFmtId="1"/>
  </dataFields>
  <formats count="75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6" type="button" dataOnly="0" labelOnly="1" outline="0"/>
    </format>
    <format dxfId="71">
      <pivotArea dataOnly="0" labelOnly="1" outline="0" axis="axisValues" fieldPosition="0"/>
    </format>
    <format dxfId="70">
      <pivotArea dataOnly="0" labelOnly="1" grandRow="1" outline="0" fieldPosition="0"/>
    </format>
    <format dxfId="69">
      <pivotArea dataOnly="0" labelOnly="1" outline="0" axis="axisValues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" type="button" dataOnly="0" labelOnly="1" outline="0"/>
    </format>
    <format dxfId="65">
      <pivotArea dataOnly="0" labelOnly="1" outline="0" axis="axisValues" fieldPosition="0"/>
    </format>
    <format dxfId="64">
      <pivotArea dataOnly="0" labelOnly="1" grandRow="1" outline="0" fieldPosition="0"/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6" type="button" dataOnly="0" labelOnly="1" outline="0"/>
    </format>
    <format dxfId="59">
      <pivotArea dataOnly="0" labelOnly="1" outline="0" axis="axisValues" fieldPosition="0"/>
    </format>
    <format dxfId="58">
      <pivotArea dataOnly="0" labelOnly="1" grandRow="1" outline="0" fieldPosition="0"/>
    </format>
    <format dxfId="57">
      <pivotArea dataOnly="0" labelOnly="1" outline="0" axis="axisValues" fieldPosition="0"/>
    </format>
    <format dxfId="56">
      <pivotArea outline="0" collapsedLevelsAreSubtotals="1" fieldPosition="0"/>
    </format>
    <format dxfId="55">
      <pivotArea dataOnly="0" labelOnly="1" outline="0" axis="axisValues" fieldPosition="0"/>
    </format>
    <format dxfId="54">
      <pivotArea dataOnly="0" labelOnly="1" outline="0" axis="axisValues" fieldPosition="0"/>
    </format>
    <format dxfId="53">
      <pivotArea field="6" type="button" dataOnly="0" labelOnly="1" outline="0"/>
    </format>
    <format dxfId="52">
      <pivotArea field="0" type="button" dataOnly="0" labelOnly="1" outline="0"/>
    </format>
    <format dxfId="51">
      <pivotArea dataOnly="0" labelOnly="1" grandRow="1" outline="0" fieldPosition="0"/>
    </format>
    <format dxfId="50">
      <pivotArea outline="0" fieldPosition="0">
        <references count="1">
          <reference field="4294967294" count="1">
            <x v="1"/>
          </reference>
        </references>
      </pivotArea>
    </format>
    <format dxfId="49">
      <pivotArea outline="0" fieldPosition="0">
        <references count="1">
          <reference field="4294967294" count="1">
            <x v="2"/>
          </reference>
        </references>
      </pivotArea>
    </format>
    <format dxfId="48">
      <pivotArea field="6" type="button" dataOnly="0" labelOnly="1" outline="0"/>
    </format>
    <format dxfId="47">
      <pivotArea field="0" type="button" dataOnly="0" labelOnly="1" outline="0"/>
    </format>
    <format dxfId="46">
      <pivotArea dataOnly="0" labelOnly="1" grandRow="1" outline="0" fieldPosition="0"/>
    </format>
    <format dxfId="45">
      <pivotArea field="6" type="button" dataOnly="0" labelOnly="1" outline="0"/>
    </format>
    <format dxfId="44">
      <pivotArea field="0" type="button" dataOnly="0" labelOnly="1" outline="0"/>
    </format>
    <format dxfId="43">
      <pivotArea dataOnly="0" labelOnly="1" grandRow="1" outline="0" fieldPosition="0"/>
    </format>
    <format dxfId="42">
      <pivotArea field="6" type="button" dataOnly="0" labelOnly="1" outline="0"/>
    </format>
    <format dxfId="41">
      <pivotArea field="0" type="button" dataOnly="0" labelOnly="1" outline="0"/>
    </format>
    <format dxfId="40">
      <pivotArea dataOnly="0" labelOnly="1" grandRow="1" outline="0" fieldPosition="0"/>
    </format>
    <format dxfId="39">
      <pivotArea field="6" type="button" dataOnly="0" labelOnly="1" outline="0"/>
    </format>
    <format dxfId="38">
      <pivotArea field="0" type="button" dataOnly="0" labelOnly="1" outline="0"/>
    </format>
    <format dxfId="37">
      <pivotArea dataOnly="0" labelOnly="1" grandRow="1" outline="0" fieldPosition="0"/>
    </format>
    <format dxfId="36">
      <pivotArea outline="0" fieldPosition="0">
        <references count="1">
          <reference field="4294967294" count="1">
            <x v="3"/>
          </reference>
        </references>
      </pivotArea>
    </format>
    <format dxfId="35">
      <pivotArea field="2" type="button" dataOnly="0" labelOnly="1" outline="0"/>
    </format>
    <format dxfId="34">
      <pivotArea field="0" type="button" dataOnly="0" labelOnly="1" outline="0"/>
    </format>
    <format dxfId="33">
      <pivotArea dataOnly="0" labelOnly="1" grandRow="1" outline="0" fieldPosition="0"/>
    </format>
    <format dxfId="32">
      <pivotArea dataOnly="0" labelOnly="1" fieldPosition="0">
        <references count="1">
          <reference field="8" count="1">
            <x v="7"/>
          </reference>
        </references>
      </pivotArea>
    </format>
    <format dxfId="31">
      <pivotArea dataOnly="0" labelOnly="1" fieldPosition="0">
        <references count="1">
          <reference field="8" count="1">
            <x v="8"/>
          </reference>
        </references>
      </pivotArea>
    </format>
    <format dxfId="30">
      <pivotArea dataOnly="0" labelOnly="1" fieldPosition="0">
        <references count="1">
          <reference field="8" count="1">
            <x v="6"/>
          </reference>
        </references>
      </pivotArea>
    </format>
    <format dxfId="29">
      <pivotArea dataOnly="0" labelOnly="1" fieldPosition="0">
        <references count="1">
          <reference field="8" count="1">
            <x v="11"/>
          </reference>
        </references>
      </pivotArea>
    </format>
    <format dxfId="28">
      <pivotArea dataOnly="0" labelOnly="1" fieldPosition="0">
        <references count="1">
          <reference field="8" count="2">
            <x v="0"/>
            <x v="18"/>
          </reference>
        </references>
      </pivotArea>
    </format>
    <format dxfId="27">
      <pivotArea dataOnly="0" labelOnly="1" fieldPosition="0">
        <references count="1">
          <reference field="8" count="2">
            <x v="0"/>
            <x v="18"/>
          </reference>
        </references>
      </pivotArea>
    </format>
    <format dxfId="26">
      <pivotArea dataOnly="0" labelOnly="1" fieldPosition="0">
        <references count="1">
          <reference field="8" count="9">
            <x v="1"/>
            <x v="2"/>
            <x v="3"/>
            <x v="4"/>
            <x v="5"/>
            <x v="10"/>
            <x v="13"/>
            <x v="14"/>
            <x v="17"/>
          </reference>
        </references>
      </pivotArea>
    </format>
    <format dxfId="25">
      <pivotArea dataOnly="0" labelOnly="1" fieldPosition="0">
        <references count="1">
          <reference field="8" count="1">
            <x v="1"/>
          </reference>
        </references>
      </pivotArea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8" type="button" dataOnly="0" labelOnly="1" outline="0" axis="axisRow" fieldPosition="0"/>
    </format>
    <format dxfId="21">
      <pivotArea dataOnly="0" labelOnly="1" fieldPosition="0">
        <references count="1">
          <reference field="8" count="0"/>
        </references>
      </pivotArea>
    </format>
    <format dxfId="20">
      <pivotArea dataOnly="0" labelOnly="1" grandRow="1" outline="0" fieldPosition="0"/>
    </format>
    <format dxfId="1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">
      <pivotArea dataOnly="0" labelOnly="1" fieldPosition="0">
        <references count="1">
          <reference field="8" count="6">
            <x v="15"/>
            <x v="19"/>
            <x v="25"/>
            <x v="26"/>
            <x v="27"/>
            <x v="28"/>
          </reference>
        </references>
      </pivotArea>
    </format>
    <format dxfId="17">
      <pivotArea dataOnly="0" labelOnly="1" fieldPosition="0">
        <references count="1">
          <reference field="8" count="1">
            <x v="20"/>
          </reference>
        </references>
      </pivotArea>
    </format>
    <format dxfId="16">
      <pivotArea dataOnly="0" labelOnly="1" fieldPosition="0">
        <references count="1">
          <reference field="8" count="8">
            <x v="9"/>
            <x v="12"/>
            <x v="16"/>
            <x v="21"/>
            <x v="22"/>
            <x v="23"/>
            <x v="24"/>
            <x v="29"/>
          </reference>
        </references>
      </pivotArea>
    </format>
    <format dxfId="15">
      <pivotArea dataOnly="0" labelOnly="1" fieldPosition="0">
        <references count="1">
          <reference field="8" count="1">
            <x v="20"/>
          </reference>
        </references>
      </pivotArea>
    </format>
    <format dxfId="14">
      <pivotArea dataOnly="0" labelOnly="1" fieldPosition="0">
        <references count="1">
          <reference field="8" count="1">
            <x v="33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8" type="button" dataOnly="0" labelOnly="1" outline="0" axis="axisRow" fieldPosition="0"/>
    </format>
    <format dxfId="10">
      <pivotArea dataOnly="0" labelOnly="1" fieldPosition="0">
        <references count="1">
          <reference field="8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8" type="button" dataOnly="0" labelOnly="1" outline="0" axis="axisRow" fieldPosition="0"/>
    </format>
    <format dxfId="4">
      <pivotArea dataOnly="0" labelOnly="1" fieldPosition="0">
        <references count="1">
          <reference field="8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dataOnly="0" labelOnly="1" fieldPosition="0">
        <references count="1">
          <reference field="8" count="1">
            <x v="16"/>
          </reference>
        </references>
      </pivotArea>
    </format>
    <format dxfId="0">
      <pivotArea dataOnly="0" labelOnly="1" fieldPosition="0">
        <references count="1">
          <reference field="8" count="1">
            <x v="1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Z1:BD278" firstHeaderRow="0" firstDataRow="1" firstDataCol="1"/>
  <pivotFields count="15">
    <pivotField axis="axisRow" showAll="0" sortType="ascending">
      <items count="261">
        <item x="60"/>
        <item x="183"/>
        <item x="72"/>
        <item x="225"/>
        <item x="65"/>
        <item x="80"/>
        <item x="114"/>
        <item x="206"/>
        <item x="56"/>
        <item x="96"/>
        <item x="216"/>
        <item m="1" x="258"/>
        <item x="136"/>
        <item x="231"/>
        <item x="233"/>
        <item x="196"/>
        <item m="1" x="249"/>
        <item x="137"/>
        <item x="84"/>
        <item x="178"/>
        <item x="45"/>
        <item x="210"/>
        <item x="122"/>
        <item x="28"/>
        <item x="171"/>
        <item x="170"/>
        <item x="61"/>
        <item x="48"/>
        <item x="93"/>
        <item x="240"/>
        <item x="104"/>
        <item x="15"/>
        <item x="172"/>
        <item m="1" x="255"/>
        <item x="141"/>
        <item x="193"/>
        <item x="24"/>
        <item x="121"/>
        <item x="37"/>
        <item x="81"/>
        <item x="18"/>
        <item x="26"/>
        <item x="92"/>
        <item x="128"/>
        <item x="6"/>
        <item x="123"/>
        <item x="54"/>
        <item x="195"/>
        <item x="220"/>
        <item m="1" x="250"/>
        <item x="144"/>
        <item x="34"/>
        <item x="161"/>
        <item x="78"/>
        <item x="169"/>
        <item x="175"/>
        <item x="173"/>
        <item x="38"/>
        <item x="62"/>
        <item x="97"/>
        <item x="106"/>
        <item x="47"/>
        <item x="58"/>
        <item x="46"/>
        <item x="167"/>
        <item x="155"/>
        <item x="162"/>
        <item x="30"/>
        <item x="234"/>
        <item x="14"/>
        <item m="1" x="259"/>
        <item x="146"/>
        <item x="94"/>
        <item x="215"/>
        <item x="120"/>
        <item x="163"/>
        <item x="71"/>
        <item x="199"/>
        <item x="21"/>
        <item x="135"/>
        <item x="100"/>
        <item x="19"/>
        <item x="192"/>
        <item x="134"/>
        <item x="119"/>
        <item x="226"/>
        <item x="12"/>
        <item x="50"/>
        <item x="238"/>
        <item x="20"/>
        <item x="116"/>
        <item x="154"/>
        <item m="1" x="246"/>
        <item x="143"/>
        <item x="182"/>
        <item x="49"/>
        <item x="85"/>
        <item x="156"/>
        <item x="207"/>
        <item x="131"/>
        <item x="16"/>
        <item x="70"/>
        <item x="10"/>
        <item x="184"/>
        <item x="208"/>
        <item x="90"/>
        <item x="174"/>
        <item x="129"/>
        <item m="1" x="252"/>
        <item x="140"/>
        <item x="237"/>
        <item x="59"/>
        <item x="103"/>
        <item x="67"/>
        <item m="1" x="243"/>
        <item x="138"/>
        <item x="9"/>
        <item x="83"/>
        <item x="229"/>
        <item x="168"/>
        <item x="241"/>
        <item m="1" x="256"/>
        <item x="149"/>
        <item x="200"/>
        <item x="127"/>
        <item x="89"/>
        <item x="228"/>
        <item x="42"/>
        <item x="117"/>
        <item x="213"/>
        <item x="107"/>
        <item x="112"/>
        <item x="35"/>
        <item x="41"/>
        <item m="1" x="247"/>
        <item x="142"/>
        <item x="101"/>
        <item x="153"/>
        <item x="4"/>
        <item x="11"/>
        <item x="109"/>
        <item x="102"/>
        <item x="191"/>
        <item x="82"/>
        <item x="8"/>
        <item x="125"/>
        <item m="1" x="244"/>
        <item x="152"/>
        <item x="73"/>
        <item x="211"/>
        <item x="214"/>
        <item x="51"/>
        <item x="189"/>
        <item x="69"/>
        <item m="1" x="248"/>
        <item x="139"/>
        <item x="222"/>
        <item x="36"/>
        <item x="188"/>
        <item x="64"/>
        <item x="23"/>
        <item x="39"/>
        <item x="230"/>
        <item x="68"/>
        <item x="110"/>
        <item x="158"/>
        <item x="177"/>
        <item x="17"/>
        <item x="57"/>
        <item x="212"/>
        <item x="113"/>
        <item x="130"/>
        <item x="176"/>
        <item x="33"/>
        <item x="88"/>
        <item x="52"/>
        <item x="25"/>
        <item x="160"/>
        <item x="76"/>
        <item x="159"/>
        <item x="98"/>
        <item x="185"/>
        <item x="91"/>
        <item x="224"/>
        <item x="194"/>
        <item x="239"/>
        <item x="223"/>
        <item x="235"/>
        <item x="3"/>
        <item x="164"/>
        <item x="179"/>
        <item x="7"/>
        <item x="108"/>
        <item x="203"/>
        <item x="99"/>
        <item x="118"/>
        <item x="55"/>
        <item x="198"/>
        <item x="165"/>
        <item x="219"/>
        <item x="132"/>
        <item x="190"/>
        <item x="157"/>
        <item x="227"/>
        <item x="40"/>
        <item x="166"/>
        <item x="221"/>
        <item x="87"/>
        <item x="204"/>
        <item x="13"/>
        <item x="22"/>
        <item x="111"/>
        <item x="66"/>
        <item x="74"/>
        <item m="1" x="257"/>
        <item x="150"/>
        <item x="43"/>
        <item m="1" x="245"/>
        <item x="145"/>
        <item x="77"/>
        <item x="27"/>
        <item x="32"/>
        <item x="86"/>
        <item x="124"/>
        <item x="201"/>
        <item x="133"/>
        <item x="1"/>
        <item x="232"/>
        <item x="31"/>
        <item x="0"/>
        <item x="205"/>
        <item m="1" x="253"/>
        <item x="151"/>
        <item x="197"/>
        <item x="63"/>
        <item x="126"/>
        <item m="1" x="251"/>
        <item x="147"/>
        <item x="187"/>
        <item x="181"/>
        <item m="1" x="254"/>
        <item x="148"/>
        <item x="186"/>
        <item x="209"/>
        <item x="202"/>
        <item x="105"/>
        <item x="115"/>
        <item x="53"/>
        <item x="218"/>
        <item x="236"/>
        <item x="44"/>
        <item x="5"/>
        <item x="217"/>
        <item x="75"/>
        <item x="95"/>
        <item x="79"/>
        <item x="29"/>
        <item x="180"/>
        <item x="2"/>
        <item x="242"/>
        <item t="default"/>
      </items>
    </pivotField>
    <pivotField showAll="0"/>
    <pivotField axis="axisRow" showAll="0" sortType="ascending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sd="0" x="33"/>
        <item t="default" sd="0"/>
      </items>
    </pivotField>
    <pivotField showAll="0"/>
    <pivotField showAll="0"/>
    <pivotField showAll="0"/>
    <pivotField showAll="0">
      <items count="31"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dataField="1" showAll="0"/>
    <pivotField dataField="1" showAll="0"/>
    <pivotField showAll="0"/>
    <pivotField dataField="1" showAll="0"/>
    <pivotField showAll="0"/>
    <pivotField dataField="1" showAll="0"/>
  </pivotFields>
  <rowFields count="2">
    <field x="2"/>
    <field x="0"/>
  </rowFields>
  <rowItems count="277">
    <i>
      <x/>
    </i>
    <i r="1">
      <x v="226"/>
    </i>
    <i r="1">
      <x v="229"/>
    </i>
    <i>
      <x v="1"/>
    </i>
    <i r="1">
      <x v="44"/>
    </i>
    <i r="1">
      <x v="138"/>
    </i>
    <i r="1">
      <x v="188"/>
    </i>
    <i r="1">
      <x v="191"/>
    </i>
    <i r="1">
      <x v="251"/>
    </i>
    <i r="1">
      <x v="258"/>
    </i>
    <i>
      <x v="2"/>
    </i>
    <i r="1">
      <x v="102"/>
    </i>
    <i r="1">
      <x v="116"/>
    </i>
    <i r="1">
      <x v="139"/>
    </i>
    <i r="1">
      <x v="144"/>
    </i>
    <i>
      <x v="3"/>
    </i>
    <i r="1">
      <x v="31"/>
    </i>
    <i r="1">
      <x v="69"/>
    </i>
    <i r="1">
      <x v="86"/>
    </i>
    <i r="1">
      <x v="209"/>
    </i>
    <i>
      <x v="4"/>
    </i>
    <i r="1">
      <x v="40"/>
    </i>
    <i r="1">
      <x v="78"/>
    </i>
    <i r="1">
      <x v="81"/>
    </i>
    <i r="1">
      <x v="89"/>
    </i>
    <i r="1">
      <x v="100"/>
    </i>
    <i r="1">
      <x v="167"/>
    </i>
    <i>
      <x v="5"/>
    </i>
    <i r="1">
      <x v="23"/>
    </i>
    <i r="1">
      <x v="36"/>
    </i>
    <i r="1">
      <x v="41"/>
    </i>
    <i r="1">
      <x v="67"/>
    </i>
    <i r="1">
      <x v="160"/>
    </i>
    <i r="1">
      <x v="176"/>
    </i>
    <i r="1">
      <x v="210"/>
    </i>
    <i r="1">
      <x v="220"/>
    </i>
    <i r="1">
      <x v="256"/>
    </i>
    <i>
      <x v="6"/>
    </i>
    <i r="1">
      <x v="38"/>
    </i>
    <i r="1">
      <x v="51"/>
    </i>
    <i r="1">
      <x v="57"/>
    </i>
    <i r="1">
      <x v="132"/>
    </i>
    <i r="1">
      <x v="157"/>
    </i>
    <i r="1">
      <x v="173"/>
    </i>
    <i r="1">
      <x v="221"/>
    </i>
    <i r="1">
      <x v="228"/>
    </i>
    <i>
      <x v="7"/>
    </i>
    <i r="1">
      <x v="20"/>
    </i>
    <i r="1">
      <x v="127"/>
    </i>
    <i r="1">
      <x v="133"/>
    </i>
    <i r="1">
      <x v="161"/>
    </i>
    <i r="1">
      <x v="204"/>
    </i>
    <i r="1">
      <x v="216"/>
    </i>
    <i r="1">
      <x v="250"/>
    </i>
    <i>
      <x v="8"/>
    </i>
    <i r="1">
      <x v="27"/>
    </i>
    <i r="1">
      <x v="46"/>
    </i>
    <i r="1">
      <x v="61"/>
    </i>
    <i r="1">
      <x v="63"/>
    </i>
    <i r="1">
      <x v="87"/>
    </i>
    <i r="1">
      <x v="95"/>
    </i>
    <i r="1">
      <x v="151"/>
    </i>
    <i r="1">
      <x v="175"/>
    </i>
    <i r="1">
      <x v="247"/>
    </i>
    <i>
      <x v="9"/>
    </i>
    <i r="1">
      <x v="8"/>
    </i>
    <i r="1">
      <x v="62"/>
    </i>
    <i r="1">
      <x v="168"/>
    </i>
    <i r="1">
      <x v="196"/>
    </i>
    <i>
      <x v="10"/>
    </i>
    <i r="1">
      <x/>
    </i>
    <i r="1">
      <x v="4"/>
    </i>
    <i r="1">
      <x v="26"/>
    </i>
    <i r="1">
      <x v="58"/>
    </i>
    <i r="1">
      <x v="111"/>
    </i>
    <i r="1">
      <x v="159"/>
    </i>
    <i r="1">
      <x v="234"/>
    </i>
    <i>
      <x v="11"/>
    </i>
    <i r="1">
      <x v="76"/>
    </i>
    <i r="1">
      <x v="101"/>
    </i>
    <i r="1">
      <x v="113"/>
    </i>
    <i r="1">
      <x v="153"/>
    </i>
    <i r="1">
      <x v="163"/>
    </i>
    <i r="1">
      <x v="212"/>
    </i>
    <i>
      <x v="12"/>
    </i>
    <i r="1">
      <x v="2"/>
    </i>
    <i r="1">
      <x v="53"/>
    </i>
    <i r="1">
      <x v="148"/>
    </i>
    <i r="1">
      <x v="178"/>
    </i>
    <i r="1">
      <x v="213"/>
    </i>
    <i r="1">
      <x v="219"/>
    </i>
    <i r="1">
      <x v="253"/>
    </i>
    <i>
      <x v="13"/>
    </i>
    <i r="1">
      <x v="5"/>
    </i>
    <i r="1">
      <x v="18"/>
    </i>
    <i r="1">
      <x v="39"/>
    </i>
    <i r="1">
      <x v="96"/>
    </i>
    <i r="1">
      <x v="117"/>
    </i>
    <i r="1">
      <x v="143"/>
    </i>
    <i r="1">
      <x v="222"/>
    </i>
    <i r="1">
      <x v="255"/>
    </i>
    <i>
      <x v="14"/>
    </i>
    <i r="1">
      <x v="105"/>
    </i>
    <i r="1">
      <x v="125"/>
    </i>
    <i r="1">
      <x v="174"/>
    </i>
    <i r="1">
      <x v="182"/>
    </i>
    <i r="1">
      <x v="207"/>
    </i>
    <i>
      <x v="15"/>
    </i>
    <i r="1">
      <x v="9"/>
    </i>
    <i r="1">
      <x v="28"/>
    </i>
    <i r="1">
      <x v="42"/>
    </i>
    <i r="1">
      <x v="59"/>
    </i>
    <i r="1">
      <x v="72"/>
    </i>
    <i r="1">
      <x v="180"/>
    </i>
    <i r="1">
      <x v="254"/>
    </i>
    <i>
      <x v="16"/>
    </i>
    <i r="1">
      <x v="80"/>
    </i>
    <i r="1">
      <x v="112"/>
    </i>
    <i r="1">
      <x v="136"/>
    </i>
    <i r="1">
      <x v="141"/>
    </i>
    <i r="1">
      <x v="194"/>
    </i>
    <i>
      <x v="17"/>
    </i>
    <i r="1">
      <x v="30"/>
    </i>
    <i r="1">
      <x v="60"/>
    </i>
    <i r="1">
      <x v="130"/>
    </i>
    <i r="1">
      <x v="140"/>
    </i>
    <i r="1">
      <x v="192"/>
    </i>
    <i r="1">
      <x v="245"/>
    </i>
    <i>
      <x v="18"/>
    </i>
    <i r="1">
      <x v="164"/>
    </i>
    <i r="1">
      <x v="211"/>
    </i>
    <i>
      <x v="19"/>
    </i>
    <i r="1">
      <x v="6"/>
    </i>
    <i r="1">
      <x v="22"/>
    </i>
    <i r="1">
      <x v="37"/>
    </i>
    <i r="1">
      <x v="45"/>
    </i>
    <i r="1">
      <x v="74"/>
    </i>
    <i r="1">
      <x v="84"/>
    </i>
    <i r="1">
      <x v="90"/>
    </i>
    <i r="1">
      <x v="128"/>
    </i>
    <i r="1">
      <x v="131"/>
    </i>
    <i r="1">
      <x v="145"/>
    </i>
    <i r="1">
      <x v="170"/>
    </i>
    <i r="1">
      <x v="195"/>
    </i>
    <i r="1">
      <x v="223"/>
    </i>
    <i r="1">
      <x v="235"/>
    </i>
    <i r="1">
      <x v="246"/>
    </i>
    <i>
      <x v="20"/>
    </i>
    <i r="1">
      <x v="43"/>
    </i>
    <i r="1">
      <x v="79"/>
    </i>
    <i r="1">
      <x v="83"/>
    </i>
    <i r="1">
      <x v="99"/>
    </i>
    <i r="1">
      <x v="107"/>
    </i>
    <i r="1">
      <x v="124"/>
    </i>
    <i r="1">
      <x v="171"/>
    </i>
    <i r="1">
      <x v="200"/>
    </i>
    <i r="1">
      <x v="225"/>
    </i>
    <i>
      <x v="21"/>
    </i>
    <i r="1">
      <x v="12"/>
    </i>
    <i r="1">
      <x v="17"/>
    </i>
    <i r="1">
      <x v="34"/>
    </i>
    <i r="1">
      <x v="109"/>
    </i>
    <i r="1">
      <x v="115"/>
    </i>
    <i r="1">
      <x v="155"/>
    </i>
    <i>
      <x v="22"/>
    </i>
    <i r="1">
      <x v="50"/>
    </i>
    <i r="1">
      <x v="71"/>
    </i>
    <i r="1">
      <x v="93"/>
    </i>
    <i r="1">
      <x v="122"/>
    </i>
    <i r="1">
      <x v="135"/>
    </i>
    <i r="1">
      <x v="147"/>
    </i>
    <i r="1">
      <x v="215"/>
    </i>
    <i r="1">
      <x v="218"/>
    </i>
    <i r="1">
      <x v="232"/>
    </i>
    <i r="1">
      <x v="237"/>
    </i>
    <i r="1">
      <x v="241"/>
    </i>
    <i>
      <x v="23"/>
    </i>
    <i r="1">
      <x v="52"/>
    </i>
    <i r="1">
      <x v="65"/>
    </i>
    <i r="1">
      <x v="66"/>
    </i>
    <i r="1">
      <x v="75"/>
    </i>
    <i r="1">
      <x v="91"/>
    </i>
    <i r="1">
      <x v="97"/>
    </i>
    <i r="1">
      <x v="137"/>
    </i>
    <i r="1">
      <x v="165"/>
    </i>
    <i r="1">
      <x v="177"/>
    </i>
    <i r="1">
      <x v="179"/>
    </i>
    <i r="1">
      <x v="189"/>
    </i>
    <i r="1">
      <x v="202"/>
    </i>
    <i>
      <x v="24"/>
    </i>
    <i r="1">
      <x v="24"/>
    </i>
    <i r="1">
      <x v="25"/>
    </i>
    <i r="1">
      <x v="32"/>
    </i>
    <i r="1">
      <x v="54"/>
    </i>
    <i r="1">
      <x v="56"/>
    </i>
    <i r="1">
      <x v="64"/>
    </i>
    <i r="1">
      <x v="119"/>
    </i>
    <i r="1">
      <x v="198"/>
    </i>
    <i r="1">
      <x v="205"/>
    </i>
    <i>
      <x v="25"/>
    </i>
    <i r="1">
      <x v="1"/>
    </i>
    <i r="1">
      <x v="19"/>
    </i>
    <i r="1">
      <x v="55"/>
    </i>
    <i r="1">
      <x v="94"/>
    </i>
    <i r="1">
      <x v="103"/>
    </i>
    <i r="1">
      <x v="106"/>
    </i>
    <i r="1">
      <x v="166"/>
    </i>
    <i r="1">
      <x v="172"/>
    </i>
    <i r="1">
      <x v="181"/>
    </i>
    <i r="1">
      <x v="190"/>
    </i>
    <i r="1">
      <x v="239"/>
    </i>
    <i r="1">
      <x v="257"/>
    </i>
    <i>
      <x v="26"/>
    </i>
    <i r="1">
      <x v="35"/>
    </i>
    <i r="1">
      <x v="82"/>
    </i>
    <i r="1">
      <x v="142"/>
    </i>
    <i r="1">
      <x v="152"/>
    </i>
    <i r="1">
      <x v="158"/>
    </i>
    <i r="1">
      <x v="201"/>
    </i>
    <i r="1">
      <x v="238"/>
    </i>
    <i r="1">
      <x v="242"/>
    </i>
    <i>
      <x v="27"/>
    </i>
    <i r="1">
      <x v="15"/>
    </i>
    <i r="1">
      <x v="47"/>
    </i>
    <i r="1">
      <x v="77"/>
    </i>
    <i r="1">
      <x v="184"/>
    </i>
    <i r="1">
      <x v="197"/>
    </i>
    <i r="1">
      <x v="233"/>
    </i>
    <i>
      <x v="28"/>
    </i>
    <i r="1">
      <x v="123"/>
    </i>
    <i r="1">
      <x v="193"/>
    </i>
    <i r="1">
      <x v="208"/>
    </i>
    <i r="1">
      <x v="224"/>
    </i>
    <i r="1">
      <x v="244"/>
    </i>
    <i>
      <x v="29"/>
    </i>
    <i r="1">
      <x v="7"/>
    </i>
    <i r="1">
      <x v="21"/>
    </i>
    <i r="1">
      <x v="73"/>
    </i>
    <i r="1">
      <x v="98"/>
    </i>
    <i r="1">
      <x v="104"/>
    </i>
    <i r="1">
      <x v="129"/>
    </i>
    <i r="1">
      <x v="149"/>
    </i>
    <i r="1">
      <x v="150"/>
    </i>
    <i r="1">
      <x v="169"/>
    </i>
    <i r="1">
      <x v="230"/>
    </i>
    <i r="1">
      <x v="243"/>
    </i>
    <i>
      <x v="30"/>
    </i>
    <i r="1">
      <x v="10"/>
    </i>
    <i r="1">
      <x v="48"/>
    </i>
    <i r="1">
      <x v="199"/>
    </i>
    <i r="1">
      <x v="248"/>
    </i>
    <i r="1">
      <x v="252"/>
    </i>
    <i>
      <x v="31"/>
    </i>
    <i r="1">
      <x v="3"/>
    </i>
    <i r="1">
      <x v="85"/>
    </i>
    <i r="1">
      <x v="156"/>
    </i>
    <i r="1">
      <x v="183"/>
    </i>
    <i r="1">
      <x v="186"/>
    </i>
    <i r="1">
      <x v="206"/>
    </i>
    <i>
      <x v="32"/>
    </i>
    <i r="1">
      <x v="13"/>
    </i>
    <i r="1">
      <x v="14"/>
    </i>
    <i r="1">
      <x v="29"/>
    </i>
    <i r="1">
      <x v="68"/>
    </i>
    <i r="1">
      <x v="88"/>
    </i>
    <i r="1">
      <x v="110"/>
    </i>
    <i r="1">
      <x v="118"/>
    </i>
    <i r="1">
      <x v="120"/>
    </i>
    <i r="1">
      <x v="126"/>
    </i>
    <i r="1">
      <x v="162"/>
    </i>
    <i r="1">
      <x v="185"/>
    </i>
    <i r="1">
      <x v="187"/>
    </i>
    <i r="1">
      <x v="203"/>
    </i>
    <i r="1">
      <x v="227"/>
    </i>
    <i r="1">
      <x v="249"/>
    </i>
    <i>
      <x v="3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empo" fld="9" baseField="0" baseItem="1" numFmtId="171"/>
    <dataField name="Euros" fld="12" baseField="0" baseItem="63" numFmtId="4"/>
    <dataField name="Km " fld="10" baseField="0" baseItem="82" numFmtId="4"/>
    <dataField name="Sum of Entregas" fld="14" baseField="0" baseItem="143" numFmtId="1"/>
  </dataFields>
  <formats count="82">
    <format dxfId="156">
      <pivotArea type="all" dataOnly="0" outline="0" fieldPosition="0"/>
    </format>
    <format dxfId="155">
      <pivotArea outline="0" collapsedLevelsAreSubtotals="1" fieldPosition="0"/>
    </format>
    <format dxfId="154">
      <pivotArea field="6" type="button" dataOnly="0" labelOnly="1" outline="0"/>
    </format>
    <format dxfId="153">
      <pivotArea dataOnly="0" labelOnly="1" outline="0" axis="axisValues" fieldPosition="0"/>
    </format>
    <format dxfId="152">
      <pivotArea dataOnly="0" labelOnly="1" grandRow="1" outline="0" fieldPosition="0"/>
    </format>
    <format dxfId="151">
      <pivotArea dataOnly="0" labelOnly="1" outline="0" axis="axisValues" fieldPosition="0"/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field="6" type="button" dataOnly="0" labelOnly="1" outline="0"/>
    </format>
    <format dxfId="147">
      <pivotArea dataOnly="0" labelOnly="1" outline="0" axis="axisValues" fieldPosition="0"/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6" type="button" dataOnly="0" labelOnly="1" outline="0"/>
    </format>
    <format dxfId="141">
      <pivotArea dataOnly="0" labelOnly="1" outline="0" axis="axisValues" fieldPosition="0"/>
    </format>
    <format dxfId="140">
      <pivotArea dataOnly="0" labelOnly="1" grandRow="1" outline="0" fieldPosition="0"/>
    </format>
    <format dxfId="139">
      <pivotArea dataOnly="0" labelOnly="1" outline="0" axis="axisValues" fieldPosition="0"/>
    </format>
    <format dxfId="138">
      <pivotArea outline="0" collapsedLevelsAreSubtotals="1" fieldPosition="0"/>
    </format>
    <format dxfId="137">
      <pivotArea dataOnly="0" labelOnly="1" outline="0" axis="axisValues" fieldPosition="0"/>
    </format>
    <format dxfId="136">
      <pivotArea dataOnly="0" labelOnly="1" outline="0" axis="axisValues" fieldPosition="0"/>
    </format>
    <format dxfId="135">
      <pivotArea field="6" type="button" dataOnly="0" labelOnly="1" outline="0"/>
    </format>
    <format dxfId="134">
      <pivotArea field="0" type="button" dataOnly="0" labelOnly="1" outline="0" axis="axisRow" fieldPosition="1"/>
    </format>
    <format dxfId="133">
      <pivotArea dataOnly="0" labelOnly="1" fieldPosition="0">
        <references count="1">
          <reference field="0" count="50">
            <x v="0"/>
            <x v="4"/>
            <x v="6"/>
            <x v="18"/>
            <x v="26"/>
            <x v="30"/>
            <x v="36"/>
            <x v="37"/>
            <x v="39"/>
            <x v="53"/>
            <x v="63"/>
            <x v="69"/>
            <x v="72"/>
            <x v="76"/>
            <x v="80"/>
            <x v="84"/>
            <x v="89"/>
            <x v="111"/>
            <x v="113"/>
            <x v="125"/>
            <x v="131"/>
            <x v="132"/>
            <x v="136"/>
            <x v="141"/>
            <x v="144"/>
            <x v="145"/>
            <x v="164"/>
            <x v="167"/>
            <x v="173"/>
            <x v="174"/>
            <x v="176"/>
            <x v="178"/>
            <x v="182"/>
            <x v="188"/>
            <x v="191"/>
            <x v="204"/>
            <x v="207"/>
            <x v="209"/>
            <x v="210"/>
            <x v="212"/>
            <x v="222"/>
            <x v="226"/>
            <x v="228"/>
            <x v="229"/>
            <x v="234"/>
            <x v="245"/>
            <x v="247"/>
            <x v="253"/>
            <x v="255"/>
            <x v="256"/>
          </reference>
        </references>
      </pivotArea>
    </format>
    <format dxfId="132">
      <pivotArea dataOnly="0" labelOnly="1" fieldPosition="0">
        <references count="1">
          <reference field="0" count="50">
            <x v="2"/>
            <x v="5"/>
            <x v="8"/>
            <x v="9"/>
            <x v="20"/>
            <x v="23"/>
            <x v="27"/>
            <x v="31"/>
            <x v="38"/>
            <x v="41"/>
            <x v="42"/>
            <x v="44"/>
            <x v="45"/>
            <x v="46"/>
            <x v="57"/>
            <x v="58"/>
            <x v="59"/>
            <x v="60"/>
            <x v="61"/>
            <x v="62"/>
            <x v="78"/>
            <x v="86"/>
            <x v="87"/>
            <x v="90"/>
            <x v="95"/>
            <x v="100"/>
            <x v="101"/>
            <x v="102"/>
            <x v="105"/>
            <x v="112"/>
            <x v="116"/>
            <x v="117"/>
            <x v="128"/>
            <x v="130"/>
            <x v="138"/>
            <x v="143"/>
            <x v="148"/>
            <x v="153"/>
            <x v="160"/>
            <x v="161"/>
            <x v="168"/>
            <x v="170"/>
            <x v="175"/>
            <x v="192"/>
            <x v="194"/>
            <x v="196"/>
            <x v="213"/>
            <x v="220"/>
            <x v="235"/>
            <x v="254"/>
          </reference>
        </references>
      </pivotArea>
    </format>
    <format dxfId="131">
      <pivotArea dataOnly="0" labelOnly="1" fieldPosition="0">
        <references count="1">
          <reference field="0" count="28">
            <x v="22"/>
            <x v="28"/>
            <x v="40"/>
            <x v="51"/>
            <x v="67"/>
            <x v="74"/>
            <x v="81"/>
            <x v="96"/>
            <x v="127"/>
            <x v="133"/>
            <x v="139"/>
            <x v="140"/>
            <x v="151"/>
            <x v="157"/>
            <x v="159"/>
            <x v="163"/>
            <x v="180"/>
            <x v="195"/>
            <x v="211"/>
            <x v="216"/>
            <x v="219"/>
            <x v="221"/>
            <x v="223"/>
            <x v="246"/>
            <x v="250"/>
            <x v="251"/>
            <x v="258"/>
            <x v="259"/>
          </reference>
        </references>
      </pivotArea>
    </format>
    <format dxfId="130">
      <pivotArea dataOnly="0" labelOnly="1" grandRow="1" outline="0" fieldPosition="0"/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outline="0" fieldPosition="0">
        <references count="1">
          <reference field="4294967294" count="1">
            <x v="2"/>
          </reference>
        </references>
      </pivotArea>
    </format>
    <format dxfId="127">
      <pivotArea field="6" type="button" dataOnly="0" labelOnly="1" outline="0"/>
    </format>
    <format dxfId="126">
      <pivotArea field="0" type="button" dataOnly="0" labelOnly="1" outline="0" axis="axisRow" fieldPosition="1"/>
    </format>
    <format dxfId="125">
      <pivotArea dataOnly="0" labelOnly="1" fieldPosition="0">
        <references count="1">
          <reference field="0" count="50">
            <x v="0"/>
            <x v="4"/>
            <x v="6"/>
            <x v="18"/>
            <x v="26"/>
            <x v="30"/>
            <x v="36"/>
            <x v="37"/>
            <x v="39"/>
            <x v="43"/>
            <x v="53"/>
            <x v="63"/>
            <x v="69"/>
            <x v="72"/>
            <x v="76"/>
            <x v="79"/>
            <x v="80"/>
            <x v="84"/>
            <x v="89"/>
            <x v="99"/>
            <x v="113"/>
            <x v="125"/>
            <x v="131"/>
            <x v="132"/>
            <x v="136"/>
            <x v="141"/>
            <x v="145"/>
            <x v="164"/>
            <x v="167"/>
            <x v="173"/>
            <x v="174"/>
            <x v="176"/>
            <x v="178"/>
            <x v="182"/>
            <x v="188"/>
            <x v="191"/>
            <x v="204"/>
            <x v="207"/>
            <x v="209"/>
            <x v="210"/>
            <x v="212"/>
            <x v="226"/>
            <x v="228"/>
            <x v="229"/>
            <x v="234"/>
            <x v="245"/>
            <x v="247"/>
            <x v="253"/>
            <x v="255"/>
            <x v="256"/>
          </reference>
        </references>
      </pivotArea>
    </format>
    <format dxfId="124">
      <pivotArea dataOnly="0" labelOnly="1" fieldPosition="0">
        <references count="1">
          <reference field="0" count="50">
            <x v="2"/>
            <x v="5"/>
            <x v="8"/>
            <x v="9"/>
            <x v="20"/>
            <x v="23"/>
            <x v="31"/>
            <x v="38"/>
            <x v="41"/>
            <x v="42"/>
            <x v="45"/>
            <x v="46"/>
            <x v="57"/>
            <x v="58"/>
            <x v="60"/>
            <x v="61"/>
            <x v="62"/>
            <x v="78"/>
            <x v="86"/>
            <x v="87"/>
            <x v="90"/>
            <x v="95"/>
            <x v="100"/>
            <x v="101"/>
            <x v="102"/>
            <x v="105"/>
            <x v="107"/>
            <x v="111"/>
            <x v="112"/>
            <x v="116"/>
            <x v="124"/>
            <x v="128"/>
            <x v="138"/>
            <x v="143"/>
            <x v="144"/>
            <x v="148"/>
            <x v="153"/>
            <x v="160"/>
            <x v="168"/>
            <x v="170"/>
            <x v="175"/>
            <x v="192"/>
            <x v="194"/>
            <x v="196"/>
            <x v="213"/>
            <x v="220"/>
            <x v="222"/>
            <x v="225"/>
            <x v="235"/>
            <x v="254"/>
          </reference>
        </references>
      </pivotArea>
    </format>
    <format dxfId="123">
      <pivotArea dataOnly="0" labelOnly="1" fieldPosition="0">
        <references count="1">
          <reference field="0" count="37">
            <x v="22"/>
            <x v="27"/>
            <x v="28"/>
            <x v="40"/>
            <x v="44"/>
            <x v="51"/>
            <x v="59"/>
            <x v="67"/>
            <x v="74"/>
            <x v="81"/>
            <x v="83"/>
            <x v="96"/>
            <x v="117"/>
            <x v="127"/>
            <x v="130"/>
            <x v="133"/>
            <x v="139"/>
            <x v="140"/>
            <x v="151"/>
            <x v="157"/>
            <x v="159"/>
            <x v="161"/>
            <x v="163"/>
            <x v="171"/>
            <x v="180"/>
            <x v="195"/>
            <x v="200"/>
            <x v="211"/>
            <x v="216"/>
            <x v="219"/>
            <x v="221"/>
            <x v="223"/>
            <x v="246"/>
            <x v="250"/>
            <x v="251"/>
            <x v="258"/>
            <x v="259"/>
          </reference>
        </references>
      </pivotArea>
    </format>
    <format dxfId="122">
      <pivotArea dataOnly="0" labelOnly="1" grandRow="1" outline="0" fieldPosition="0"/>
    </format>
    <format dxfId="121">
      <pivotArea field="6" type="button" dataOnly="0" labelOnly="1" outline="0"/>
    </format>
    <format dxfId="120">
      <pivotArea field="0" type="button" dataOnly="0" labelOnly="1" outline="0" axis="axisRow" fieldPosition="1"/>
    </format>
    <format dxfId="119">
      <pivotArea dataOnly="0" labelOnly="1" fieldPosition="0">
        <references count="1">
          <reference field="0" count="50">
            <x v="0"/>
            <x v="4"/>
            <x v="6"/>
            <x v="18"/>
            <x v="26"/>
            <x v="30"/>
            <x v="36"/>
            <x v="37"/>
            <x v="39"/>
            <x v="43"/>
            <x v="53"/>
            <x v="63"/>
            <x v="69"/>
            <x v="72"/>
            <x v="76"/>
            <x v="79"/>
            <x v="80"/>
            <x v="84"/>
            <x v="89"/>
            <x v="99"/>
            <x v="113"/>
            <x v="125"/>
            <x v="131"/>
            <x v="132"/>
            <x v="136"/>
            <x v="141"/>
            <x v="145"/>
            <x v="164"/>
            <x v="167"/>
            <x v="173"/>
            <x v="174"/>
            <x v="176"/>
            <x v="178"/>
            <x v="182"/>
            <x v="188"/>
            <x v="191"/>
            <x v="204"/>
            <x v="207"/>
            <x v="209"/>
            <x v="210"/>
            <x v="212"/>
            <x v="226"/>
            <x v="228"/>
            <x v="229"/>
            <x v="234"/>
            <x v="245"/>
            <x v="247"/>
            <x v="253"/>
            <x v="255"/>
            <x v="256"/>
          </reference>
        </references>
      </pivotArea>
    </format>
    <format dxfId="118">
      <pivotArea dataOnly="0" labelOnly="1" fieldPosition="0">
        <references count="1">
          <reference field="0" count="50">
            <x v="2"/>
            <x v="5"/>
            <x v="8"/>
            <x v="9"/>
            <x v="20"/>
            <x v="23"/>
            <x v="31"/>
            <x v="38"/>
            <x v="41"/>
            <x v="42"/>
            <x v="45"/>
            <x v="46"/>
            <x v="57"/>
            <x v="58"/>
            <x v="60"/>
            <x v="61"/>
            <x v="62"/>
            <x v="78"/>
            <x v="86"/>
            <x v="87"/>
            <x v="90"/>
            <x v="95"/>
            <x v="100"/>
            <x v="101"/>
            <x v="102"/>
            <x v="105"/>
            <x v="107"/>
            <x v="111"/>
            <x v="112"/>
            <x v="116"/>
            <x v="124"/>
            <x v="128"/>
            <x v="138"/>
            <x v="143"/>
            <x v="144"/>
            <x v="148"/>
            <x v="153"/>
            <x v="160"/>
            <x v="168"/>
            <x v="170"/>
            <x v="175"/>
            <x v="192"/>
            <x v="194"/>
            <x v="196"/>
            <x v="213"/>
            <x v="220"/>
            <x v="222"/>
            <x v="225"/>
            <x v="235"/>
            <x v="254"/>
          </reference>
        </references>
      </pivotArea>
    </format>
    <format dxfId="117">
      <pivotArea dataOnly="0" labelOnly="1" fieldPosition="0">
        <references count="1">
          <reference field="0" count="37">
            <x v="22"/>
            <x v="27"/>
            <x v="28"/>
            <x v="40"/>
            <x v="44"/>
            <x v="51"/>
            <x v="59"/>
            <x v="67"/>
            <x v="74"/>
            <x v="81"/>
            <x v="83"/>
            <x v="96"/>
            <x v="117"/>
            <x v="127"/>
            <x v="130"/>
            <x v="133"/>
            <x v="139"/>
            <x v="140"/>
            <x v="151"/>
            <x v="157"/>
            <x v="159"/>
            <x v="161"/>
            <x v="163"/>
            <x v="171"/>
            <x v="180"/>
            <x v="195"/>
            <x v="200"/>
            <x v="211"/>
            <x v="216"/>
            <x v="219"/>
            <x v="221"/>
            <x v="223"/>
            <x v="246"/>
            <x v="250"/>
            <x v="251"/>
            <x v="258"/>
            <x v="259"/>
          </reference>
        </references>
      </pivotArea>
    </format>
    <format dxfId="116">
      <pivotArea dataOnly="0" labelOnly="1" grandRow="1" outline="0" fieldPosition="0"/>
    </format>
    <format dxfId="115">
      <pivotArea field="6" type="button" dataOnly="0" labelOnly="1" outline="0"/>
    </format>
    <format dxfId="114">
      <pivotArea field="0" type="button" dataOnly="0" labelOnly="1" outline="0" axis="axisRow" fieldPosition="1"/>
    </format>
    <format dxfId="113">
      <pivotArea dataOnly="0" labelOnly="1" fieldPosition="0">
        <references count="1">
          <reference field="0" count="50">
            <x v="0"/>
            <x v="4"/>
            <x v="6"/>
            <x v="18"/>
            <x v="26"/>
            <x v="30"/>
            <x v="36"/>
            <x v="37"/>
            <x v="39"/>
            <x v="43"/>
            <x v="53"/>
            <x v="63"/>
            <x v="69"/>
            <x v="72"/>
            <x v="76"/>
            <x v="79"/>
            <x v="80"/>
            <x v="84"/>
            <x v="89"/>
            <x v="99"/>
            <x v="113"/>
            <x v="125"/>
            <x v="131"/>
            <x v="132"/>
            <x v="136"/>
            <x v="141"/>
            <x v="145"/>
            <x v="164"/>
            <x v="167"/>
            <x v="173"/>
            <x v="174"/>
            <x v="176"/>
            <x v="178"/>
            <x v="182"/>
            <x v="188"/>
            <x v="191"/>
            <x v="204"/>
            <x v="207"/>
            <x v="209"/>
            <x v="210"/>
            <x v="212"/>
            <x v="226"/>
            <x v="228"/>
            <x v="229"/>
            <x v="234"/>
            <x v="245"/>
            <x v="247"/>
            <x v="253"/>
            <x v="255"/>
            <x v="256"/>
          </reference>
        </references>
      </pivotArea>
    </format>
    <format dxfId="112">
      <pivotArea dataOnly="0" labelOnly="1" fieldPosition="0">
        <references count="1">
          <reference field="0" count="50">
            <x v="2"/>
            <x v="5"/>
            <x v="8"/>
            <x v="9"/>
            <x v="20"/>
            <x v="23"/>
            <x v="31"/>
            <x v="38"/>
            <x v="41"/>
            <x v="42"/>
            <x v="45"/>
            <x v="46"/>
            <x v="57"/>
            <x v="58"/>
            <x v="60"/>
            <x v="61"/>
            <x v="62"/>
            <x v="78"/>
            <x v="86"/>
            <x v="87"/>
            <x v="90"/>
            <x v="95"/>
            <x v="100"/>
            <x v="101"/>
            <x v="102"/>
            <x v="105"/>
            <x v="107"/>
            <x v="111"/>
            <x v="112"/>
            <x v="116"/>
            <x v="124"/>
            <x v="128"/>
            <x v="138"/>
            <x v="143"/>
            <x v="144"/>
            <x v="148"/>
            <x v="153"/>
            <x v="160"/>
            <x v="168"/>
            <x v="170"/>
            <x v="175"/>
            <x v="192"/>
            <x v="194"/>
            <x v="196"/>
            <x v="213"/>
            <x v="220"/>
            <x v="222"/>
            <x v="225"/>
            <x v="235"/>
            <x v="254"/>
          </reference>
        </references>
      </pivotArea>
    </format>
    <format dxfId="111">
      <pivotArea dataOnly="0" labelOnly="1" fieldPosition="0">
        <references count="1">
          <reference field="0" count="37">
            <x v="22"/>
            <x v="27"/>
            <x v="28"/>
            <x v="40"/>
            <x v="44"/>
            <x v="51"/>
            <x v="59"/>
            <x v="67"/>
            <x v="74"/>
            <x v="81"/>
            <x v="83"/>
            <x v="96"/>
            <x v="117"/>
            <x v="127"/>
            <x v="130"/>
            <x v="133"/>
            <x v="139"/>
            <x v="140"/>
            <x v="151"/>
            <x v="157"/>
            <x v="159"/>
            <x v="161"/>
            <x v="163"/>
            <x v="171"/>
            <x v="180"/>
            <x v="195"/>
            <x v="200"/>
            <x v="211"/>
            <x v="216"/>
            <x v="219"/>
            <x v="221"/>
            <x v="223"/>
            <x v="246"/>
            <x v="250"/>
            <x v="251"/>
            <x v="258"/>
            <x v="259"/>
          </reference>
        </references>
      </pivotArea>
    </format>
    <format dxfId="110">
      <pivotArea dataOnly="0" labelOnly="1" grandRow="1" outline="0" fieldPosition="0"/>
    </format>
    <format dxfId="109">
      <pivotArea field="6" type="button" dataOnly="0" labelOnly="1" outline="0"/>
    </format>
    <format dxfId="108">
      <pivotArea field="0" type="button" dataOnly="0" labelOnly="1" outline="0" axis="axisRow" fieldPosition="1"/>
    </format>
    <format dxfId="107">
      <pivotArea dataOnly="0" labelOnly="1" fieldPosition="0">
        <references count="1">
          <reference field="0" count="50">
            <x v="0"/>
            <x v="4"/>
            <x v="6"/>
            <x v="18"/>
            <x v="26"/>
            <x v="30"/>
            <x v="36"/>
            <x v="37"/>
            <x v="39"/>
            <x v="43"/>
            <x v="53"/>
            <x v="63"/>
            <x v="69"/>
            <x v="72"/>
            <x v="76"/>
            <x v="79"/>
            <x v="80"/>
            <x v="84"/>
            <x v="89"/>
            <x v="99"/>
            <x v="113"/>
            <x v="125"/>
            <x v="131"/>
            <x v="132"/>
            <x v="136"/>
            <x v="141"/>
            <x v="145"/>
            <x v="164"/>
            <x v="167"/>
            <x v="173"/>
            <x v="174"/>
            <x v="176"/>
            <x v="178"/>
            <x v="182"/>
            <x v="188"/>
            <x v="191"/>
            <x v="204"/>
            <x v="207"/>
            <x v="209"/>
            <x v="210"/>
            <x v="212"/>
            <x v="226"/>
            <x v="228"/>
            <x v="229"/>
            <x v="234"/>
            <x v="245"/>
            <x v="247"/>
            <x v="253"/>
            <x v="255"/>
            <x v="256"/>
          </reference>
        </references>
      </pivotArea>
    </format>
    <format dxfId="106">
      <pivotArea dataOnly="0" labelOnly="1" fieldPosition="0">
        <references count="1">
          <reference field="0" count="50">
            <x v="2"/>
            <x v="5"/>
            <x v="8"/>
            <x v="9"/>
            <x v="20"/>
            <x v="23"/>
            <x v="31"/>
            <x v="38"/>
            <x v="41"/>
            <x v="42"/>
            <x v="45"/>
            <x v="46"/>
            <x v="57"/>
            <x v="58"/>
            <x v="60"/>
            <x v="61"/>
            <x v="62"/>
            <x v="78"/>
            <x v="86"/>
            <x v="87"/>
            <x v="90"/>
            <x v="95"/>
            <x v="100"/>
            <x v="101"/>
            <x v="102"/>
            <x v="105"/>
            <x v="107"/>
            <x v="111"/>
            <x v="112"/>
            <x v="116"/>
            <x v="124"/>
            <x v="128"/>
            <x v="138"/>
            <x v="143"/>
            <x v="144"/>
            <x v="148"/>
            <x v="153"/>
            <x v="160"/>
            <x v="168"/>
            <x v="170"/>
            <x v="175"/>
            <x v="192"/>
            <x v="194"/>
            <x v="196"/>
            <x v="213"/>
            <x v="220"/>
            <x v="222"/>
            <x v="225"/>
            <x v="235"/>
            <x v="254"/>
          </reference>
        </references>
      </pivotArea>
    </format>
    <format dxfId="105">
      <pivotArea dataOnly="0" labelOnly="1" fieldPosition="0">
        <references count="1">
          <reference field="0" count="37">
            <x v="22"/>
            <x v="27"/>
            <x v="28"/>
            <x v="40"/>
            <x v="44"/>
            <x v="51"/>
            <x v="59"/>
            <x v="67"/>
            <x v="74"/>
            <x v="81"/>
            <x v="83"/>
            <x v="96"/>
            <x v="117"/>
            <x v="127"/>
            <x v="130"/>
            <x v="133"/>
            <x v="139"/>
            <x v="140"/>
            <x v="151"/>
            <x v="157"/>
            <x v="159"/>
            <x v="161"/>
            <x v="163"/>
            <x v="171"/>
            <x v="180"/>
            <x v="195"/>
            <x v="200"/>
            <x v="211"/>
            <x v="216"/>
            <x v="219"/>
            <x v="221"/>
            <x v="223"/>
            <x v="246"/>
            <x v="250"/>
            <x v="251"/>
            <x v="258"/>
            <x v="259"/>
          </reference>
        </references>
      </pivotArea>
    </format>
    <format dxfId="104">
      <pivotArea dataOnly="0" labelOnly="1" grandRow="1" outline="0" fieldPosition="0"/>
    </format>
    <format dxfId="103">
      <pivotArea outline="0" fieldPosition="0">
        <references count="1">
          <reference field="4294967294" count="1">
            <x v="3"/>
          </reference>
        </references>
      </pivotArea>
    </format>
    <format dxfId="102">
      <pivotArea field="2" type="button" dataOnly="0" labelOnly="1" outline="0" axis="axisRow" fieldPosition="0"/>
    </format>
    <format dxfId="101">
      <pivotArea field="0" type="button" dataOnly="0" labelOnly="1" outline="0" axis="axisRow" fieldPosition="1"/>
    </format>
    <format dxfId="100">
      <pivotArea dataOnly="0" labelOnly="1" fieldPosition="0">
        <references count="1">
          <reference field="0" count="50">
            <x v="0"/>
            <x v="2"/>
            <x v="4"/>
            <x v="5"/>
            <x v="6"/>
            <x v="8"/>
            <x v="9"/>
            <x v="11"/>
            <x v="16"/>
            <x v="18"/>
            <x v="20"/>
            <x v="22"/>
            <x v="23"/>
            <x v="26"/>
            <x v="27"/>
            <x v="28"/>
            <x v="30"/>
            <x v="31"/>
            <x v="33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3"/>
            <x v="57"/>
            <x v="58"/>
            <x v="59"/>
            <x v="60"/>
            <x v="61"/>
            <x v="62"/>
            <x v="63"/>
            <x v="67"/>
            <x v="69"/>
            <x v="70"/>
            <x v="72"/>
            <x v="74"/>
            <x v="76"/>
            <x v="78"/>
            <x v="79"/>
            <x v="80"/>
            <x v="81"/>
          </reference>
        </references>
      </pivotArea>
    </format>
    <format dxfId="99">
      <pivotArea dataOnly="0" labelOnly="1" fieldPosition="0">
        <references count="1">
          <reference field="0" count="50">
            <x v="83"/>
            <x v="84"/>
            <x v="86"/>
            <x v="87"/>
            <x v="89"/>
            <x v="90"/>
            <x v="92"/>
            <x v="95"/>
            <x v="96"/>
            <x v="99"/>
            <x v="100"/>
            <x v="101"/>
            <x v="102"/>
            <x v="105"/>
            <x v="107"/>
            <x v="108"/>
            <x v="111"/>
            <x v="112"/>
            <x v="113"/>
            <x v="114"/>
            <x v="116"/>
            <x v="117"/>
            <x v="121"/>
            <x v="124"/>
            <x v="125"/>
            <x v="127"/>
            <x v="128"/>
            <x v="130"/>
            <x v="131"/>
            <x v="132"/>
            <x v="133"/>
            <x v="134"/>
            <x v="136"/>
            <x v="138"/>
            <x v="139"/>
            <x v="140"/>
            <x v="141"/>
            <x v="143"/>
            <x v="144"/>
            <x v="145"/>
            <x v="146"/>
            <x v="148"/>
            <x v="151"/>
            <x v="153"/>
            <x v="154"/>
            <x v="157"/>
            <x v="159"/>
            <x v="160"/>
            <x v="161"/>
            <x v="163"/>
          </reference>
        </references>
      </pivotArea>
    </format>
    <format dxfId="98">
      <pivotArea dataOnly="0" labelOnly="1" fieldPosition="0">
        <references count="1">
          <reference field="0" count="50">
            <x v="164"/>
            <x v="167"/>
            <x v="168"/>
            <x v="170"/>
            <x v="171"/>
            <x v="173"/>
            <x v="174"/>
            <x v="175"/>
            <x v="176"/>
            <x v="178"/>
            <x v="180"/>
            <x v="182"/>
            <x v="188"/>
            <x v="191"/>
            <x v="192"/>
            <x v="194"/>
            <x v="195"/>
            <x v="196"/>
            <x v="200"/>
            <x v="204"/>
            <x v="207"/>
            <x v="209"/>
            <x v="210"/>
            <x v="211"/>
            <x v="212"/>
            <x v="213"/>
            <x v="214"/>
            <x v="216"/>
            <x v="217"/>
            <x v="219"/>
            <x v="220"/>
            <x v="221"/>
            <x v="222"/>
            <x v="223"/>
            <x v="225"/>
            <x v="226"/>
            <x v="228"/>
            <x v="229"/>
            <x v="231"/>
            <x v="234"/>
            <x v="235"/>
            <x v="236"/>
            <x v="240"/>
            <x v="245"/>
            <x v="246"/>
            <x v="247"/>
            <x v="250"/>
            <x v="251"/>
            <x v="253"/>
            <x v="254"/>
          </reference>
        </references>
      </pivotArea>
    </format>
    <format dxfId="97">
      <pivotArea dataOnly="0" labelOnly="1" fieldPosition="0">
        <references count="1">
          <reference field="0" count="4">
            <x v="255"/>
            <x v="256"/>
            <x v="258"/>
            <x v="259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2" type="button" dataOnly="0" labelOnly="1" outline="0" axis="axisRow" fieldPosition="0"/>
    </format>
    <format dxfId="92">
      <pivotArea dataOnly="0" labelOnly="1" fieldPosition="0">
        <references count="1">
          <reference field="2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2">
          <reference field="0" count="1">
            <x v="259"/>
          </reference>
          <reference field="2" count="1" selected="0">
            <x v="33"/>
          </reference>
        </references>
      </pivotArea>
    </format>
    <format dxfId="8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2" type="button" dataOnly="0" labelOnly="1" outline="0" axis="axisRow" fieldPosition="0"/>
    </format>
    <format dxfId="85">
      <pivotArea dataOnly="0" labelOnly="1" fieldPosition="0">
        <references count="1">
          <reference field="2" count="0"/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2">
          <reference field="0" count="1">
            <x v="259"/>
          </reference>
          <reference field="2" count="1" selected="0">
            <x v="33"/>
          </reference>
        </references>
      </pivotArea>
    </format>
    <format dxfId="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2" type="button" dataOnly="0" labelOnly="1" outline="0" axis="axisRow" fieldPosition="0"/>
    </format>
    <format dxfId="78">
      <pivotArea dataOnly="0" labelOnly="1" fieldPosition="0">
        <references count="1">
          <reference field="2" count="0"/>
        </references>
      </pivotArea>
    </format>
    <format dxfId="77">
      <pivotArea dataOnly="0" labelOnly="1" grandRow="1" outline="0" fieldPosition="0"/>
    </format>
    <format dxfId="76">
      <pivotArea dataOnly="0" labelOnly="1" fieldPosition="0">
        <references count="2">
          <reference field="0" count="1">
            <x v="259"/>
          </reference>
          <reference field="2" count="1" selected="0">
            <x v="33"/>
          </reference>
        </references>
      </pivotArea>
    </format>
    <format dxfId="7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3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27">
              <x v="0"/>
              <x v="2"/>
              <x v="4"/>
              <x v="5"/>
              <x v="6"/>
              <x v="8"/>
              <x v="9"/>
              <x v="18"/>
              <x v="20"/>
              <x v="22"/>
              <x v="23"/>
              <x v="26"/>
              <x v="27"/>
              <x v="28"/>
              <x v="30"/>
              <x v="31"/>
              <x v="36"/>
              <x v="37"/>
              <x v="38"/>
              <x v="39"/>
              <x v="40"/>
              <x v="41"/>
              <x v="42"/>
              <x v="44"/>
              <x v="45"/>
              <x v="46"/>
              <x v="51"/>
              <x v="53"/>
              <x v="57"/>
              <x v="58"/>
              <x v="59"/>
              <x v="60"/>
              <x v="61"/>
              <x v="62"/>
              <x v="63"/>
              <x v="67"/>
              <x v="69"/>
              <x v="72"/>
              <x v="74"/>
              <x v="76"/>
              <x v="78"/>
              <x v="80"/>
              <x v="81"/>
              <x v="84"/>
              <x v="86"/>
              <x v="87"/>
              <x v="89"/>
              <x v="90"/>
              <x v="95"/>
              <x v="96"/>
              <x v="100"/>
              <x v="101"/>
              <x v="102"/>
              <x v="105"/>
              <x v="111"/>
              <x v="112"/>
              <x v="113"/>
              <x v="116"/>
              <x v="117"/>
              <x v="125"/>
              <x v="127"/>
              <x v="128"/>
              <x v="130"/>
              <x v="131"/>
              <x v="132"/>
              <x v="133"/>
              <x v="136"/>
              <x v="138"/>
              <x v="139"/>
              <x v="140"/>
              <x v="141"/>
              <x v="143"/>
              <x v="144"/>
              <x v="145"/>
              <x v="148"/>
              <x v="151"/>
              <x v="153"/>
              <x v="157"/>
              <x v="159"/>
              <x v="160"/>
              <x v="161"/>
              <x v="163"/>
              <x v="164"/>
              <x v="167"/>
              <x v="168"/>
              <x v="170"/>
              <x v="173"/>
              <x v="174"/>
              <x v="175"/>
              <x v="176"/>
              <x v="178"/>
              <x v="180"/>
              <x v="182"/>
              <x v="188"/>
              <x v="191"/>
              <x v="192"/>
              <x v="194"/>
              <x v="195"/>
              <x v="196"/>
              <x v="204"/>
              <x v="207"/>
              <x v="209"/>
              <x v="210"/>
              <x v="211"/>
              <x v="212"/>
              <x v="213"/>
              <x v="216"/>
              <x v="219"/>
              <x v="220"/>
              <x v="221"/>
              <x v="222"/>
              <x v="223"/>
              <x v="226"/>
              <x v="228"/>
              <x v="229"/>
              <x v="234"/>
              <x v="235"/>
              <x v="245"/>
              <x v="246"/>
              <x v="247"/>
              <x v="250"/>
              <x v="251"/>
              <x v="253"/>
              <x v="254"/>
              <x v="255"/>
              <x v="256"/>
              <x v="258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54">
              <x v="0"/>
              <x v="2"/>
              <x v="4"/>
              <x v="5"/>
              <x v="6"/>
              <x v="8"/>
              <x v="9"/>
              <x v="11"/>
              <x v="16"/>
              <x v="18"/>
              <x v="20"/>
              <x v="22"/>
              <x v="23"/>
              <x v="26"/>
              <x v="27"/>
              <x v="28"/>
              <x v="30"/>
              <x v="31"/>
              <x v="33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9"/>
              <x v="51"/>
              <x v="53"/>
              <x v="57"/>
              <x v="58"/>
              <x v="59"/>
              <x v="60"/>
              <x v="61"/>
              <x v="62"/>
              <x v="63"/>
              <x v="67"/>
              <x v="69"/>
              <x v="70"/>
              <x v="72"/>
              <x v="74"/>
              <x v="76"/>
              <x v="78"/>
              <x v="79"/>
              <x v="80"/>
              <x v="81"/>
              <x v="83"/>
              <x v="84"/>
              <x v="86"/>
              <x v="87"/>
              <x v="89"/>
              <x v="90"/>
              <x v="92"/>
              <x v="95"/>
              <x v="96"/>
              <x v="99"/>
              <x v="100"/>
              <x v="101"/>
              <x v="102"/>
              <x v="105"/>
              <x v="107"/>
              <x v="108"/>
              <x v="111"/>
              <x v="112"/>
              <x v="113"/>
              <x v="114"/>
              <x v="116"/>
              <x v="117"/>
              <x v="121"/>
              <x v="124"/>
              <x v="125"/>
              <x v="127"/>
              <x v="128"/>
              <x v="130"/>
              <x v="131"/>
              <x v="132"/>
              <x v="133"/>
              <x v="134"/>
              <x v="136"/>
              <x v="138"/>
              <x v="139"/>
              <x v="140"/>
              <x v="141"/>
              <x v="143"/>
              <x v="144"/>
              <x v="145"/>
              <x v="146"/>
              <x v="148"/>
              <x v="151"/>
              <x v="153"/>
              <x v="154"/>
              <x v="157"/>
              <x v="159"/>
              <x v="160"/>
              <x v="161"/>
              <x v="163"/>
              <x v="164"/>
              <x v="167"/>
              <x v="168"/>
              <x v="170"/>
              <x v="171"/>
              <x v="173"/>
              <x v="174"/>
              <x v="175"/>
              <x v="176"/>
              <x v="178"/>
              <x v="180"/>
              <x v="182"/>
              <x v="188"/>
              <x v="191"/>
              <x v="192"/>
              <x v="194"/>
              <x v="195"/>
              <x v="196"/>
              <x v="200"/>
              <x v="204"/>
              <x v="207"/>
              <x v="209"/>
              <x v="210"/>
              <x v="211"/>
              <x v="212"/>
              <x v="213"/>
              <x v="214"/>
              <x v="216"/>
              <x v="217"/>
              <x v="219"/>
              <x v="220"/>
              <x v="221"/>
              <x v="222"/>
              <x v="223"/>
              <x v="225"/>
              <x v="226"/>
              <x v="228"/>
              <x v="229"/>
              <x v="231"/>
              <x v="234"/>
              <x v="235"/>
              <x v="236"/>
              <x v="240"/>
              <x v="245"/>
              <x v="246"/>
              <x v="247"/>
              <x v="250"/>
              <x v="251"/>
              <x v="253"/>
              <x v="254"/>
              <x v="255"/>
              <x v="256"/>
              <x v="258"/>
              <x v="259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154">
              <x v="0"/>
              <x v="2"/>
              <x v="4"/>
              <x v="5"/>
              <x v="6"/>
              <x v="8"/>
              <x v="9"/>
              <x v="11"/>
              <x v="16"/>
              <x v="18"/>
              <x v="20"/>
              <x v="22"/>
              <x v="23"/>
              <x v="26"/>
              <x v="27"/>
              <x v="28"/>
              <x v="30"/>
              <x v="31"/>
              <x v="33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9"/>
              <x v="51"/>
              <x v="53"/>
              <x v="57"/>
              <x v="58"/>
              <x v="59"/>
              <x v="60"/>
              <x v="61"/>
              <x v="62"/>
              <x v="63"/>
              <x v="67"/>
              <x v="69"/>
              <x v="70"/>
              <x v="72"/>
              <x v="74"/>
              <x v="76"/>
              <x v="78"/>
              <x v="79"/>
              <x v="80"/>
              <x v="81"/>
              <x v="83"/>
              <x v="84"/>
              <x v="86"/>
              <x v="87"/>
              <x v="89"/>
              <x v="90"/>
              <x v="92"/>
              <x v="95"/>
              <x v="96"/>
              <x v="99"/>
              <x v="100"/>
              <x v="101"/>
              <x v="102"/>
              <x v="105"/>
              <x v="107"/>
              <x v="108"/>
              <x v="111"/>
              <x v="112"/>
              <x v="113"/>
              <x v="114"/>
              <x v="116"/>
              <x v="117"/>
              <x v="121"/>
              <x v="124"/>
              <x v="125"/>
              <x v="127"/>
              <x v="128"/>
              <x v="130"/>
              <x v="131"/>
              <x v="132"/>
              <x v="133"/>
              <x v="134"/>
              <x v="136"/>
              <x v="138"/>
              <x v="139"/>
              <x v="140"/>
              <x v="141"/>
              <x v="143"/>
              <x v="144"/>
              <x v="145"/>
              <x v="146"/>
              <x v="148"/>
              <x v="151"/>
              <x v="153"/>
              <x v="154"/>
              <x v="157"/>
              <x v="159"/>
              <x v="160"/>
              <x v="161"/>
              <x v="163"/>
              <x v="164"/>
              <x v="167"/>
              <x v="168"/>
              <x v="170"/>
              <x v="171"/>
              <x v="173"/>
              <x v="174"/>
              <x v="175"/>
              <x v="176"/>
              <x v="178"/>
              <x v="180"/>
              <x v="182"/>
              <x v="188"/>
              <x v="191"/>
              <x v="192"/>
              <x v="194"/>
              <x v="195"/>
              <x v="196"/>
              <x v="200"/>
              <x v="204"/>
              <x v="207"/>
              <x v="209"/>
              <x v="210"/>
              <x v="211"/>
              <x v="212"/>
              <x v="213"/>
              <x v="214"/>
              <x v="216"/>
              <x v="217"/>
              <x v="219"/>
              <x v="220"/>
              <x v="221"/>
              <x v="222"/>
              <x v="223"/>
              <x v="225"/>
              <x v="226"/>
              <x v="228"/>
              <x v="229"/>
              <x v="231"/>
              <x v="234"/>
              <x v="235"/>
              <x v="236"/>
              <x v="240"/>
              <x v="245"/>
              <x v="246"/>
              <x v="247"/>
              <x v="250"/>
              <x v="251"/>
              <x v="253"/>
              <x v="254"/>
              <x v="255"/>
              <x v="256"/>
              <x v="258"/>
              <x v="25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AQ1:AU36" firstHeaderRow="0" firstDataRow="1" firstDataCol="1"/>
  <pivotFields count="15">
    <pivotField showAll="0"/>
    <pivotField showAll="0"/>
    <pivotField axis="axisRow" showAll="0" sortType="ascending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showAll="0"/>
    <pivotField showAll="0"/>
    <pivotField showAll="0"/>
    <pivotField subtotalTop="0" showAll="0">
      <items count="31"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ubtotalTop="0" showAll="0"/>
    <pivotField showAll="0"/>
    <pivotField dataField="1" subtotalTop="0" showAll="0"/>
    <pivotField dataField="1" subtotalTop="0" showAll="0"/>
    <pivotField subtotalTop="0" showAll="0"/>
    <pivotField dataField="1" subtotalTop="0" showAll="0"/>
    <pivotField showAll="0"/>
    <pivotField dataField="1" showAll="0"/>
  </pivotFields>
  <rowFields count="1">
    <field x="2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ntregas" fld="14" baseField="2" baseItem="4"/>
    <dataField name="Receita" fld="12" baseField="0" baseItem="0" numFmtId="3"/>
    <dataField name="Horas" fld="9" baseField="0" baseItem="5" numFmtId="171"/>
    <dataField name="Km" fld="10" baseField="0" baseItem="5" numFmtId="4"/>
  </dataFields>
  <formats count="38"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6" type="button" dataOnly="0" labelOnly="1" outline="0"/>
    </format>
    <format dxfId="191">
      <pivotArea dataOnly="0" labelOnly="1" outline="0" axis="axisValues" fieldPosition="0"/>
    </format>
    <format dxfId="190">
      <pivotArea dataOnly="0" labelOnly="1" grandRow="1" outline="0" fieldPosition="0"/>
    </format>
    <format dxfId="189">
      <pivotArea dataOnly="0" labelOnly="1" outline="0" axis="axisValues" fieldPosition="0"/>
    </format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6" type="button" dataOnly="0" labelOnly="1" outline="0"/>
    </format>
    <format dxfId="185">
      <pivotArea dataOnly="0" labelOnly="1" outline="0" axis="axisValues" fieldPosition="0"/>
    </format>
    <format dxfId="184">
      <pivotArea dataOnly="0" labelOnly="1" grandRow="1" outline="0" fieldPosition="0"/>
    </format>
    <format dxfId="183">
      <pivotArea dataOnly="0" labelOnly="1" outline="0" axis="axisValues" fieldPosition="0"/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field="6" type="button" dataOnly="0" labelOnly="1" outline="0"/>
    </format>
    <format dxfId="179">
      <pivotArea dataOnly="0" labelOnly="1" outline="0" axis="axisValues" fieldPosition="0"/>
    </format>
    <format dxfId="178">
      <pivotArea dataOnly="0" labelOnly="1" grandRow="1" outline="0" fieldPosition="0"/>
    </format>
    <format dxfId="177">
      <pivotArea dataOnly="0" labelOnly="1" outline="0" axis="axisValues" fieldPosition="0"/>
    </format>
    <format dxfId="176">
      <pivotArea outline="0" fieldPosition="0">
        <references count="1">
          <reference field="4294967294" count="1">
            <x v="2"/>
          </reference>
        </references>
      </pivotArea>
    </format>
    <format dxfId="175">
      <pivotArea outline="0" fieldPosition="0">
        <references count="1">
          <reference field="4294967294" count="1">
            <x v="3"/>
          </reference>
        </references>
      </pivotArea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field="2" type="button" dataOnly="0" labelOnly="1" outline="0" axis="axisRow" fieldPosition="0"/>
    </format>
    <format dxfId="171">
      <pivotArea dataOnly="0" labelOnly="1" fieldPosition="0">
        <references count="1">
          <reference field="2" count="0"/>
        </references>
      </pivotArea>
    </format>
    <format dxfId="170">
      <pivotArea dataOnly="0" labelOnly="1" grandRow="1" outline="0" fieldPosition="0"/>
    </format>
    <format dxfId="16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8">
      <pivotArea type="all" dataOnly="0" outline="0" fieldPosition="0"/>
    </format>
    <format dxfId="167">
      <pivotArea outline="0" collapsedLevelsAreSubtotals="1" fieldPosition="0"/>
    </format>
    <format dxfId="166">
      <pivotArea field="2" type="button" dataOnly="0" labelOnly="1" outline="0" axis="axisRow" fieldPosition="0"/>
    </format>
    <format dxfId="165">
      <pivotArea dataOnly="0" labelOnly="1" fieldPosition="0">
        <references count="1">
          <reference field="2" count="0"/>
        </references>
      </pivotArea>
    </format>
    <format dxfId="164">
      <pivotArea dataOnly="0" labelOnly="1" grandRow="1" outline="0" fieldPosition="0"/>
    </format>
    <format dxfId="16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2" type="button" dataOnly="0" labelOnly="1" outline="0" axis="axisRow" fieldPosition="0"/>
    </format>
    <format dxfId="159">
      <pivotArea dataOnly="0" labelOnly="1" fieldPosition="0">
        <references count="1">
          <reference field="2" count="0"/>
        </references>
      </pivotArea>
    </format>
    <format dxfId="158">
      <pivotArea dataOnly="0" labelOnly="1" grandRow="1" outline="0" fieldPosition="0"/>
    </format>
    <format dxfId="1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6">
    <chartFormat chart="12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5" cacheId="4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G20:BU54" firstHeaderRow="1" firstDataRow="2" firstDataCol="1"/>
  <pivotFields count="17">
    <pivotField showAll="0" sortType="ascending">
      <items count="261">
        <item x="60"/>
        <item x="183"/>
        <item x="72"/>
        <item x="225"/>
        <item x="65"/>
        <item x="80"/>
        <item x="114"/>
        <item x="206"/>
        <item x="56"/>
        <item x="96"/>
        <item x="216"/>
        <item m="1" x="258"/>
        <item x="136"/>
        <item x="231"/>
        <item x="233"/>
        <item x="196"/>
        <item m="1" x="249"/>
        <item x="137"/>
        <item x="84"/>
        <item x="178"/>
        <item x="45"/>
        <item x="210"/>
        <item x="122"/>
        <item x="28"/>
        <item x="171"/>
        <item x="170"/>
        <item x="61"/>
        <item x="48"/>
        <item x="93"/>
        <item x="240"/>
        <item x="104"/>
        <item x="15"/>
        <item x="172"/>
        <item m="1" x="255"/>
        <item x="141"/>
        <item x="193"/>
        <item x="24"/>
        <item x="121"/>
        <item x="37"/>
        <item x="81"/>
        <item x="18"/>
        <item x="26"/>
        <item x="92"/>
        <item x="128"/>
        <item x="6"/>
        <item x="123"/>
        <item x="54"/>
        <item x="195"/>
        <item x="220"/>
        <item m="1" x="250"/>
        <item x="144"/>
        <item x="34"/>
        <item x="161"/>
        <item x="78"/>
        <item x="169"/>
        <item x="175"/>
        <item x="173"/>
        <item x="38"/>
        <item x="62"/>
        <item x="97"/>
        <item x="106"/>
        <item x="47"/>
        <item x="58"/>
        <item x="46"/>
        <item x="167"/>
        <item x="155"/>
        <item x="162"/>
        <item x="30"/>
        <item x="234"/>
        <item x="14"/>
        <item m="1" x="259"/>
        <item x="146"/>
        <item x="94"/>
        <item x="215"/>
        <item x="120"/>
        <item x="163"/>
        <item x="71"/>
        <item x="199"/>
        <item x="21"/>
        <item x="135"/>
        <item x="100"/>
        <item x="19"/>
        <item x="192"/>
        <item x="134"/>
        <item x="119"/>
        <item x="226"/>
        <item x="12"/>
        <item x="50"/>
        <item x="238"/>
        <item x="20"/>
        <item x="116"/>
        <item x="154"/>
        <item m="1" x="246"/>
        <item x="143"/>
        <item x="182"/>
        <item x="49"/>
        <item x="85"/>
        <item x="156"/>
        <item x="207"/>
        <item x="131"/>
        <item x="16"/>
        <item x="70"/>
        <item x="10"/>
        <item x="184"/>
        <item x="208"/>
        <item x="90"/>
        <item x="174"/>
        <item x="129"/>
        <item m="1" x="252"/>
        <item x="140"/>
        <item x="237"/>
        <item x="59"/>
        <item x="103"/>
        <item x="67"/>
        <item m="1" x="243"/>
        <item x="138"/>
        <item x="9"/>
        <item x="83"/>
        <item x="229"/>
        <item x="168"/>
        <item x="241"/>
        <item m="1" x="256"/>
        <item x="149"/>
        <item x="200"/>
        <item x="127"/>
        <item x="89"/>
        <item x="228"/>
        <item x="42"/>
        <item x="117"/>
        <item x="213"/>
        <item x="107"/>
        <item x="112"/>
        <item x="35"/>
        <item x="41"/>
        <item m="1" x="247"/>
        <item x="142"/>
        <item x="101"/>
        <item x="153"/>
        <item x="4"/>
        <item x="11"/>
        <item x="109"/>
        <item x="102"/>
        <item x="191"/>
        <item x="82"/>
        <item x="8"/>
        <item x="125"/>
        <item m="1" x="244"/>
        <item x="152"/>
        <item x="73"/>
        <item x="211"/>
        <item x="214"/>
        <item x="51"/>
        <item x="189"/>
        <item x="69"/>
        <item m="1" x="248"/>
        <item x="139"/>
        <item x="222"/>
        <item x="36"/>
        <item x="188"/>
        <item x="64"/>
        <item x="23"/>
        <item x="39"/>
        <item x="230"/>
        <item x="68"/>
        <item x="110"/>
        <item x="158"/>
        <item x="177"/>
        <item x="17"/>
        <item x="57"/>
        <item x="212"/>
        <item x="113"/>
        <item x="130"/>
        <item x="176"/>
        <item x="33"/>
        <item x="88"/>
        <item x="52"/>
        <item x="25"/>
        <item x="160"/>
        <item x="76"/>
        <item x="159"/>
        <item x="98"/>
        <item x="185"/>
        <item x="91"/>
        <item x="224"/>
        <item x="194"/>
        <item x="239"/>
        <item x="223"/>
        <item x="235"/>
        <item x="3"/>
        <item x="164"/>
        <item x="179"/>
        <item x="7"/>
        <item x="108"/>
        <item x="203"/>
        <item x="99"/>
        <item x="118"/>
        <item x="55"/>
        <item x="198"/>
        <item x="165"/>
        <item x="219"/>
        <item x="132"/>
        <item x="190"/>
        <item x="157"/>
        <item x="227"/>
        <item x="40"/>
        <item x="166"/>
        <item x="221"/>
        <item x="87"/>
        <item x="204"/>
        <item x="13"/>
        <item x="22"/>
        <item x="111"/>
        <item x="66"/>
        <item x="74"/>
        <item m="1" x="257"/>
        <item x="150"/>
        <item x="43"/>
        <item m="1" x="245"/>
        <item x="145"/>
        <item x="77"/>
        <item x="27"/>
        <item x="32"/>
        <item x="86"/>
        <item x="124"/>
        <item x="201"/>
        <item x="133"/>
        <item x="1"/>
        <item x="232"/>
        <item x="31"/>
        <item x="0"/>
        <item x="205"/>
        <item m="1" x="253"/>
        <item x="151"/>
        <item x="197"/>
        <item x="63"/>
        <item x="126"/>
        <item m="1" x="251"/>
        <item x="147"/>
        <item x="187"/>
        <item x="181"/>
        <item m="1" x="254"/>
        <item x="148"/>
        <item x="186"/>
        <item x="209"/>
        <item x="202"/>
        <item x="105"/>
        <item x="115"/>
        <item x="53"/>
        <item x="218"/>
        <item x="236"/>
        <item x="44"/>
        <item x="5"/>
        <item x="217"/>
        <item x="75"/>
        <item x="95"/>
        <item x="79"/>
        <item x="29"/>
        <item x="180"/>
        <item x="2"/>
        <item x="242"/>
        <item t="default"/>
      </items>
    </pivotField>
    <pivotField showAll="0"/>
    <pivotField axis="axisRow" subtotalTop="0" showAll="0">
      <items count="35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ubtotalTop="0" showAll="0"/>
    <pivotField subtotalTop="0" showAll="0"/>
    <pivotField subtotalTop="0" showAll="0"/>
    <pivotField showAll="0">
      <items count="31"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axis="axisCol" subtotalTop="0" showAll="0">
      <items count="35">
        <item m="1" x="31"/>
        <item m="1" x="16"/>
        <item m="1" x="21"/>
        <item m="1" x="25"/>
        <item m="1" x="29"/>
        <item m="1" x="33"/>
        <item m="1" x="18"/>
        <item m="1" x="22"/>
        <item m="1" x="24"/>
        <item x="11"/>
        <item m="1" x="28"/>
        <item m="1" x="32"/>
        <item x="6"/>
        <item m="1" x="27"/>
        <item m="1" x="30"/>
        <item m="1" x="19"/>
        <item x="7"/>
        <item m="1" x="23"/>
        <item m="1" x="17"/>
        <item x="8"/>
        <item x="9"/>
        <item x="10"/>
        <item x="12"/>
        <item x="13"/>
        <item x="14"/>
        <item x="0"/>
        <item x="1"/>
        <item x="3"/>
        <item x="5"/>
        <item m="1" x="20"/>
        <item m="1" x="26"/>
        <item h="1" x="2"/>
        <item h="1" x="15"/>
        <item x="4"/>
        <item t="default"/>
      </items>
    </pivotField>
    <pivotField showAll="0"/>
    <pivotField showAll="0"/>
    <pivotField showAll="0"/>
    <pivotField showAll="0"/>
    <pivotField subtotalTop="0" showAll="0"/>
    <pivotField dataField="1" subtotalTop="0" showAll="0"/>
    <pivotField subtotalTop="0" showAll="0"/>
    <pivotField subtotalTop="0" dragToRow="0" dragToCol="0" dragToPage="0" showAll="0" defaultSubtotal="0"/>
  </pivotFields>
  <rowFields count="1">
    <field x="2"/>
  </rowFields>
  <rowItems count="3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rowItems>
  <colFields count="1">
    <field x="8"/>
  </colFields>
  <colItems count="14">
    <i>
      <x v="9"/>
    </i>
    <i>
      <x v="12"/>
    </i>
    <i>
      <x v="16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3"/>
    </i>
  </colItems>
  <dataFields count="1">
    <dataField name="Sum of Entregas" fld="14" baseField="2" baseItem="21" numFmtId="3"/>
  </dataFields>
  <formats count="52">
    <format dxfId="246">
      <pivotArea type="all" dataOnly="0" outline="0" fieldPosition="0"/>
    </format>
    <format dxfId="245">
      <pivotArea outline="0" collapsedLevelsAreSubtotals="1" fieldPosition="0"/>
    </format>
    <format dxfId="244">
      <pivotArea field="6" type="button" dataOnly="0" labelOnly="1" outline="0"/>
    </format>
    <format dxfId="243">
      <pivotArea dataOnly="0" labelOnly="1" outline="0" axis="axisValues" fieldPosition="0"/>
    </format>
    <format dxfId="242">
      <pivotArea dataOnly="0" labelOnly="1" grandRow="1" outline="0" fieldPosition="0"/>
    </format>
    <format dxfId="241">
      <pivotArea dataOnly="0" labelOnly="1" outline="0" axis="axisValues" fieldPosition="0"/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field="6" type="button" dataOnly="0" labelOnly="1" outline="0"/>
    </format>
    <format dxfId="237">
      <pivotArea dataOnly="0" labelOnly="1" outline="0" axis="axisValues" fieldPosition="0"/>
    </format>
    <format dxfId="236">
      <pivotArea dataOnly="0" labelOnly="1" grandRow="1" outline="0" fieldPosition="0"/>
    </format>
    <format dxfId="235">
      <pivotArea dataOnly="0" labelOnly="1" outline="0" axis="axisValues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field="6" type="button" dataOnly="0" labelOnly="1" outline="0"/>
    </format>
    <format dxfId="231">
      <pivotArea dataOnly="0" labelOnly="1" outline="0" axis="axisValues" fieldPosition="0"/>
    </format>
    <format dxfId="230">
      <pivotArea dataOnly="0" labelOnly="1" grandRow="1" outline="0" fieldPosition="0"/>
    </format>
    <format dxfId="229">
      <pivotArea dataOnly="0" labelOnly="1" outline="0" axis="axisValues" fieldPosition="0"/>
    </format>
    <format dxfId="228">
      <pivotArea outline="0" collapsedLevelsAreSubtotals="1" fieldPosition="0"/>
    </format>
    <format dxfId="227">
      <pivotArea dataOnly="0" labelOnly="1" outline="0" axis="axisValues" fieldPosition="0"/>
    </format>
    <format dxfId="226">
      <pivotArea dataOnly="0" labelOnly="1" outline="0" axis="axisValues" fieldPosition="0"/>
    </format>
    <format dxfId="225">
      <pivotArea field="6" type="button" dataOnly="0" labelOnly="1" outline="0"/>
    </format>
    <format dxfId="224">
      <pivotArea field="0" type="button" dataOnly="0" labelOnly="1" outline="0"/>
    </format>
    <format dxfId="223">
      <pivotArea dataOnly="0" labelOnly="1" grandRow="1" outline="0" fieldPosition="0"/>
    </format>
    <format dxfId="222">
      <pivotArea field="6" type="button" dataOnly="0" labelOnly="1" outline="0"/>
    </format>
    <format dxfId="221">
      <pivotArea field="0" type="button" dataOnly="0" labelOnly="1" outline="0"/>
    </format>
    <format dxfId="220">
      <pivotArea dataOnly="0" labelOnly="1" grandRow="1" outline="0" fieldPosition="0"/>
    </format>
    <format dxfId="219">
      <pivotArea field="6" type="button" dataOnly="0" labelOnly="1" outline="0"/>
    </format>
    <format dxfId="218">
      <pivotArea field="0" type="button" dataOnly="0" labelOnly="1" outline="0"/>
    </format>
    <format dxfId="217">
      <pivotArea dataOnly="0" labelOnly="1" grandRow="1" outline="0" fieldPosition="0"/>
    </format>
    <format dxfId="216">
      <pivotArea field="6" type="button" dataOnly="0" labelOnly="1" outline="0"/>
    </format>
    <format dxfId="215">
      <pivotArea field="0" type="button" dataOnly="0" labelOnly="1" outline="0"/>
    </format>
    <format dxfId="214">
      <pivotArea dataOnly="0" labelOnly="1" grandRow="1" outline="0" fieldPosition="0"/>
    </format>
    <format dxfId="213">
      <pivotArea field="6" type="button" dataOnly="0" labelOnly="1" outline="0"/>
    </format>
    <format dxfId="212">
      <pivotArea field="0" type="button" dataOnly="0" labelOnly="1" outline="0"/>
    </format>
    <format dxfId="211">
      <pivotArea dataOnly="0" labelOnly="1" grandRow="1" outline="0" fieldPosition="0"/>
    </format>
    <format dxfId="210">
      <pivotArea field="2" type="button" dataOnly="0" labelOnly="1" outline="0" axis="axisRow" fieldPosition="0"/>
    </format>
    <format dxfId="209">
      <pivotArea field="0" type="button" dataOnly="0" labelOnly="1" outline="0"/>
    </format>
    <format dxfId="208">
      <pivotArea dataOnly="0" labelOnly="1" grandRow="1" outline="0" fieldPosition="0"/>
    </format>
    <format dxfId="207">
      <pivotArea type="all" dataOnly="0" outline="0" fieldPosition="0"/>
    </format>
    <format dxfId="206">
      <pivotArea outline="0" collapsedLevelsAreSubtotals="1" fieldPosition="0"/>
    </format>
    <format dxfId="205">
      <pivotArea field="8" type="button" dataOnly="0" labelOnly="1" outline="0" axis="axisCol" fieldPosition="0"/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8" type="button" dataOnly="0" labelOnly="1" outline="0" axis="axisCol" fieldPosition="0"/>
    </format>
    <format dxfId="200">
      <pivotArea dataOnly="0" labelOnly="1" grandRow="1" outline="0" fieldPosition="0"/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8" type="button" dataOnly="0" labelOnly="1" outline="0" axis="axisCol" fieldPosition="0"/>
    </format>
    <format dxfId="196">
      <pivotArea dataOnly="0" labelOnly="1" grandRow="1" outline="0" fieldPosition="0"/>
    </format>
    <format dxfId="19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4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CK2:CS18" firstHeaderRow="1" firstDataRow="2" firstDataCol="1"/>
  <pivotFields count="20">
    <pivotField showAll="0" sortType="ascending">
      <items count="261">
        <item x="60"/>
        <item x="183"/>
        <item x="72"/>
        <item x="225"/>
        <item x="65"/>
        <item x="80"/>
        <item x="114"/>
        <item x="206"/>
        <item x="56"/>
        <item x="96"/>
        <item x="216"/>
        <item m="1" x="258"/>
        <item x="136"/>
        <item x="231"/>
        <item x="233"/>
        <item x="196"/>
        <item m="1" x="249"/>
        <item x="137"/>
        <item x="84"/>
        <item x="178"/>
        <item x="45"/>
        <item x="210"/>
        <item x="122"/>
        <item x="28"/>
        <item x="171"/>
        <item x="170"/>
        <item x="61"/>
        <item x="48"/>
        <item x="93"/>
        <item x="240"/>
        <item x="104"/>
        <item x="15"/>
        <item x="172"/>
        <item m="1" x="255"/>
        <item x="141"/>
        <item x="193"/>
        <item x="24"/>
        <item x="121"/>
        <item x="37"/>
        <item x="81"/>
        <item x="18"/>
        <item x="26"/>
        <item x="92"/>
        <item x="128"/>
        <item x="6"/>
        <item x="123"/>
        <item x="54"/>
        <item x="195"/>
        <item x="220"/>
        <item m="1" x="250"/>
        <item x="144"/>
        <item x="34"/>
        <item x="161"/>
        <item x="78"/>
        <item x="169"/>
        <item x="175"/>
        <item x="173"/>
        <item x="38"/>
        <item x="62"/>
        <item x="97"/>
        <item x="106"/>
        <item x="47"/>
        <item x="58"/>
        <item x="46"/>
        <item x="167"/>
        <item x="155"/>
        <item x="162"/>
        <item x="30"/>
        <item x="234"/>
        <item x="14"/>
        <item m="1" x="259"/>
        <item x="146"/>
        <item x="94"/>
        <item x="215"/>
        <item x="120"/>
        <item x="163"/>
        <item x="71"/>
        <item x="199"/>
        <item x="21"/>
        <item x="135"/>
        <item x="100"/>
        <item x="19"/>
        <item x="192"/>
        <item x="134"/>
        <item x="119"/>
        <item x="226"/>
        <item x="12"/>
        <item x="50"/>
        <item x="238"/>
        <item x="20"/>
        <item x="116"/>
        <item x="154"/>
        <item m="1" x="246"/>
        <item x="143"/>
        <item x="182"/>
        <item x="49"/>
        <item x="85"/>
        <item x="156"/>
        <item x="207"/>
        <item x="131"/>
        <item x="16"/>
        <item x="70"/>
        <item x="10"/>
        <item x="184"/>
        <item x="208"/>
        <item x="90"/>
        <item x="174"/>
        <item x="129"/>
        <item m="1" x="252"/>
        <item x="140"/>
        <item x="237"/>
        <item x="59"/>
        <item x="103"/>
        <item x="67"/>
        <item m="1" x="243"/>
        <item x="138"/>
        <item x="9"/>
        <item x="83"/>
        <item x="229"/>
        <item x="168"/>
        <item x="241"/>
        <item m="1" x="256"/>
        <item x="149"/>
        <item x="200"/>
        <item x="127"/>
        <item x="89"/>
        <item x="228"/>
        <item x="42"/>
        <item x="117"/>
        <item x="213"/>
        <item x="107"/>
        <item x="112"/>
        <item x="35"/>
        <item x="41"/>
        <item m="1" x="247"/>
        <item x="142"/>
        <item x="101"/>
        <item x="153"/>
        <item x="4"/>
        <item x="11"/>
        <item x="109"/>
        <item x="102"/>
        <item x="191"/>
        <item x="82"/>
        <item x="8"/>
        <item x="125"/>
        <item m="1" x="244"/>
        <item x="152"/>
        <item x="73"/>
        <item x="211"/>
        <item x="214"/>
        <item x="51"/>
        <item x="189"/>
        <item x="69"/>
        <item m="1" x="248"/>
        <item x="139"/>
        <item x="222"/>
        <item x="36"/>
        <item x="188"/>
        <item x="64"/>
        <item x="23"/>
        <item x="39"/>
        <item x="230"/>
        <item x="68"/>
        <item x="110"/>
        <item x="158"/>
        <item x="177"/>
        <item x="17"/>
        <item x="57"/>
        <item x="212"/>
        <item x="113"/>
        <item x="130"/>
        <item x="176"/>
        <item x="33"/>
        <item x="88"/>
        <item x="52"/>
        <item x="25"/>
        <item x="160"/>
        <item x="76"/>
        <item x="159"/>
        <item x="98"/>
        <item x="185"/>
        <item x="91"/>
        <item x="224"/>
        <item x="194"/>
        <item x="239"/>
        <item x="223"/>
        <item x="235"/>
        <item x="3"/>
        <item x="164"/>
        <item x="179"/>
        <item x="7"/>
        <item x="108"/>
        <item x="203"/>
        <item x="99"/>
        <item x="118"/>
        <item x="55"/>
        <item x="198"/>
        <item x="165"/>
        <item x="219"/>
        <item x="132"/>
        <item x="190"/>
        <item x="157"/>
        <item x="227"/>
        <item x="40"/>
        <item x="166"/>
        <item x="221"/>
        <item x="87"/>
        <item x="204"/>
        <item x="13"/>
        <item x="22"/>
        <item x="111"/>
        <item x="66"/>
        <item x="74"/>
        <item m="1" x="257"/>
        <item x="150"/>
        <item x="43"/>
        <item m="1" x="245"/>
        <item x="145"/>
        <item x="77"/>
        <item x="27"/>
        <item x="32"/>
        <item x="86"/>
        <item x="124"/>
        <item x="201"/>
        <item x="133"/>
        <item x="1"/>
        <item x="232"/>
        <item x="31"/>
        <item x="0"/>
        <item x="205"/>
        <item m="1" x="253"/>
        <item x="151"/>
        <item x="197"/>
        <item x="63"/>
        <item x="126"/>
        <item m="1" x="251"/>
        <item x="147"/>
        <item x="187"/>
        <item x="181"/>
        <item m="1" x="254"/>
        <item x="148"/>
        <item x="186"/>
        <item x="209"/>
        <item x="202"/>
        <item x="105"/>
        <item x="115"/>
        <item x="53"/>
        <item x="218"/>
        <item x="236"/>
        <item x="44"/>
        <item x="5"/>
        <item x="217"/>
        <item x="75"/>
        <item x="95"/>
        <item x="79"/>
        <item x="29"/>
        <item x="180"/>
        <item x="2"/>
        <item x="242"/>
        <item t="default"/>
      </items>
    </pivotField>
    <pivotField showAll="0"/>
    <pivotField subtotalTop="0" showAll="0">
      <items count="35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ubtotalTop="0" showAll="0"/>
    <pivotField subtotalTop="0" showAll="0"/>
    <pivotField subtotalTop="0" showAll="0"/>
    <pivotField showAll="0">
      <items count="31"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axis="axisRow" subtotalTop="0" showAll="0" sortType="ascending">
      <items count="18">
        <item x="11"/>
        <item x="6"/>
        <item m="1" x="16"/>
        <item x="7"/>
        <item x="8"/>
        <item x="9"/>
        <item x="10"/>
        <item x="12"/>
        <item x="13"/>
        <item x="14"/>
        <item x="0"/>
        <item x="1"/>
        <item x="3"/>
        <item x="5"/>
        <item x="4"/>
        <item h="1" x="2"/>
        <item h="1" x="15"/>
        <item t="default"/>
      </items>
    </pivotField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subtotalTop="0" showAll="0"/>
    <pivotField axis="axisCol" subtotalTop="0" showAll="0" sortType="ascending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subtotalTop="0" dragToRow="0" dragToCol="0" dragToPage="0" showAll="0" defaultSubtotal="0"/>
  </pivotFields>
  <rowFields count="1">
    <field x="8"/>
  </rowFields>
  <rowItems count="15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18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Lucro PCX" fld="16" baseField="8" baseItem="1" numFmtId="3"/>
  </dataFields>
  <formats count="111">
    <format dxfId="357">
      <pivotArea type="all" dataOnly="0" outline="0" fieldPosition="0"/>
    </format>
    <format dxfId="356">
      <pivotArea outline="0" collapsedLevelsAreSubtotals="1" fieldPosition="0"/>
    </format>
    <format dxfId="355">
      <pivotArea field="6" type="button" dataOnly="0" labelOnly="1" outline="0"/>
    </format>
    <format dxfId="354">
      <pivotArea dataOnly="0" labelOnly="1" outline="0" axis="axisValues" fieldPosition="0"/>
    </format>
    <format dxfId="353">
      <pivotArea dataOnly="0" labelOnly="1" grandRow="1" outline="0" fieldPosition="0"/>
    </format>
    <format dxfId="352">
      <pivotArea dataOnly="0" labelOnly="1" outline="0" axis="axisValues" fieldPosition="0"/>
    </format>
    <format dxfId="351">
      <pivotArea type="all" dataOnly="0" outline="0" fieldPosition="0"/>
    </format>
    <format dxfId="350">
      <pivotArea outline="0" collapsedLevelsAreSubtotals="1" fieldPosition="0"/>
    </format>
    <format dxfId="349">
      <pivotArea field="6" type="button" dataOnly="0" labelOnly="1" outline="0"/>
    </format>
    <format dxfId="348">
      <pivotArea dataOnly="0" labelOnly="1" outline="0" axis="axisValues" fieldPosition="0"/>
    </format>
    <format dxfId="347">
      <pivotArea dataOnly="0" labelOnly="1" grandRow="1" outline="0" fieldPosition="0"/>
    </format>
    <format dxfId="346">
      <pivotArea dataOnly="0" labelOnly="1" outline="0" axis="axisValues" fieldPosition="0"/>
    </format>
    <format dxfId="345">
      <pivotArea type="all" dataOnly="0" outline="0" fieldPosition="0"/>
    </format>
    <format dxfId="344">
      <pivotArea outline="0" collapsedLevelsAreSubtotals="1" fieldPosition="0"/>
    </format>
    <format dxfId="343">
      <pivotArea field="6" type="button" dataOnly="0" labelOnly="1" outline="0"/>
    </format>
    <format dxfId="342">
      <pivotArea dataOnly="0" labelOnly="1" outline="0" axis="axisValues" fieldPosition="0"/>
    </format>
    <format dxfId="341">
      <pivotArea dataOnly="0" labelOnly="1" grandRow="1" outline="0" fieldPosition="0"/>
    </format>
    <format dxfId="340">
      <pivotArea dataOnly="0" labelOnly="1" outline="0" axis="axisValues" fieldPosition="0"/>
    </format>
    <format dxfId="339">
      <pivotArea outline="0" collapsedLevelsAreSubtotals="1" fieldPosition="0"/>
    </format>
    <format dxfId="338">
      <pivotArea dataOnly="0" labelOnly="1" outline="0" axis="axisValues" fieldPosition="0"/>
    </format>
    <format dxfId="337">
      <pivotArea dataOnly="0" labelOnly="1" outline="0" axis="axisValues" fieldPosition="0"/>
    </format>
    <format dxfId="336">
      <pivotArea field="6" type="button" dataOnly="0" labelOnly="1" outline="0"/>
    </format>
    <format dxfId="335">
      <pivotArea field="0" type="button" dataOnly="0" labelOnly="1" outline="0"/>
    </format>
    <format dxfId="334">
      <pivotArea dataOnly="0" labelOnly="1" grandRow="1" outline="0" fieldPosition="0"/>
    </format>
    <format dxfId="333">
      <pivotArea field="6" type="button" dataOnly="0" labelOnly="1" outline="0"/>
    </format>
    <format dxfId="332">
      <pivotArea field="0" type="button" dataOnly="0" labelOnly="1" outline="0"/>
    </format>
    <format dxfId="331">
      <pivotArea dataOnly="0" labelOnly="1" grandRow="1" outline="0" fieldPosition="0"/>
    </format>
    <format dxfId="330">
      <pivotArea field="6" type="button" dataOnly="0" labelOnly="1" outline="0"/>
    </format>
    <format dxfId="329">
      <pivotArea field="0" type="button" dataOnly="0" labelOnly="1" outline="0"/>
    </format>
    <format dxfId="328">
      <pivotArea dataOnly="0" labelOnly="1" grandRow="1" outline="0" fieldPosition="0"/>
    </format>
    <format dxfId="327">
      <pivotArea field="6" type="button" dataOnly="0" labelOnly="1" outline="0"/>
    </format>
    <format dxfId="326">
      <pivotArea field="0" type="button" dataOnly="0" labelOnly="1" outline="0"/>
    </format>
    <format dxfId="325">
      <pivotArea dataOnly="0" labelOnly="1" grandRow="1" outline="0" fieldPosition="0"/>
    </format>
    <format dxfId="324">
      <pivotArea field="6" type="button" dataOnly="0" labelOnly="1" outline="0"/>
    </format>
    <format dxfId="323">
      <pivotArea field="0" type="button" dataOnly="0" labelOnly="1" outline="0"/>
    </format>
    <format dxfId="322">
      <pivotArea dataOnly="0" labelOnly="1" grandRow="1" outline="0" fieldPosition="0"/>
    </format>
    <format dxfId="321">
      <pivotArea field="2" type="button" dataOnly="0" labelOnly="1" outline="0"/>
    </format>
    <format dxfId="320">
      <pivotArea field="0" type="button" dataOnly="0" labelOnly="1" outline="0"/>
    </format>
    <format dxfId="319">
      <pivotArea dataOnly="0" labelOnly="1" grandRow="1" outline="0" fieldPosition="0"/>
    </format>
    <format dxfId="318">
      <pivotArea type="all" dataOnly="0" outline="0" fieldPosition="0"/>
    </format>
    <format dxfId="317">
      <pivotArea outline="0" collapsedLevelsAreSubtotals="1" fieldPosition="0"/>
    </format>
    <format dxfId="316">
      <pivotArea field="8" type="button" dataOnly="0" labelOnly="1" outline="0" axis="axisRow" fieldPosition="0"/>
    </format>
    <format dxfId="315">
      <pivotArea dataOnly="0" labelOnly="1" fieldPosition="0">
        <references count="1">
          <reference field="8" count="0"/>
        </references>
      </pivotArea>
    </format>
    <format dxfId="314">
      <pivotArea dataOnly="0" labelOnly="1" grandRow="1" outline="0" fieldPosition="0"/>
    </format>
    <format dxfId="313">
      <pivotArea dataOnly="0" labelOnly="1" fieldPosition="0">
        <references count="1">
          <reference field="8" count="6">
            <x v="2"/>
            <x v="4"/>
            <x v="10"/>
            <x v="11"/>
            <x v="12"/>
            <x v="13"/>
          </reference>
        </references>
      </pivotArea>
    </format>
    <format dxfId="312">
      <pivotArea dataOnly="0" labelOnly="1" fieldPosition="0">
        <references count="1">
          <reference field="8" count="1">
            <x v="5"/>
          </reference>
        </references>
      </pivotArea>
    </format>
    <format dxfId="311">
      <pivotArea dataOnly="0" labelOnly="1" fieldPosition="0">
        <references count="1">
          <reference field="8" count="6">
            <x v="0"/>
            <x v="1"/>
            <x v="6"/>
            <x v="7"/>
            <x v="8"/>
            <x v="9"/>
          </reference>
        </references>
      </pivotArea>
    </format>
    <format dxfId="310">
      <pivotArea dataOnly="0" labelOnly="1" fieldPosition="0">
        <references count="1">
          <reference field="8" count="1">
            <x v="5"/>
          </reference>
        </references>
      </pivotArea>
    </format>
    <format dxfId="309">
      <pivotArea dataOnly="0" labelOnly="1" fieldPosition="0">
        <references count="1">
          <reference field="8" count="1">
            <x v="14"/>
          </reference>
        </references>
      </pivotArea>
    </format>
    <format dxfId="308">
      <pivotArea type="all" dataOnly="0" outline="0" fieldPosition="0"/>
    </format>
    <format dxfId="307">
      <pivotArea outline="0" collapsedLevelsAreSubtotals="1" fieldPosition="0"/>
    </format>
    <format dxfId="306">
      <pivotArea field="8" type="button" dataOnly="0" labelOnly="1" outline="0" axis="axisRow" fieldPosition="0"/>
    </format>
    <format dxfId="305">
      <pivotArea dataOnly="0" labelOnly="1" fieldPosition="0">
        <references count="1">
          <reference field="8" count="0"/>
        </references>
      </pivotArea>
    </format>
    <format dxfId="304">
      <pivotArea dataOnly="0" labelOnly="1" grandRow="1" outline="0" fieldPosition="0"/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field="8" type="button" dataOnly="0" labelOnly="1" outline="0" axis="axisRow" fieldPosition="0"/>
    </format>
    <format dxfId="300">
      <pivotArea dataOnly="0" labelOnly="1" fieldPosition="0">
        <references count="1">
          <reference field="8" count="0"/>
        </references>
      </pivotArea>
    </format>
    <format dxfId="299">
      <pivotArea dataOnly="0" labelOnly="1" grandRow="1" outline="0" fieldPosition="0"/>
    </format>
    <format dxfId="298">
      <pivotArea dataOnly="0" labelOnly="1" fieldPosition="0">
        <references count="1">
          <reference field="8" count="0"/>
        </references>
      </pivotArea>
    </format>
    <format dxfId="297">
      <pivotArea dataOnly="0" labelOnly="1" fieldPosition="0">
        <references count="1">
          <reference field="8" count="0"/>
        </references>
      </pivotArea>
    </format>
    <format dxfId="296">
      <pivotArea dataOnly="0" labelOnly="1" fieldPosition="0">
        <references count="1">
          <reference field="8" count="0"/>
        </references>
      </pivotArea>
    </format>
    <format dxfId="295">
      <pivotArea dataOnly="0" labelOnly="1" fieldPosition="0">
        <references count="1">
          <reference field="8" count="0"/>
        </references>
      </pivotArea>
    </format>
    <format dxfId="294">
      <pivotArea collapsedLevelsAreSubtotals="1" fieldPosition="0">
        <references count="2">
          <reference field="8" count="1">
            <x v="4"/>
          </reference>
          <reference field="18" count="2" selected="0">
            <x v="1"/>
            <x v="4"/>
          </reference>
        </references>
      </pivotArea>
    </format>
    <format dxfId="293">
      <pivotArea collapsedLevelsAreSubtotals="1" fieldPosition="0">
        <references count="2">
          <reference field="8" count="9">
            <x v="0"/>
            <x v="1"/>
            <x v="2"/>
            <x v="5"/>
            <x v="6"/>
            <x v="7"/>
            <x v="8"/>
            <x v="9"/>
            <x v="14"/>
          </reference>
          <reference field="18" count="2" selected="0">
            <x v="1"/>
            <x v="4"/>
          </reference>
        </references>
      </pivotArea>
    </format>
    <format dxfId="292">
      <pivotArea collapsedLevelsAreSubtotals="1" fieldPosition="0">
        <references count="2">
          <reference field="8" count="7">
            <x v="0"/>
            <x v="1"/>
            <x v="6"/>
            <x v="7"/>
            <x v="8"/>
            <x v="9"/>
            <x v="14"/>
          </reference>
          <reference field="18" count="5" selected="0">
            <x v="0"/>
            <x v="2"/>
            <x v="3"/>
            <x v="5"/>
            <x v="6"/>
          </reference>
        </references>
      </pivotArea>
    </format>
    <format dxfId="291">
      <pivotArea collapsedLevelsAreSubtotals="1" fieldPosition="0">
        <references count="2">
          <reference field="8" count="7">
            <x v="2"/>
            <x v="4"/>
            <x v="5"/>
            <x v="10"/>
            <x v="11"/>
            <x v="12"/>
            <x v="13"/>
          </reference>
          <reference field="18" count="5" selected="0">
            <x v="0"/>
            <x v="2"/>
            <x v="3"/>
            <x v="5"/>
            <x v="6"/>
          </reference>
        </references>
      </pivotArea>
    </format>
    <format dxfId="290">
      <pivotArea collapsedLevelsAreSubtotals="1" fieldPosition="0">
        <references count="2">
          <reference field="8" count="2">
            <x v="11"/>
            <x v="12"/>
          </reference>
          <reference field="18" count="2" selected="0">
            <x v="1"/>
            <x v="4"/>
          </reference>
        </references>
      </pivotArea>
    </format>
    <format dxfId="289">
      <pivotArea collapsedLevelsAreSubtotals="1" fieldPosition="0">
        <references count="2">
          <reference field="8" count="2">
            <x v="10"/>
            <x v="13"/>
          </reference>
          <reference field="18" count="2" selected="0">
            <x v="1"/>
            <x v="4"/>
          </reference>
        </references>
      </pivotArea>
    </format>
    <format dxfId="288">
      <pivotArea outline="0" collapsedLevelsAreSubtotals="1" fieldPosition="0"/>
    </format>
    <format dxfId="287">
      <pivotArea outline="0" collapsedLevelsAreSubtotals="1" fieldPosition="0"/>
    </format>
    <format dxfId="286">
      <pivotArea outline="0" collapsedLevelsAreSubtotals="1" fieldPosition="0"/>
    </format>
    <format dxfId="285">
      <pivotArea collapsedLevelsAreSubtotals="1" fieldPosition="0">
        <references count="2">
          <reference field="8" count="1">
            <x v="4"/>
          </reference>
          <reference field="18" count="2" selected="0">
            <x v="1"/>
            <x v="4"/>
          </reference>
        </references>
      </pivotArea>
    </format>
    <format dxfId="284">
      <pivotArea collapsedLevelsAreSubtotals="1" fieldPosition="0">
        <references count="2">
          <reference field="8" count="2">
            <x v="2"/>
            <x v="5"/>
          </reference>
          <reference field="18" count="2" selected="0">
            <x v="1"/>
            <x v="4"/>
          </reference>
        </references>
      </pivotArea>
    </format>
    <format dxfId="283">
      <pivotArea collapsedLevelsAreSubtotals="1" fieldPosition="0">
        <references count="2">
          <reference field="8" count="1">
            <x v="3"/>
          </reference>
          <reference field="18" count="5" selected="0">
            <x v="0"/>
            <x v="2"/>
            <x v="3"/>
            <x v="5"/>
            <x v="6"/>
          </reference>
        </references>
      </pivotArea>
    </format>
    <format dxfId="282">
      <pivotArea collapsedLevelsAreSubtotals="1" fieldPosition="0">
        <references count="2">
          <reference field="8" count="1">
            <x v="3"/>
          </reference>
          <reference field="18" count="2" selected="0">
            <x v="1"/>
            <x v="4"/>
          </reference>
        </references>
      </pivotArea>
    </format>
    <format dxfId="281">
      <pivotArea collapsedLevelsAreSubtotals="1" fieldPosition="0">
        <references count="1">
          <reference field="8" count="0"/>
        </references>
      </pivotArea>
    </format>
    <format dxfId="280">
      <pivotArea collapsedLevelsAreSubtotals="1" fieldPosition="0">
        <references count="2">
          <reference field="8" count="7">
            <x v="1"/>
            <x v="3"/>
            <x v="4"/>
            <x v="5"/>
            <x v="10"/>
            <x v="11"/>
            <x v="12"/>
          </reference>
          <reference field="18" count="1" selected="0">
            <x v="0"/>
          </reference>
        </references>
      </pivotArea>
    </format>
    <format dxfId="279">
      <pivotArea collapsedLevelsAreSubtotals="1" fieldPosition="0">
        <references count="2">
          <reference field="8" count="7">
            <x v="3"/>
            <x v="4"/>
            <x v="5"/>
            <x v="8"/>
            <x v="11"/>
            <x v="12"/>
            <x v="13"/>
          </reference>
          <reference field="18" count="1" selected="0">
            <x v="6"/>
          </reference>
        </references>
      </pivotArea>
    </format>
    <format dxfId="278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5"/>
          </reference>
        </references>
      </pivotArea>
    </format>
    <format dxfId="277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3"/>
          </reference>
        </references>
      </pivotArea>
    </format>
    <format dxfId="276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2"/>
          </reference>
        </references>
      </pivotArea>
    </format>
    <format dxfId="275">
      <pivotArea collapsedLevelsAreSubtotals="1" fieldPosition="0">
        <references count="1">
          <reference field="8" count="0"/>
        </references>
      </pivotArea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type="origin" dataOnly="0" labelOnly="1" outline="0" fieldPosition="0"/>
    </format>
    <format dxfId="271">
      <pivotArea field="18" type="button" dataOnly="0" labelOnly="1" outline="0" axis="axisCol" fieldPosition="0"/>
    </format>
    <format dxfId="270">
      <pivotArea type="topRight" dataOnly="0" labelOnly="1" outline="0" fieldPosition="0"/>
    </format>
    <format dxfId="269">
      <pivotArea field="8" type="button" dataOnly="0" labelOnly="1" outline="0" axis="axisRow" fieldPosition="0"/>
    </format>
    <format dxfId="268">
      <pivotArea dataOnly="0" labelOnly="1" fieldPosition="0">
        <references count="1">
          <reference field="8" count="0"/>
        </references>
      </pivotArea>
    </format>
    <format dxfId="267">
      <pivotArea dataOnly="0" labelOnly="1" grandRow="1" outline="0" fieldPosition="0"/>
    </format>
    <format dxfId="266">
      <pivotArea dataOnly="0" labelOnly="1" fieldPosition="0">
        <references count="1">
          <reference field="18" count="7">
            <x v="0"/>
            <x v="1"/>
            <x v="2"/>
            <x v="3"/>
            <x v="4"/>
            <x v="5"/>
            <x v="6"/>
          </reference>
        </references>
      </pivotArea>
    </format>
    <format dxfId="265">
      <pivotArea dataOnly="0" labelOnly="1" grandCol="1" outline="0" fieldPosition="0"/>
    </format>
    <format dxfId="264">
      <pivotArea type="all" dataOnly="0" outline="0" fieldPosition="0"/>
    </format>
    <format dxfId="263">
      <pivotArea outline="0" collapsedLevelsAreSubtotals="1" fieldPosition="0"/>
    </format>
    <format dxfId="262">
      <pivotArea type="origin" dataOnly="0" labelOnly="1" outline="0" fieldPosition="0"/>
    </format>
    <format dxfId="261">
      <pivotArea field="18" type="button" dataOnly="0" labelOnly="1" outline="0" axis="axisCol" fieldPosition="0"/>
    </format>
    <format dxfId="260">
      <pivotArea type="topRight" dataOnly="0" labelOnly="1" outline="0" fieldPosition="0"/>
    </format>
    <format dxfId="259">
      <pivotArea field="8" type="button" dataOnly="0" labelOnly="1" outline="0" axis="axisRow" fieldPosition="0"/>
    </format>
    <format dxfId="258">
      <pivotArea dataOnly="0" labelOnly="1" fieldPosition="0">
        <references count="1">
          <reference field="8" count="0"/>
        </references>
      </pivotArea>
    </format>
    <format dxfId="257">
      <pivotArea dataOnly="0" labelOnly="1" grandRow="1" outline="0" fieldPosition="0"/>
    </format>
    <format dxfId="256">
      <pivotArea dataOnly="0" labelOnly="1" fieldPosition="0">
        <references count="1">
          <reference field="18" count="7">
            <x v="0"/>
            <x v="1"/>
            <x v="2"/>
            <x v="3"/>
            <x v="4"/>
            <x v="5"/>
            <x v="6"/>
          </reference>
        </references>
      </pivotArea>
    </format>
    <format dxfId="255">
      <pivotArea dataOnly="0" labelOnly="1" grandCol="1" outline="0" fieldPosition="0"/>
    </format>
    <format dxfId="254">
      <pivotArea collapsedLevelsAreSubtotals="1" fieldPosition="0">
        <references count="2">
          <reference field="8" count="6">
            <x v="1"/>
            <x v="3"/>
            <x v="4"/>
            <x v="10"/>
            <x v="11"/>
            <x v="12"/>
          </reference>
          <reference field="18" count="1" selected="0">
            <x v="0"/>
          </reference>
        </references>
      </pivotArea>
    </format>
    <format dxfId="253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1"/>
          </reference>
        </references>
      </pivotArea>
    </format>
    <format dxfId="252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2"/>
          </reference>
        </references>
      </pivotArea>
    </format>
    <format dxfId="251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3"/>
          </reference>
        </references>
      </pivotArea>
    </format>
    <format dxfId="250">
      <pivotArea collapsedLevelsAreSubtotals="1" fieldPosition="0">
        <references count="2">
          <reference field="8" count="6">
            <x v="3"/>
            <x v="4"/>
            <x v="5"/>
            <x v="10"/>
            <x v="11"/>
            <x v="12"/>
          </reference>
          <reference field="18" count="1" selected="0">
            <x v="4"/>
          </reference>
        </references>
      </pivotArea>
    </format>
    <format dxfId="249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5"/>
          </reference>
        </references>
      </pivotArea>
    </format>
    <format dxfId="248">
      <pivotArea collapsedLevelsAreSubtotals="1" fieldPosition="0">
        <references count="2">
          <reference field="8" count="6">
            <x v="3"/>
            <x v="4"/>
            <x v="5"/>
            <x v="11"/>
            <x v="12"/>
            <x v="13"/>
          </reference>
          <reference field="18" count="1" selected="0">
            <x v="6"/>
          </reference>
        </references>
      </pivotArea>
    </format>
    <format dxfId="24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6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Z2:CH18" firstHeaderRow="1" firstDataRow="2" firstDataCol="1"/>
  <pivotFields count="20">
    <pivotField showAll="0" sortType="ascending">
      <items count="261">
        <item x="60"/>
        <item x="183"/>
        <item x="72"/>
        <item x="225"/>
        <item x="65"/>
        <item x="80"/>
        <item x="114"/>
        <item x="206"/>
        <item x="56"/>
        <item x="96"/>
        <item x="216"/>
        <item m="1" x="258"/>
        <item x="136"/>
        <item x="231"/>
        <item x="233"/>
        <item x="196"/>
        <item m="1" x="249"/>
        <item x="137"/>
        <item x="84"/>
        <item x="178"/>
        <item x="45"/>
        <item x="210"/>
        <item x="122"/>
        <item x="28"/>
        <item x="171"/>
        <item x="170"/>
        <item x="61"/>
        <item x="48"/>
        <item x="93"/>
        <item x="240"/>
        <item x="104"/>
        <item x="15"/>
        <item x="172"/>
        <item m="1" x="255"/>
        <item x="141"/>
        <item x="193"/>
        <item x="24"/>
        <item x="121"/>
        <item x="37"/>
        <item x="81"/>
        <item x="18"/>
        <item x="26"/>
        <item x="92"/>
        <item x="128"/>
        <item x="6"/>
        <item x="123"/>
        <item x="54"/>
        <item x="195"/>
        <item x="220"/>
        <item m="1" x="250"/>
        <item x="144"/>
        <item x="34"/>
        <item x="161"/>
        <item x="78"/>
        <item x="169"/>
        <item x="175"/>
        <item x="173"/>
        <item x="38"/>
        <item x="62"/>
        <item x="97"/>
        <item x="106"/>
        <item x="47"/>
        <item x="58"/>
        <item x="46"/>
        <item x="167"/>
        <item x="155"/>
        <item x="162"/>
        <item x="30"/>
        <item x="234"/>
        <item x="14"/>
        <item m="1" x="259"/>
        <item x="146"/>
        <item x="94"/>
        <item x="215"/>
        <item x="120"/>
        <item x="163"/>
        <item x="71"/>
        <item x="199"/>
        <item x="21"/>
        <item x="135"/>
        <item x="100"/>
        <item x="19"/>
        <item x="192"/>
        <item x="134"/>
        <item x="119"/>
        <item x="226"/>
        <item x="12"/>
        <item x="50"/>
        <item x="238"/>
        <item x="20"/>
        <item x="116"/>
        <item x="154"/>
        <item m="1" x="246"/>
        <item x="143"/>
        <item x="182"/>
        <item x="49"/>
        <item x="85"/>
        <item x="156"/>
        <item x="207"/>
        <item x="131"/>
        <item x="16"/>
        <item x="70"/>
        <item x="10"/>
        <item x="184"/>
        <item x="208"/>
        <item x="90"/>
        <item x="174"/>
        <item x="129"/>
        <item m="1" x="252"/>
        <item x="140"/>
        <item x="237"/>
        <item x="59"/>
        <item x="103"/>
        <item x="67"/>
        <item m="1" x="243"/>
        <item x="138"/>
        <item x="9"/>
        <item x="83"/>
        <item x="229"/>
        <item x="168"/>
        <item x="241"/>
        <item m="1" x="256"/>
        <item x="149"/>
        <item x="200"/>
        <item x="127"/>
        <item x="89"/>
        <item x="228"/>
        <item x="42"/>
        <item x="117"/>
        <item x="213"/>
        <item x="107"/>
        <item x="112"/>
        <item x="35"/>
        <item x="41"/>
        <item m="1" x="247"/>
        <item x="142"/>
        <item x="101"/>
        <item x="153"/>
        <item x="4"/>
        <item x="11"/>
        <item x="109"/>
        <item x="102"/>
        <item x="191"/>
        <item x="82"/>
        <item x="8"/>
        <item x="125"/>
        <item m="1" x="244"/>
        <item x="152"/>
        <item x="73"/>
        <item x="211"/>
        <item x="214"/>
        <item x="51"/>
        <item x="189"/>
        <item x="69"/>
        <item m="1" x="248"/>
        <item x="139"/>
        <item x="222"/>
        <item x="36"/>
        <item x="188"/>
        <item x="64"/>
        <item x="23"/>
        <item x="39"/>
        <item x="230"/>
        <item x="68"/>
        <item x="110"/>
        <item x="158"/>
        <item x="177"/>
        <item x="17"/>
        <item x="57"/>
        <item x="212"/>
        <item x="113"/>
        <item x="130"/>
        <item x="176"/>
        <item x="33"/>
        <item x="88"/>
        <item x="52"/>
        <item x="25"/>
        <item x="160"/>
        <item x="76"/>
        <item x="159"/>
        <item x="98"/>
        <item x="185"/>
        <item x="91"/>
        <item x="224"/>
        <item x="194"/>
        <item x="239"/>
        <item x="223"/>
        <item x="235"/>
        <item x="3"/>
        <item x="164"/>
        <item x="179"/>
        <item x="7"/>
        <item x="108"/>
        <item x="203"/>
        <item x="99"/>
        <item x="118"/>
        <item x="55"/>
        <item x="198"/>
        <item x="165"/>
        <item x="219"/>
        <item x="132"/>
        <item x="190"/>
        <item x="157"/>
        <item x="227"/>
        <item x="40"/>
        <item x="166"/>
        <item x="221"/>
        <item x="87"/>
        <item x="204"/>
        <item x="13"/>
        <item x="22"/>
        <item x="111"/>
        <item x="66"/>
        <item x="74"/>
        <item m="1" x="257"/>
        <item x="150"/>
        <item x="43"/>
        <item m="1" x="245"/>
        <item x="145"/>
        <item x="77"/>
        <item x="27"/>
        <item x="32"/>
        <item x="86"/>
        <item x="124"/>
        <item x="201"/>
        <item x="133"/>
        <item x="1"/>
        <item x="232"/>
        <item x="31"/>
        <item x="0"/>
        <item x="205"/>
        <item m="1" x="253"/>
        <item x="151"/>
        <item x="197"/>
        <item x="63"/>
        <item x="126"/>
        <item m="1" x="251"/>
        <item x="147"/>
        <item x="187"/>
        <item x="181"/>
        <item m="1" x="254"/>
        <item x="148"/>
        <item x="186"/>
        <item x="209"/>
        <item x="202"/>
        <item x="105"/>
        <item x="115"/>
        <item x="53"/>
        <item x="218"/>
        <item x="236"/>
        <item x="44"/>
        <item x="5"/>
        <item x="217"/>
        <item x="75"/>
        <item x="95"/>
        <item x="79"/>
        <item x="29"/>
        <item x="180"/>
        <item x="2"/>
        <item x="242"/>
        <item t="default"/>
      </items>
    </pivotField>
    <pivotField showAll="0"/>
    <pivotField subtotalTop="0" showAll="0">
      <items count="35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ubtotalTop="0" showAll="0"/>
    <pivotField subtotalTop="0" showAll="0"/>
    <pivotField subtotalTop="0" showAll="0"/>
    <pivotField showAll="0">
      <items count="31"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axis="axisRow" subtotalTop="0" showAll="0" sortType="ascending">
      <items count="18">
        <item x="11"/>
        <item x="6"/>
        <item m="1" x="16"/>
        <item x="7"/>
        <item x="8"/>
        <item x="9"/>
        <item x="10"/>
        <item x="12"/>
        <item x="13"/>
        <item x="14"/>
        <item x="0"/>
        <item x="1"/>
        <item x="3"/>
        <item x="5"/>
        <item x="4"/>
        <item h="1" x="2"/>
        <item h="1" x="15"/>
        <item t="default"/>
      </items>
    </pivotField>
    <pivotField showAll="0"/>
    <pivotField showAll="0"/>
    <pivotField showAll="0"/>
    <pivotField showAll="0"/>
    <pivotField subtotalTop="0" showAll="0"/>
    <pivotField subtotalTop="0" showAll="0"/>
    <pivotField dataField="1" subtotalTop="0" showAll="0"/>
    <pivotField subtotalTop="0" showAll="0"/>
    <pivotField subtotalTop="0" showAll="0"/>
    <pivotField axis="axisCol" subtotalTop="0" showAll="0" sortType="ascending">
      <items count="9">
        <item x="6"/>
        <item x="0"/>
        <item x="1"/>
        <item x="2"/>
        <item x="3"/>
        <item x="4"/>
        <item x="5"/>
        <item x="7"/>
        <item t="default"/>
      </items>
    </pivotField>
    <pivotField subtotalTop="0" dragToRow="0" dragToCol="0" dragToPage="0" showAll="0" defaultSubtotal="0"/>
  </pivotFields>
  <rowFields count="1">
    <field x="8"/>
  </rowFields>
  <rowItems count="15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18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Lucro SoHo" fld="15" baseField="8" baseItem="0" numFmtId="2"/>
  </dataFields>
  <formats count="111">
    <format dxfId="468">
      <pivotArea type="all" dataOnly="0" outline="0" fieldPosition="0"/>
    </format>
    <format dxfId="467">
      <pivotArea outline="0" collapsedLevelsAreSubtotals="1" fieldPosition="0"/>
    </format>
    <format dxfId="466">
      <pivotArea field="6" type="button" dataOnly="0" labelOnly="1" outline="0"/>
    </format>
    <format dxfId="465">
      <pivotArea dataOnly="0" labelOnly="1" outline="0" axis="axisValues" fieldPosition="0"/>
    </format>
    <format dxfId="464">
      <pivotArea dataOnly="0" labelOnly="1" grandRow="1" outline="0" fieldPosition="0"/>
    </format>
    <format dxfId="463">
      <pivotArea dataOnly="0" labelOnly="1" outline="0" axis="axisValues" fieldPosition="0"/>
    </format>
    <format dxfId="462">
      <pivotArea type="all" dataOnly="0" outline="0" fieldPosition="0"/>
    </format>
    <format dxfId="461">
      <pivotArea outline="0" collapsedLevelsAreSubtotals="1" fieldPosition="0"/>
    </format>
    <format dxfId="460">
      <pivotArea field="6" type="button" dataOnly="0" labelOnly="1" outline="0"/>
    </format>
    <format dxfId="459">
      <pivotArea dataOnly="0" labelOnly="1" outline="0" axis="axisValues" fieldPosition="0"/>
    </format>
    <format dxfId="458">
      <pivotArea dataOnly="0" labelOnly="1" grandRow="1" outline="0" fieldPosition="0"/>
    </format>
    <format dxfId="457">
      <pivotArea dataOnly="0" labelOnly="1" outline="0" axis="axisValues" fieldPosition="0"/>
    </format>
    <format dxfId="456">
      <pivotArea type="all" dataOnly="0" outline="0" fieldPosition="0"/>
    </format>
    <format dxfId="455">
      <pivotArea outline="0" collapsedLevelsAreSubtotals="1" fieldPosition="0"/>
    </format>
    <format dxfId="454">
      <pivotArea field="6" type="button" dataOnly="0" labelOnly="1" outline="0"/>
    </format>
    <format dxfId="453">
      <pivotArea dataOnly="0" labelOnly="1" outline="0" axis="axisValues" fieldPosition="0"/>
    </format>
    <format dxfId="452">
      <pivotArea dataOnly="0" labelOnly="1" grandRow="1" outline="0" fieldPosition="0"/>
    </format>
    <format dxfId="451">
      <pivotArea dataOnly="0" labelOnly="1" outline="0" axis="axisValues" fieldPosition="0"/>
    </format>
    <format dxfId="450">
      <pivotArea outline="0" collapsedLevelsAreSubtotals="1" fieldPosition="0"/>
    </format>
    <format dxfId="449">
      <pivotArea dataOnly="0" labelOnly="1" outline="0" axis="axisValues" fieldPosition="0"/>
    </format>
    <format dxfId="448">
      <pivotArea dataOnly="0" labelOnly="1" outline="0" axis="axisValues" fieldPosition="0"/>
    </format>
    <format dxfId="447">
      <pivotArea field="6" type="button" dataOnly="0" labelOnly="1" outline="0"/>
    </format>
    <format dxfId="446">
      <pivotArea field="0" type="button" dataOnly="0" labelOnly="1" outline="0"/>
    </format>
    <format dxfId="445">
      <pivotArea dataOnly="0" labelOnly="1" grandRow="1" outline="0" fieldPosition="0"/>
    </format>
    <format dxfId="444">
      <pivotArea field="6" type="button" dataOnly="0" labelOnly="1" outline="0"/>
    </format>
    <format dxfId="443">
      <pivotArea field="0" type="button" dataOnly="0" labelOnly="1" outline="0"/>
    </format>
    <format dxfId="442">
      <pivotArea dataOnly="0" labelOnly="1" grandRow="1" outline="0" fieldPosition="0"/>
    </format>
    <format dxfId="441">
      <pivotArea field="6" type="button" dataOnly="0" labelOnly="1" outline="0"/>
    </format>
    <format dxfId="440">
      <pivotArea field="0" type="button" dataOnly="0" labelOnly="1" outline="0"/>
    </format>
    <format dxfId="439">
      <pivotArea dataOnly="0" labelOnly="1" grandRow="1" outline="0" fieldPosition="0"/>
    </format>
    <format dxfId="438">
      <pivotArea field="6" type="button" dataOnly="0" labelOnly="1" outline="0"/>
    </format>
    <format dxfId="437">
      <pivotArea field="0" type="button" dataOnly="0" labelOnly="1" outline="0"/>
    </format>
    <format dxfId="436">
      <pivotArea dataOnly="0" labelOnly="1" grandRow="1" outline="0" fieldPosition="0"/>
    </format>
    <format dxfId="435">
      <pivotArea field="6" type="button" dataOnly="0" labelOnly="1" outline="0"/>
    </format>
    <format dxfId="434">
      <pivotArea field="0" type="button" dataOnly="0" labelOnly="1" outline="0"/>
    </format>
    <format dxfId="433">
      <pivotArea dataOnly="0" labelOnly="1" grandRow="1" outline="0" fieldPosition="0"/>
    </format>
    <format dxfId="432">
      <pivotArea field="2" type="button" dataOnly="0" labelOnly="1" outline="0"/>
    </format>
    <format dxfId="431">
      <pivotArea field="0" type="button" dataOnly="0" labelOnly="1" outline="0"/>
    </format>
    <format dxfId="430">
      <pivotArea dataOnly="0" labelOnly="1" grandRow="1" outline="0" fieldPosition="0"/>
    </format>
    <format dxfId="429">
      <pivotArea type="all" dataOnly="0" outline="0" fieldPosition="0"/>
    </format>
    <format dxfId="428">
      <pivotArea outline="0" collapsedLevelsAreSubtotals="1" fieldPosition="0"/>
    </format>
    <format dxfId="427">
      <pivotArea field="8" type="button" dataOnly="0" labelOnly="1" outline="0" axis="axisRow" fieldPosition="0"/>
    </format>
    <format dxfId="426">
      <pivotArea dataOnly="0" labelOnly="1" fieldPosition="0">
        <references count="1">
          <reference field="8" count="0"/>
        </references>
      </pivotArea>
    </format>
    <format dxfId="425">
      <pivotArea dataOnly="0" labelOnly="1" grandRow="1" outline="0" fieldPosition="0"/>
    </format>
    <format dxfId="424">
      <pivotArea dataOnly="0" labelOnly="1" fieldPosition="0">
        <references count="1">
          <reference field="8" count="6">
            <x v="2"/>
            <x v="4"/>
            <x v="10"/>
            <x v="11"/>
            <x v="12"/>
            <x v="13"/>
          </reference>
        </references>
      </pivotArea>
    </format>
    <format dxfId="423">
      <pivotArea dataOnly="0" labelOnly="1" fieldPosition="0">
        <references count="1">
          <reference field="8" count="1">
            <x v="5"/>
          </reference>
        </references>
      </pivotArea>
    </format>
    <format dxfId="422">
      <pivotArea dataOnly="0" labelOnly="1" fieldPosition="0">
        <references count="1">
          <reference field="8" count="6">
            <x v="0"/>
            <x v="1"/>
            <x v="6"/>
            <x v="7"/>
            <x v="8"/>
            <x v="9"/>
          </reference>
        </references>
      </pivotArea>
    </format>
    <format dxfId="421">
      <pivotArea dataOnly="0" labelOnly="1" fieldPosition="0">
        <references count="1">
          <reference field="8" count="1">
            <x v="5"/>
          </reference>
        </references>
      </pivotArea>
    </format>
    <format dxfId="420">
      <pivotArea dataOnly="0" labelOnly="1" fieldPosition="0">
        <references count="1">
          <reference field="8" count="1">
            <x v="14"/>
          </reference>
        </references>
      </pivotArea>
    </format>
    <format dxfId="419">
      <pivotArea type="all" dataOnly="0" outline="0" fieldPosition="0"/>
    </format>
    <format dxfId="418">
      <pivotArea outline="0" collapsedLevelsAreSubtotals="1" fieldPosition="0"/>
    </format>
    <format dxfId="417">
      <pivotArea field="8" type="button" dataOnly="0" labelOnly="1" outline="0" axis="axisRow" fieldPosition="0"/>
    </format>
    <format dxfId="416">
      <pivotArea dataOnly="0" labelOnly="1" fieldPosition="0">
        <references count="1">
          <reference field="8" count="0"/>
        </references>
      </pivotArea>
    </format>
    <format dxfId="415">
      <pivotArea dataOnly="0" labelOnly="1" grandRow="1" outline="0" fieldPosition="0"/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field="8" type="button" dataOnly="0" labelOnly="1" outline="0" axis="axisRow" fieldPosition="0"/>
    </format>
    <format dxfId="411">
      <pivotArea dataOnly="0" labelOnly="1" fieldPosition="0">
        <references count="1">
          <reference field="8" count="0"/>
        </references>
      </pivotArea>
    </format>
    <format dxfId="410">
      <pivotArea dataOnly="0" labelOnly="1" grandRow="1" outline="0" fieldPosition="0"/>
    </format>
    <format dxfId="409">
      <pivotArea dataOnly="0" labelOnly="1" fieldPosition="0">
        <references count="1">
          <reference field="8" count="0"/>
        </references>
      </pivotArea>
    </format>
    <format dxfId="408">
      <pivotArea dataOnly="0" labelOnly="1" fieldPosition="0">
        <references count="1">
          <reference field="8" count="0"/>
        </references>
      </pivotArea>
    </format>
    <format dxfId="407">
      <pivotArea dataOnly="0" labelOnly="1" fieldPosition="0">
        <references count="1">
          <reference field="8" count="0"/>
        </references>
      </pivotArea>
    </format>
    <format dxfId="406">
      <pivotArea dataOnly="0" labelOnly="1" fieldPosition="0">
        <references count="1">
          <reference field="8" count="0"/>
        </references>
      </pivotArea>
    </format>
    <format dxfId="405">
      <pivotArea collapsedLevelsAreSubtotals="1" fieldPosition="0">
        <references count="2">
          <reference field="8" count="1">
            <x v="4"/>
          </reference>
          <reference field="18" count="2" selected="0">
            <x v="1"/>
            <x v="4"/>
          </reference>
        </references>
      </pivotArea>
    </format>
    <format dxfId="404">
      <pivotArea collapsedLevelsAreSubtotals="1" fieldPosition="0">
        <references count="2">
          <reference field="8" count="9">
            <x v="0"/>
            <x v="1"/>
            <x v="2"/>
            <x v="5"/>
            <x v="6"/>
            <x v="7"/>
            <x v="8"/>
            <x v="9"/>
            <x v="14"/>
          </reference>
          <reference field="18" count="2" selected="0">
            <x v="1"/>
            <x v="4"/>
          </reference>
        </references>
      </pivotArea>
    </format>
    <format dxfId="403">
      <pivotArea collapsedLevelsAreSubtotals="1" fieldPosition="0">
        <references count="2">
          <reference field="8" count="7">
            <x v="0"/>
            <x v="1"/>
            <x v="6"/>
            <x v="7"/>
            <x v="8"/>
            <x v="9"/>
            <x v="14"/>
          </reference>
          <reference field="18" count="5" selected="0">
            <x v="0"/>
            <x v="2"/>
            <x v="3"/>
            <x v="5"/>
            <x v="6"/>
          </reference>
        </references>
      </pivotArea>
    </format>
    <format dxfId="402">
      <pivotArea collapsedLevelsAreSubtotals="1" fieldPosition="0">
        <references count="2">
          <reference field="8" count="7">
            <x v="2"/>
            <x v="4"/>
            <x v="5"/>
            <x v="10"/>
            <x v="11"/>
            <x v="12"/>
            <x v="13"/>
          </reference>
          <reference field="18" count="5" selected="0">
            <x v="0"/>
            <x v="2"/>
            <x v="3"/>
            <x v="5"/>
            <x v="6"/>
          </reference>
        </references>
      </pivotArea>
    </format>
    <format dxfId="401">
      <pivotArea collapsedLevelsAreSubtotals="1" fieldPosition="0">
        <references count="2">
          <reference field="8" count="2">
            <x v="11"/>
            <x v="12"/>
          </reference>
          <reference field="18" count="2" selected="0">
            <x v="1"/>
            <x v="4"/>
          </reference>
        </references>
      </pivotArea>
    </format>
    <format dxfId="400">
      <pivotArea collapsedLevelsAreSubtotals="1" fieldPosition="0">
        <references count="2">
          <reference field="8" count="2">
            <x v="10"/>
            <x v="13"/>
          </reference>
          <reference field="18" count="2" selected="0">
            <x v="1"/>
            <x v="4"/>
          </reference>
        </references>
      </pivotArea>
    </format>
    <format dxfId="399">
      <pivotArea outline="0" collapsedLevelsAreSubtotals="1" fieldPosition="0"/>
    </format>
    <format dxfId="398">
      <pivotArea outline="0" collapsedLevelsAreSubtotals="1" fieldPosition="0"/>
    </format>
    <format dxfId="397">
      <pivotArea outline="0" collapsedLevelsAreSubtotals="1" fieldPosition="0"/>
    </format>
    <format dxfId="396">
      <pivotArea collapsedLevelsAreSubtotals="1" fieldPosition="0">
        <references count="2">
          <reference field="8" count="1">
            <x v="4"/>
          </reference>
          <reference field="18" count="2" selected="0">
            <x v="1"/>
            <x v="4"/>
          </reference>
        </references>
      </pivotArea>
    </format>
    <format dxfId="395">
      <pivotArea collapsedLevelsAreSubtotals="1" fieldPosition="0">
        <references count="2">
          <reference field="8" count="2">
            <x v="2"/>
            <x v="5"/>
          </reference>
          <reference field="18" count="2" selected="0">
            <x v="1"/>
            <x v="4"/>
          </reference>
        </references>
      </pivotArea>
    </format>
    <format dxfId="394">
      <pivotArea collapsedLevelsAreSubtotals="1" fieldPosition="0">
        <references count="2">
          <reference field="8" count="1">
            <x v="3"/>
          </reference>
          <reference field="18" count="5" selected="0">
            <x v="0"/>
            <x v="2"/>
            <x v="3"/>
            <x v="5"/>
            <x v="6"/>
          </reference>
        </references>
      </pivotArea>
    </format>
    <format dxfId="393">
      <pivotArea collapsedLevelsAreSubtotals="1" fieldPosition="0">
        <references count="2">
          <reference field="8" count="1">
            <x v="3"/>
          </reference>
          <reference field="18" count="2" selected="0">
            <x v="1"/>
            <x v="4"/>
          </reference>
        </references>
      </pivotArea>
    </format>
    <format dxfId="392">
      <pivotArea collapsedLevelsAreSubtotals="1" fieldPosition="0">
        <references count="1">
          <reference field="8" count="0"/>
        </references>
      </pivotArea>
    </format>
    <format dxfId="391">
      <pivotArea collapsedLevelsAreSubtotals="1" fieldPosition="0">
        <references count="2">
          <reference field="8" count="7">
            <x v="1"/>
            <x v="3"/>
            <x v="4"/>
            <x v="5"/>
            <x v="10"/>
            <x v="11"/>
            <x v="12"/>
          </reference>
          <reference field="18" count="1" selected="0">
            <x v="0"/>
          </reference>
        </references>
      </pivotArea>
    </format>
    <format dxfId="390">
      <pivotArea collapsedLevelsAreSubtotals="1" fieldPosition="0">
        <references count="2">
          <reference field="8" count="7">
            <x v="3"/>
            <x v="4"/>
            <x v="5"/>
            <x v="8"/>
            <x v="11"/>
            <x v="12"/>
            <x v="13"/>
          </reference>
          <reference field="18" count="1" selected="0">
            <x v="6"/>
          </reference>
        </references>
      </pivotArea>
    </format>
    <format dxfId="389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5"/>
          </reference>
        </references>
      </pivotArea>
    </format>
    <format dxfId="388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3"/>
          </reference>
        </references>
      </pivotArea>
    </format>
    <format dxfId="387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2"/>
          </reference>
        </references>
      </pivotArea>
    </format>
    <format dxfId="386">
      <pivotArea collapsedLevelsAreSubtotals="1" fieldPosition="0">
        <references count="1">
          <reference field="8" count="0"/>
        </references>
      </pivotArea>
    </format>
    <format dxfId="385">
      <pivotArea type="all" dataOnly="0" outline="0" fieldPosition="0"/>
    </format>
    <format dxfId="384">
      <pivotArea outline="0" collapsedLevelsAreSubtotals="1" fieldPosition="0"/>
    </format>
    <format dxfId="383">
      <pivotArea type="origin" dataOnly="0" labelOnly="1" outline="0" fieldPosition="0"/>
    </format>
    <format dxfId="382">
      <pivotArea field="18" type="button" dataOnly="0" labelOnly="1" outline="0" axis="axisCol" fieldPosition="0"/>
    </format>
    <format dxfId="381">
      <pivotArea type="topRight" dataOnly="0" labelOnly="1" outline="0" fieldPosition="0"/>
    </format>
    <format dxfId="380">
      <pivotArea field="8" type="button" dataOnly="0" labelOnly="1" outline="0" axis="axisRow" fieldPosition="0"/>
    </format>
    <format dxfId="379">
      <pivotArea dataOnly="0" labelOnly="1" fieldPosition="0">
        <references count="1">
          <reference field="8" count="0"/>
        </references>
      </pivotArea>
    </format>
    <format dxfId="378">
      <pivotArea dataOnly="0" labelOnly="1" grandRow="1" outline="0" fieldPosition="0"/>
    </format>
    <format dxfId="377">
      <pivotArea dataOnly="0" labelOnly="1" fieldPosition="0">
        <references count="1">
          <reference field="18" count="7">
            <x v="0"/>
            <x v="1"/>
            <x v="2"/>
            <x v="3"/>
            <x v="4"/>
            <x v="5"/>
            <x v="6"/>
          </reference>
        </references>
      </pivotArea>
    </format>
    <format dxfId="376">
      <pivotArea dataOnly="0" labelOnly="1" grandCol="1" outline="0" fieldPosition="0"/>
    </format>
    <format dxfId="375">
      <pivotArea type="all" dataOnly="0" outline="0" fieldPosition="0"/>
    </format>
    <format dxfId="374">
      <pivotArea outline="0" collapsedLevelsAreSubtotals="1" fieldPosition="0"/>
    </format>
    <format dxfId="373">
      <pivotArea type="origin" dataOnly="0" labelOnly="1" outline="0" fieldPosition="0"/>
    </format>
    <format dxfId="372">
      <pivotArea field="18" type="button" dataOnly="0" labelOnly="1" outline="0" axis="axisCol" fieldPosition="0"/>
    </format>
    <format dxfId="371">
      <pivotArea type="topRight" dataOnly="0" labelOnly="1" outline="0" fieldPosition="0"/>
    </format>
    <format dxfId="370">
      <pivotArea field="8" type="button" dataOnly="0" labelOnly="1" outline="0" axis="axisRow" fieldPosition="0"/>
    </format>
    <format dxfId="369">
      <pivotArea dataOnly="0" labelOnly="1" fieldPosition="0">
        <references count="1">
          <reference field="8" count="0"/>
        </references>
      </pivotArea>
    </format>
    <format dxfId="368">
      <pivotArea dataOnly="0" labelOnly="1" grandRow="1" outline="0" fieldPosition="0"/>
    </format>
    <format dxfId="367">
      <pivotArea dataOnly="0" labelOnly="1" fieldPosition="0">
        <references count="1">
          <reference field="18" count="7">
            <x v="0"/>
            <x v="1"/>
            <x v="2"/>
            <x v="3"/>
            <x v="4"/>
            <x v="5"/>
            <x v="6"/>
          </reference>
        </references>
      </pivotArea>
    </format>
    <format dxfId="366">
      <pivotArea dataOnly="0" labelOnly="1" grandCol="1" outline="0" fieldPosition="0"/>
    </format>
    <format dxfId="365">
      <pivotArea collapsedLevelsAreSubtotals="1" fieldPosition="0">
        <references count="2">
          <reference field="8" count="6">
            <x v="1"/>
            <x v="3"/>
            <x v="4"/>
            <x v="10"/>
            <x v="11"/>
            <x v="12"/>
          </reference>
          <reference field="18" count="1" selected="0">
            <x v="0"/>
          </reference>
        </references>
      </pivotArea>
    </format>
    <format dxfId="364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1"/>
          </reference>
        </references>
      </pivotArea>
    </format>
    <format dxfId="363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2"/>
          </reference>
        </references>
      </pivotArea>
    </format>
    <format dxfId="362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3"/>
          </reference>
        </references>
      </pivotArea>
    </format>
    <format dxfId="361">
      <pivotArea collapsedLevelsAreSubtotals="1" fieldPosition="0">
        <references count="2">
          <reference field="8" count="6">
            <x v="3"/>
            <x v="4"/>
            <x v="5"/>
            <x v="10"/>
            <x v="11"/>
            <x v="12"/>
          </reference>
          <reference field="18" count="1" selected="0">
            <x v="4"/>
          </reference>
        </references>
      </pivotArea>
    </format>
    <format dxfId="360">
      <pivotArea collapsedLevelsAreSubtotals="1" fieldPosition="0">
        <references count="2">
          <reference field="8" count="6">
            <x v="3"/>
            <x v="4"/>
            <x v="10"/>
            <x v="11"/>
            <x v="12"/>
            <x v="13"/>
          </reference>
          <reference field="18" count="1" selected="0">
            <x v="5"/>
          </reference>
        </references>
      </pivotArea>
    </format>
    <format dxfId="359">
      <pivotArea collapsedLevelsAreSubtotals="1" fieldPosition="0">
        <references count="2">
          <reference field="8" count="6">
            <x v="3"/>
            <x v="4"/>
            <x v="5"/>
            <x v="11"/>
            <x v="12"/>
            <x v="13"/>
          </reference>
          <reference field="18" count="1" selected="0">
            <x v="6"/>
          </reference>
        </references>
      </pivotArea>
    </format>
    <format dxfId="35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Y8"/>
  <sheetViews>
    <sheetView showGridLines="0" showRowColHeaders="0" tabSelected="1" zoomScale="110" zoomScaleNormal="110" workbookViewId="0">
      <selection activeCell="T32" sqref="T32"/>
    </sheetView>
  </sheetViews>
  <sheetFormatPr defaultRowHeight="14.4" x14ac:dyDescent="0.3"/>
  <cols>
    <col min="1" max="1" width="18.88671875" style="1" bestFit="1" customWidth="1"/>
    <col min="2" max="2" width="3.109375" style="1" bestFit="1" customWidth="1"/>
    <col min="3" max="17" width="8.88671875" style="1"/>
    <col min="18" max="18" width="5.21875" style="1" customWidth="1"/>
    <col min="19" max="19" width="8.88671875" style="1" customWidth="1"/>
    <col min="20" max="23" width="8.88671875" style="1"/>
    <col min="24" max="24" width="16.5546875" style="1" bestFit="1" customWidth="1"/>
    <col min="25" max="16384" width="8.88671875" style="1"/>
  </cols>
  <sheetData>
    <row r="1" spans="2:25" x14ac:dyDescent="0.3">
      <c r="V1" s="1" t="s">
        <v>452</v>
      </c>
      <c r="X1" s="160" t="s">
        <v>9</v>
      </c>
      <c r="Y1" s="130">
        <f>Core!AI7</f>
        <v>33</v>
      </c>
    </row>
    <row r="2" spans="2:25" x14ac:dyDescent="0.3">
      <c r="X2" s="160" t="s">
        <v>439</v>
      </c>
      <c r="Y2" s="130">
        <f>Core!AI11</f>
        <v>242</v>
      </c>
    </row>
    <row r="3" spans="2:25" x14ac:dyDescent="0.3">
      <c r="X3" s="160" t="s">
        <v>440</v>
      </c>
      <c r="Y3" s="144">
        <f>Y2/Y1</f>
        <v>7.333333333333333</v>
      </c>
    </row>
    <row r="4" spans="2:25" x14ac:dyDescent="0.3">
      <c r="X4" s="160" t="s">
        <v>425</v>
      </c>
      <c r="Y4" s="144">
        <f>Core!BV21/DashBoard!Y1</f>
        <v>5.4545454545454541</v>
      </c>
    </row>
    <row r="5" spans="2:25" x14ac:dyDescent="0.3">
      <c r="X5" s="160" t="s">
        <v>438</v>
      </c>
      <c r="Y5" s="143">
        <f>548/Y1/Y4</f>
        <v>3.0444444444444447</v>
      </c>
    </row>
    <row r="6" spans="2:25" x14ac:dyDescent="0.3">
      <c r="B6" s="2"/>
    </row>
    <row r="8" spans="2:25" x14ac:dyDescent="0.3">
      <c r="B8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W941"/>
  <sheetViews>
    <sheetView zoomScale="82" zoomScaleNormal="60" workbookViewId="0">
      <selection activeCell="BA6" sqref="BA6"/>
    </sheetView>
  </sheetViews>
  <sheetFormatPr defaultColWidth="11.21875" defaultRowHeight="12" x14ac:dyDescent="0.25"/>
  <cols>
    <col min="1" max="1" width="15.77734375" style="10" bestFit="1" customWidth="1"/>
    <col min="2" max="2" width="15.109375" style="10" bestFit="1" customWidth="1"/>
    <col min="3" max="3" width="6.88671875" style="10" bestFit="1" customWidth="1"/>
    <col min="4" max="4" width="5.77734375" style="10" bestFit="1" customWidth="1"/>
    <col min="5" max="5" width="17" style="10" bestFit="1" customWidth="1"/>
    <col min="6" max="6" width="16.109375" style="10" bestFit="1" customWidth="1"/>
    <col min="7" max="7" width="8" style="10" bestFit="1" customWidth="1"/>
    <col min="8" max="8" width="20.44140625" style="10" bestFit="1" customWidth="1"/>
    <col min="9" max="9" width="30.6640625" style="10" bestFit="1" customWidth="1"/>
    <col min="10" max="10" width="2.6640625" style="10" bestFit="1" customWidth="1"/>
    <col min="11" max="11" width="11.21875" style="10"/>
    <col min="12" max="12" width="11.21875" style="10" bestFit="1" customWidth="1"/>
    <col min="13" max="13" width="11.21875" style="10"/>
    <col min="14" max="15" width="13.21875" style="10" bestFit="1" customWidth="1"/>
    <col min="16" max="16" width="7.21875" style="102" bestFit="1" customWidth="1"/>
    <col min="17" max="17" width="6.5546875" style="44" bestFit="1" customWidth="1"/>
    <col min="18" max="18" width="4.44140625" style="10" bestFit="1" customWidth="1"/>
    <col min="19" max="19" width="15.77734375" style="10" bestFit="1" customWidth="1"/>
    <col min="20" max="21" width="4.44140625" style="11" bestFit="1" customWidth="1"/>
    <col min="22" max="22" width="13" style="11" bestFit="1" customWidth="1"/>
    <col min="23" max="23" width="4.6640625" style="11" bestFit="1" customWidth="1"/>
    <col min="24" max="24" width="7.88671875" style="11" bestFit="1" customWidth="1"/>
    <col min="25" max="25" width="10.109375" style="11" bestFit="1" customWidth="1"/>
    <col min="26" max="26" width="6.88671875" style="11" bestFit="1" customWidth="1"/>
    <col min="27" max="27" width="14.44140625" style="11" bestFit="1" customWidth="1"/>
    <col min="28" max="28" width="8" style="11" bestFit="1" customWidth="1"/>
    <col min="29" max="29" width="10.109375" style="11" bestFit="1" customWidth="1"/>
    <col min="30" max="30" width="9.33203125" style="11" bestFit="1" customWidth="1"/>
    <col min="31" max="31" width="15.5546875" style="11" bestFit="1" customWidth="1"/>
    <col min="32" max="32" width="12.44140625" style="11" bestFit="1" customWidth="1"/>
    <col min="33" max="33" width="11.21875" style="10"/>
    <col min="34" max="34" width="22.21875" style="10" bestFit="1" customWidth="1"/>
    <col min="35" max="35" width="9.33203125" style="11" bestFit="1" customWidth="1"/>
    <col min="36" max="36" width="12.109375" style="10" bestFit="1" customWidth="1"/>
    <col min="37" max="37" width="19.21875" style="10" bestFit="1" customWidth="1"/>
    <col min="38" max="38" width="10.109375" style="11" bestFit="1" customWidth="1"/>
    <col min="39" max="39" width="9" style="11" bestFit="1" customWidth="1"/>
    <col min="40" max="40" width="13.5546875" style="11" bestFit="1" customWidth="1"/>
    <col min="41" max="41" width="12.88671875" style="11" bestFit="1" customWidth="1"/>
    <col min="42" max="42" width="10.109375" style="10" bestFit="1" customWidth="1"/>
    <col min="43" max="43" width="19.77734375" style="11" bestFit="1" customWidth="1"/>
    <col min="44" max="44" width="17.33203125" style="11" bestFit="1" customWidth="1"/>
    <col min="45" max="45" width="8.77734375" style="11" bestFit="1" customWidth="1"/>
    <col min="46" max="46" width="10.109375" style="11" bestFit="1" customWidth="1"/>
    <col min="47" max="47" width="8.6640625" style="11" bestFit="1" customWidth="1"/>
    <col min="48" max="48" width="10" style="11" bestFit="1" customWidth="1"/>
    <col min="49" max="49" width="11.77734375" style="11" bestFit="1" customWidth="1"/>
    <col min="50" max="50" width="5.88671875" style="11" bestFit="1" customWidth="1"/>
    <col min="51" max="51" width="11.21875" style="10"/>
    <col min="52" max="52" width="16.109375" style="35" bestFit="1" customWidth="1"/>
    <col min="53" max="53" width="10.21875" style="101" bestFit="1" customWidth="1"/>
    <col min="54" max="54" width="7.44140625" style="10" bestFit="1" customWidth="1"/>
    <col min="55" max="55" width="8.77734375" style="10" bestFit="1" customWidth="1"/>
    <col min="56" max="56" width="17.44140625" style="10" bestFit="1" customWidth="1"/>
    <col min="57" max="57" width="11.21875" style="10"/>
    <col min="58" max="58" width="19.77734375" style="35" bestFit="1" customWidth="1"/>
    <col min="59" max="59" width="10.21875" style="101" bestFit="1" customWidth="1"/>
    <col min="60" max="60" width="7.77734375" style="10" bestFit="1" customWidth="1"/>
    <col min="61" max="61" width="8.77734375" style="10" bestFit="1" customWidth="1"/>
    <col min="62" max="62" width="17.44140625" style="10" bestFit="1" customWidth="1"/>
    <col min="63" max="65" width="7.21875" style="10" bestFit="1" customWidth="1"/>
    <col min="66" max="66" width="7.88671875" style="103" bestFit="1" customWidth="1"/>
    <col min="67" max="67" width="7.88671875" style="10" bestFit="1" customWidth="1"/>
    <col min="68" max="68" width="7.21875" style="10" bestFit="1" customWidth="1"/>
    <col min="69" max="69" width="7.6640625" style="10" bestFit="1" customWidth="1"/>
    <col min="70" max="70" width="11" style="35" bestFit="1" customWidth="1"/>
    <col min="71" max="71" width="7.6640625" style="101" bestFit="1" customWidth="1"/>
    <col min="72" max="73" width="8" style="10" bestFit="1" customWidth="1"/>
    <col min="74" max="74" width="12.21875" style="11" bestFit="1" customWidth="1"/>
    <col min="75" max="75" width="12.88671875" style="11" bestFit="1" customWidth="1"/>
    <col min="76" max="76" width="12.44140625" style="11" bestFit="1" customWidth="1"/>
    <col min="77" max="77" width="2.77734375" style="10" bestFit="1" customWidth="1"/>
    <col min="78" max="78" width="20.44140625" style="11" bestFit="1" customWidth="1"/>
    <col min="79" max="79" width="23.21875" style="11" bestFit="1" customWidth="1"/>
    <col min="80" max="81" width="6.33203125" style="11" bestFit="1" customWidth="1"/>
    <col min="82" max="82" width="6.6640625" style="11" bestFit="1" customWidth="1"/>
    <col min="83" max="84" width="6.33203125" style="11" bestFit="1" customWidth="1"/>
    <col min="85" max="85" width="6.6640625" style="11" bestFit="1" customWidth="1"/>
    <col min="86" max="86" width="12.6640625" style="11" bestFit="1" customWidth="1"/>
    <col min="87" max="87" width="8.6640625" style="10" bestFit="1" customWidth="1"/>
    <col min="88" max="88" width="2.6640625" style="10" bestFit="1" customWidth="1"/>
    <col min="89" max="89" width="19.77734375" style="10" bestFit="1" customWidth="1"/>
    <col min="90" max="90" width="23.109375" style="10" bestFit="1" customWidth="1"/>
    <col min="91" max="91" width="4.88671875" style="10" bestFit="1" customWidth="1"/>
    <col min="92" max="92" width="4.21875" style="10" bestFit="1" customWidth="1"/>
    <col min="93" max="93" width="4.88671875" style="10" bestFit="1" customWidth="1"/>
    <col min="94" max="94" width="4.5546875" style="10" bestFit="1" customWidth="1"/>
    <col min="95" max="96" width="4.77734375" style="10" bestFit="1" customWidth="1"/>
    <col min="97" max="97" width="12.6640625" style="10" bestFit="1" customWidth="1"/>
    <col min="98" max="98" width="12.77734375" style="10" bestFit="1" customWidth="1"/>
    <col min="99" max="100" width="9.33203125" style="10" bestFit="1" customWidth="1"/>
    <col min="101" max="101" width="8.33203125" style="10" bestFit="1" customWidth="1"/>
    <col min="102" max="102" width="9.21875" style="10" bestFit="1" customWidth="1"/>
    <col min="103" max="105" width="8.21875" style="10" bestFit="1" customWidth="1"/>
    <col min="106" max="112" width="9.21875" style="10" bestFit="1" customWidth="1"/>
    <col min="113" max="113" width="8.6640625" style="10" bestFit="1" customWidth="1"/>
    <col min="114" max="114" width="12.77734375" style="10" bestFit="1" customWidth="1"/>
    <col min="115" max="115" width="8.6640625" style="10" bestFit="1" customWidth="1"/>
    <col min="116" max="116" width="12.77734375" style="10" bestFit="1" customWidth="1"/>
    <col min="117" max="118" width="8.33203125" style="10" bestFit="1" customWidth="1"/>
    <col min="119" max="119" width="12.44140625" style="10" bestFit="1" customWidth="1"/>
    <col min="120" max="126" width="17.88671875" style="10" bestFit="1" customWidth="1"/>
    <col min="127" max="127" width="13.109375" style="10" bestFit="1" customWidth="1"/>
    <col min="128" max="134" width="9" style="10" bestFit="1" customWidth="1"/>
    <col min="135" max="135" width="13.109375" style="10" bestFit="1" customWidth="1"/>
    <col min="136" max="142" width="8.6640625" style="10" bestFit="1" customWidth="1"/>
    <col min="143" max="143" width="12.77734375" style="10" bestFit="1" customWidth="1"/>
    <col min="144" max="150" width="9" style="10" bestFit="1" customWidth="1"/>
    <col min="151" max="151" width="13.109375" style="10" bestFit="1" customWidth="1"/>
    <col min="152" max="158" width="9.33203125" style="10" bestFit="1" customWidth="1"/>
    <col min="159" max="159" width="13.44140625" style="10" bestFit="1" customWidth="1"/>
    <col min="160" max="166" width="8.6640625" style="10" bestFit="1" customWidth="1"/>
    <col min="167" max="167" width="12.77734375" style="10" bestFit="1" customWidth="1"/>
    <col min="168" max="174" width="8.6640625" style="10" bestFit="1" customWidth="1"/>
    <col min="175" max="175" width="12.77734375" style="10" bestFit="1" customWidth="1"/>
    <col min="176" max="178" width="8.33203125" style="10" bestFit="1" customWidth="1"/>
    <col min="179" max="179" width="12.44140625" style="10" bestFit="1" customWidth="1"/>
    <col min="180" max="181" width="8.6640625" style="10" bestFit="1" customWidth="1"/>
    <col min="182" max="182" width="12.77734375" style="10" bestFit="1" customWidth="1"/>
    <col min="183" max="188" width="9.33203125" style="10" bestFit="1" customWidth="1"/>
    <col min="189" max="189" width="13.44140625" style="10" bestFit="1" customWidth="1"/>
    <col min="190" max="192" width="8.6640625" style="10" bestFit="1" customWidth="1"/>
    <col min="193" max="193" width="12.77734375" style="10" bestFit="1" customWidth="1"/>
    <col min="194" max="197" width="8.6640625" style="10" bestFit="1" customWidth="1"/>
    <col min="198" max="198" width="12.77734375" style="10" bestFit="1" customWidth="1"/>
    <col min="199" max="199" width="8.6640625" style="10" bestFit="1" customWidth="1"/>
    <col min="200" max="200" width="12.77734375" style="10" bestFit="1" customWidth="1"/>
    <col min="201" max="202" width="8.33203125" style="10" bestFit="1" customWidth="1"/>
    <col min="203" max="203" width="12.44140625" style="10" bestFit="1" customWidth="1"/>
    <col min="204" max="204" width="12.6640625" style="10" bestFit="1" customWidth="1"/>
    <col min="205" max="205" width="23.5546875" style="10" bestFit="1" customWidth="1"/>
    <col min="206" max="16384" width="11.21875" style="10"/>
  </cols>
  <sheetData>
    <row r="1" spans="1:205" ht="14.4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/>
      <c r="K1" s="6"/>
      <c r="L1" s="6"/>
      <c r="M1" s="7"/>
      <c r="N1" s="6" t="s">
        <v>206</v>
      </c>
      <c r="O1" s="6" t="s">
        <v>207</v>
      </c>
      <c r="P1" s="8" t="s">
        <v>233</v>
      </c>
      <c r="Q1" s="9" t="s">
        <v>257</v>
      </c>
      <c r="R1" s="6" t="s">
        <v>231</v>
      </c>
      <c r="S1" s="6" t="s">
        <v>232</v>
      </c>
      <c r="T1" s="6" t="s">
        <v>145</v>
      </c>
      <c r="U1" s="6" t="s">
        <v>9</v>
      </c>
      <c r="V1" s="6" t="s">
        <v>242</v>
      </c>
      <c r="W1" s="6" t="s">
        <v>10</v>
      </c>
      <c r="X1" s="6" t="s">
        <v>11</v>
      </c>
      <c r="Y1" s="6" t="s">
        <v>12</v>
      </c>
      <c r="Z1" s="6" t="s">
        <v>13</v>
      </c>
      <c r="AA1" s="6" t="s">
        <v>211</v>
      </c>
      <c r="AB1" s="6" t="s">
        <v>234</v>
      </c>
      <c r="AC1" s="6" t="s">
        <v>301</v>
      </c>
      <c r="AD1" s="6" t="s">
        <v>302</v>
      </c>
      <c r="AE1" s="6" t="s">
        <v>303</v>
      </c>
      <c r="AF1" s="6" t="s">
        <v>389</v>
      </c>
      <c r="AH1" s="6" t="s">
        <v>14</v>
      </c>
      <c r="AI1" s="6" t="s">
        <v>15</v>
      </c>
      <c r="AK1" s="6" t="s">
        <v>454</v>
      </c>
      <c r="AM1" s="109"/>
      <c r="AQ1" s="12" t="s">
        <v>146</v>
      </c>
      <c r="AR1" s="11" t="s">
        <v>235</v>
      </c>
      <c r="AS1" s="11" t="s">
        <v>208</v>
      </c>
      <c r="AT1" s="11" t="s">
        <v>209</v>
      </c>
      <c r="AU1" s="11" t="s">
        <v>210</v>
      </c>
      <c r="AV1" s="13" t="s">
        <v>270</v>
      </c>
      <c r="AW1" s="13" t="s">
        <v>30</v>
      </c>
      <c r="AX1" s="14" t="s">
        <v>370</v>
      </c>
      <c r="AZ1" s="15" t="s">
        <v>146</v>
      </c>
      <c r="BA1" s="11" t="s">
        <v>212</v>
      </c>
      <c r="BB1" s="11" t="s">
        <v>213</v>
      </c>
      <c r="BC1" s="11" t="s">
        <v>214</v>
      </c>
      <c r="BD1" s="11" t="s">
        <v>235</v>
      </c>
      <c r="BM1" s="124">
        <v>0.1</v>
      </c>
      <c r="BN1" s="103">
        <f>GETPIVOTDATA("Euros",$BF$3)-BN2</f>
        <v>119.59000000000015</v>
      </c>
      <c r="BQ1" s="112" t="s">
        <v>427</v>
      </c>
      <c r="BR1" s="126">
        <f>BG22</f>
        <v>43227</v>
      </c>
      <c r="CA1" s="11">
        <v>1</v>
      </c>
      <c r="CB1" s="11">
        <v>2</v>
      </c>
      <c r="CC1" s="11">
        <v>3</v>
      </c>
      <c r="CD1" s="11">
        <v>4</v>
      </c>
      <c r="CE1" s="11">
        <v>5</v>
      </c>
      <c r="CF1" s="11">
        <v>6</v>
      </c>
      <c r="CG1" s="11">
        <v>7</v>
      </c>
      <c r="CI1" s="11"/>
      <c r="CK1" s="11"/>
      <c r="CL1" s="11">
        <v>1</v>
      </c>
      <c r="CM1" s="11">
        <v>2</v>
      </c>
      <c r="CN1" s="11">
        <v>3</v>
      </c>
      <c r="CO1" s="11">
        <v>4</v>
      </c>
      <c r="CP1" s="11">
        <v>5</v>
      </c>
      <c r="CQ1" s="11">
        <v>6</v>
      </c>
      <c r="CR1" s="11">
        <v>7</v>
      </c>
      <c r="CS1" s="11"/>
      <c r="CT1"/>
      <c r="CU1"/>
      <c r="CV1"/>
      <c r="CW1"/>
      <c r="CX1" s="146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</row>
    <row r="2" spans="1:205" ht="14.4" x14ac:dyDescent="0.3">
      <c r="A2" s="16">
        <v>7</v>
      </c>
      <c r="B2" s="17" t="s">
        <v>16</v>
      </c>
      <c r="C2" s="18">
        <v>0.82152777777777775</v>
      </c>
      <c r="D2" s="7">
        <v>5.73</v>
      </c>
      <c r="E2" s="7" t="s">
        <v>17</v>
      </c>
      <c r="F2" s="19">
        <v>1.05</v>
      </c>
      <c r="G2" s="19">
        <v>4.55</v>
      </c>
      <c r="H2" s="20">
        <v>4.55</v>
      </c>
      <c r="I2" s="7"/>
      <c r="J2" s="7"/>
      <c r="K2" s="7"/>
      <c r="L2" s="7" t="s">
        <v>269</v>
      </c>
      <c r="M2" s="7"/>
      <c r="N2" s="7" t="str">
        <f>IF(O2&lt;&gt;0,O2,N1)</f>
        <v>#LIVEFZCFA</v>
      </c>
      <c r="O2" s="7" t="str">
        <f t="shared" ref="O2:O65" si="0">IF(X2&gt;0,B2,0)</f>
        <v>#LIVEFZCFA</v>
      </c>
      <c r="P2" s="21">
        <f>(T2&amp;"/"&amp;Q2&amp;"/2018")*1</f>
        <v>43227</v>
      </c>
      <c r="Q2" s="22">
        <f>VLOOKUP(R2,Referencias!$D$1:$E$13,2,0)</f>
        <v>5</v>
      </c>
      <c r="R2" s="7" t="str">
        <f>IF(S2="ganhos garantidos",R1,IF(S2&lt;&gt;0,S2,R1))</f>
        <v>MAI</v>
      </c>
      <c r="S2" s="7" t="str">
        <f t="shared" ref="S2:S65" si="1">IF(X2&gt;0,A3,0)</f>
        <v>MAI</v>
      </c>
      <c r="T2" s="11">
        <f>IF(U2&lt;&gt;0,U2,T1)</f>
        <v>7</v>
      </c>
      <c r="U2" s="11">
        <f t="shared" ref="U2:U65" si="2">IF(X2&gt;0,A2,0)</f>
        <v>7</v>
      </c>
      <c r="V2" s="11" t="str">
        <f>VLOOKUP(C2,Referencias!$A$2:$B$33,2,1)</f>
        <v>19 - 20</v>
      </c>
      <c r="W2" s="23">
        <f>IF(X2&gt;0,C3-C2,"")</f>
        <v>2.9166666666666785E-2</v>
      </c>
      <c r="X2" s="11">
        <f t="shared" ref="X2:X65" si="3">D2*1</f>
        <v>5.73</v>
      </c>
      <c r="Y2" s="11">
        <f>X2*$AK$2</f>
        <v>10.118797818208442</v>
      </c>
      <c r="Z2" s="24">
        <f>IF(A2="Ganhos Garantidos",G2,IF(X2&gt;0,G2*1,0))</f>
        <v>4.55</v>
      </c>
      <c r="AA2" s="25">
        <f>IFERROR(Z2/(86400*(W2)/360/10),0)</f>
        <v>6.4999999999999742</v>
      </c>
      <c r="AB2" s="24">
        <f t="shared" ref="AB2:AB65" si="4">IF(O2&gt;0,1,0)</f>
        <v>1</v>
      </c>
      <c r="AC2" s="24">
        <f t="shared" ref="AC2:AC65" si="5">Z2*$AL$14</f>
        <v>2.9809243875379972</v>
      </c>
      <c r="AD2" s="24">
        <f t="shared" ref="AD2:AD65" si="6">Z2*$AN$14</f>
        <v>3.6116154876452988</v>
      </c>
      <c r="AE2" s="24">
        <f t="shared" ref="AE2:AE65" si="7">Z2*$AL$26</f>
        <v>4.2821257112824815</v>
      </c>
      <c r="AF2" s="119" t="str">
        <f>VLOOKUP(P2*1,Referencias!$G:$H,2,0)</f>
        <v>seg</v>
      </c>
      <c r="AH2" s="10" t="s">
        <v>18</v>
      </c>
      <c r="AI2" s="26">
        <f>SUM(W:W)</f>
        <v>6.5048611111111132</v>
      </c>
      <c r="AJ2" s="27">
        <f>86400*(AI2)/360/10</f>
        <v>156.11666666666673</v>
      </c>
      <c r="AK2" s="25">
        <v>1.7659333016070577</v>
      </c>
      <c r="AM2" s="109"/>
      <c r="AQ2" s="118">
        <v>43227</v>
      </c>
      <c r="AR2" s="11">
        <v>2</v>
      </c>
      <c r="AS2" s="28">
        <v>9.24</v>
      </c>
      <c r="AT2" s="29">
        <v>7.7083333333333323E-2</v>
      </c>
      <c r="AU2" s="30">
        <v>11.34</v>
      </c>
      <c r="AV2" s="28"/>
      <c r="AW2" s="28"/>
      <c r="AX2" s="28"/>
      <c r="AZ2" s="118">
        <v>43227</v>
      </c>
      <c r="BA2" s="29">
        <v>7.7083333333333323E-2</v>
      </c>
      <c r="BB2" s="30">
        <v>9.24</v>
      </c>
      <c r="BC2" s="30">
        <v>11.34</v>
      </c>
      <c r="BD2" s="31">
        <v>2</v>
      </c>
      <c r="BM2" s="124">
        <v>0.9</v>
      </c>
      <c r="BN2" s="103">
        <f>SUM(BH4:BH10)</f>
        <v>863.46</v>
      </c>
      <c r="BP2" s="103"/>
      <c r="BQ2" s="112" t="s">
        <v>428</v>
      </c>
      <c r="BR2" s="126">
        <f>MAX(P:P)</f>
        <v>43261</v>
      </c>
      <c r="BZ2" s="12" t="s">
        <v>304</v>
      </c>
      <c r="CA2" s="12" t="s">
        <v>356</v>
      </c>
      <c r="CI2" s="11"/>
      <c r="CK2" s="12" t="s">
        <v>305</v>
      </c>
      <c r="CL2" s="12" t="s">
        <v>356</v>
      </c>
      <c r="CM2" s="11"/>
      <c r="CN2" s="11"/>
      <c r="CO2" s="11"/>
      <c r="CP2" s="11"/>
      <c r="CQ2" s="11"/>
      <c r="CR2" s="11"/>
      <c r="CS2" s="11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</row>
    <row r="3" spans="1:205" ht="14.4" x14ac:dyDescent="0.3">
      <c r="A3" s="16" t="s">
        <v>19</v>
      </c>
      <c r="B3" s="17"/>
      <c r="C3" s="18">
        <v>0.85069444444444453</v>
      </c>
      <c r="D3" s="7"/>
      <c r="E3" s="7"/>
      <c r="F3" s="7" t="s">
        <v>20</v>
      </c>
      <c r="G3" s="19"/>
      <c r="H3" s="20"/>
      <c r="I3" s="7"/>
      <c r="J3" s="7"/>
      <c r="K3" s="7"/>
      <c r="L3" s="7" t="s">
        <v>144</v>
      </c>
      <c r="M3" s="7"/>
      <c r="N3" s="7" t="str">
        <f t="shared" ref="N3:N66" si="8">IF(O3&lt;&gt;0,O3,N2)</f>
        <v>#LIVEFZCFA</v>
      </c>
      <c r="O3" s="7">
        <f t="shared" si="0"/>
        <v>0</v>
      </c>
      <c r="P3" s="21">
        <f t="shared" ref="P3:P66" si="9">(T3&amp;"/"&amp;Q3&amp;"/2018")*1</f>
        <v>43227</v>
      </c>
      <c r="Q3" s="22">
        <f>VLOOKUP(R3,Referencias!$D$1:$E$13,2,0)</f>
        <v>5</v>
      </c>
      <c r="R3" s="7" t="str">
        <f t="shared" ref="R3:R66" si="10">IF(S3="ganhos garantidos",R2,IF(S3&lt;&gt;0,S3,R2))</f>
        <v>MAI</v>
      </c>
      <c r="S3" s="7">
        <f t="shared" si="1"/>
        <v>0</v>
      </c>
      <c r="T3" s="11">
        <f t="shared" ref="T3:T66" si="11">IF(U3&lt;&gt;0,U3,T2)</f>
        <v>7</v>
      </c>
      <c r="U3" s="11">
        <f t="shared" si="2"/>
        <v>0</v>
      </c>
      <c r="V3" s="11" t="str">
        <f>VLOOKUP(C3,Referencias!$A$2:$B$33,2,1)</f>
        <v>20 - 21</v>
      </c>
      <c r="W3" s="23"/>
      <c r="X3" s="11">
        <f t="shared" si="3"/>
        <v>0</v>
      </c>
      <c r="Y3" s="11">
        <f t="shared" ref="Y3:Y66" si="12">X3*$AK$2</f>
        <v>0</v>
      </c>
      <c r="Z3" s="24">
        <f t="shared" ref="Z3:Z66" si="13">IF(A3="Ganhos Garantidos",G3,IF(X3&gt;0,G3*1,0))</f>
        <v>0</v>
      </c>
      <c r="AA3" s="25">
        <f t="shared" ref="AA3:AA66" si="14">IFERROR(Z3/(86400*(W3)/360/10),0)</f>
        <v>0</v>
      </c>
      <c r="AB3" s="24">
        <f t="shared" si="4"/>
        <v>0</v>
      </c>
      <c r="AC3" s="24">
        <f t="shared" si="5"/>
        <v>0</v>
      </c>
      <c r="AD3" s="24">
        <f t="shared" si="6"/>
        <v>0</v>
      </c>
      <c r="AE3" s="24">
        <f t="shared" si="7"/>
        <v>0</v>
      </c>
      <c r="AF3" s="119" t="str">
        <f>VLOOKUP(P3*1,Referencias!$G:$H,2,0)</f>
        <v>seg</v>
      </c>
      <c r="AH3" s="10" t="s">
        <v>453</v>
      </c>
      <c r="AI3" s="31">
        <f>AI5-AI4</f>
        <v>1170.4839528498728</v>
      </c>
      <c r="AJ3" s="27"/>
      <c r="AK3" s="25"/>
      <c r="AQ3" s="118">
        <v>43228</v>
      </c>
      <c r="AR3" s="11">
        <v>6</v>
      </c>
      <c r="AS3" s="28">
        <v>25.729999999999997</v>
      </c>
      <c r="AT3" s="29">
        <v>0.13125000000000001</v>
      </c>
      <c r="AU3" s="30">
        <v>46.11</v>
      </c>
      <c r="AV3" s="30">
        <f>86400*(AT3)/360/10</f>
        <v>3.15</v>
      </c>
      <c r="AW3" s="30">
        <f t="shared" ref="AW3" si="15">AS3/AV3</f>
        <v>8.1682539682539677</v>
      </c>
      <c r="AX3" s="30">
        <f t="shared" ref="AX3:AX33" si="16">AW3*$AI$26</f>
        <v>5.7950410798384526</v>
      </c>
      <c r="AZ3" s="35" t="s">
        <v>23</v>
      </c>
      <c r="BA3" s="29">
        <v>4.7916666666666663E-2</v>
      </c>
      <c r="BB3" s="30">
        <v>4.6900000000000004</v>
      </c>
      <c r="BC3" s="30">
        <v>5.61</v>
      </c>
      <c r="BD3" s="31">
        <v>1</v>
      </c>
      <c r="BF3" s="12" t="s">
        <v>146</v>
      </c>
      <c r="BG3" s="11" t="s">
        <v>212</v>
      </c>
      <c r="BH3" s="11" t="s">
        <v>213</v>
      </c>
      <c r="BI3" s="11" t="s">
        <v>214</v>
      </c>
      <c r="BJ3" s="11" t="s">
        <v>235</v>
      </c>
      <c r="BK3" s="11" t="s">
        <v>371</v>
      </c>
      <c r="BP3" s="103"/>
      <c r="BQ3" s="112" t="s">
        <v>25</v>
      </c>
      <c r="BR3" s="112">
        <f>BR2-BR1+1</f>
        <v>35</v>
      </c>
      <c r="BZ3" s="12" t="s">
        <v>146</v>
      </c>
      <c r="CA3" s="11" t="s">
        <v>396</v>
      </c>
      <c r="CB3" s="11" t="s">
        <v>390</v>
      </c>
      <c r="CC3" s="11" t="s">
        <v>391</v>
      </c>
      <c r="CD3" s="11" t="s">
        <v>392</v>
      </c>
      <c r="CE3" s="11" t="s">
        <v>393</v>
      </c>
      <c r="CF3" s="11" t="s">
        <v>394</v>
      </c>
      <c r="CG3" s="11" t="s">
        <v>395</v>
      </c>
      <c r="CH3" s="11" t="s">
        <v>147</v>
      </c>
      <c r="CI3" s="11"/>
      <c r="CK3" s="12" t="s">
        <v>146</v>
      </c>
      <c r="CL3" s="11" t="s">
        <v>396</v>
      </c>
      <c r="CM3" s="11" t="s">
        <v>390</v>
      </c>
      <c r="CN3" s="11" t="s">
        <v>391</v>
      </c>
      <c r="CO3" s="11" t="s">
        <v>392</v>
      </c>
      <c r="CP3" s="11" t="s">
        <v>393</v>
      </c>
      <c r="CQ3" s="11" t="s">
        <v>394</v>
      </c>
      <c r="CR3" s="11" t="s">
        <v>395</v>
      </c>
      <c r="CS3" s="11" t="s">
        <v>147</v>
      </c>
      <c r="CT3"/>
      <c r="CU3"/>
      <c r="CV3"/>
      <c r="CW3"/>
      <c r="CX3" s="112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</row>
    <row r="4" spans="1:205" ht="14.4" x14ac:dyDescent="0.3">
      <c r="A4" s="36"/>
      <c r="B4" s="36"/>
      <c r="C4" s="36"/>
      <c r="D4" s="36"/>
      <c r="E4" s="36"/>
      <c r="F4" s="36"/>
      <c r="G4" s="36"/>
      <c r="H4" s="36"/>
      <c r="I4" s="36"/>
      <c r="J4" s="37"/>
      <c r="K4" s="37"/>
      <c r="L4" s="37" t="s">
        <v>38</v>
      </c>
      <c r="M4" s="37"/>
      <c r="N4" s="7" t="str">
        <f t="shared" si="8"/>
        <v>#LIVEFZCFA</v>
      </c>
      <c r="O4" s="7">
        <f t="shared" si="0"/>
        <v>0</v>
      </c>
      <c r="P4" s="21">
        <f t="shared" si="9"/>
        <v>43227</v>
      </c>
      <c r="Q4" s="22">
        <f>VLOOKUP(R4,Referencias!$D$1:$E$13,2,0)</f>
        <v>5</v>
      </c>
      <c r="R4" s="7" t="str">
        <f t="shared" si="10"/>
        <v>MAI</v>
      </c>
      <c r="S4" s="7">
        <f t="shared" si="1"/>
        <v>0</v>
      </c>
      <c r="T4" s="11">
        <f t="shared" si="11"/>
        <v>7</v>
      </c>
      <c r="U4" s="11">
        <f t="shared" si="2"/>
        <v>0</v>
      </c>
      <c r="V4" s="11" t="e">
        <f>VLOOKUP(C4,Referencias!$A$2:$B$33,2,1)</f>
        <v>#N/A</v>
      </c>
      <c r="W4" s="23" t="str">
        <f t="shared" ref="W4:W67" si="17">IF(X4&gt;0,C5-C4,"")</f>
        <v/>
      </c>
      <c r="X4" s="11">
        <f t="shared" si="3"/>
        <v>0</v>
      </c>
      <c r="Y4" s="11">
        <f t="shared" si="12"/>
        <v>0</v>
      </c>
      <c r="Z4" s="24">
        <f t="shared" si="13"/>
        <v>0</v>
      </c>
      <c r="AA4" s="25">
        <f t="shared" si="14"/>
        <v>0</v>
      </c>
      <c r="AB4" s="24">
        <f t="shared" si="4"/>
        <v>0</v>
      </c>
      <c r="AC4" s="24">
        <f t="shared" si="5"/>
        <v>0</v>
      </c>
      <c r="AD4" s="24">
        <f t="shared" si="6"/>
        <v>0</v>
      </c>
      <c r="AE4" s="24">
        <f t="shared" si="7"/>
        <v>0</v>
      </c>
      <c r="AF4" s="119" t="str">
        <f>VLOOKUP(P4*1,Referencias!$G:$H,2,0)</f>
        <v>seg</v>
      </c>
      <c r="AH4" s="10" t="s">
        <v>21</v>
      </c>
      <c r="AI4" s="31">
        <f>SUM(X:X)</f>
        <v>1528.1799999999998</v>
      </c>
      <c r="AL4" s="109">
        <f>-(AK5-AL5)</f>
        <v>-341.19980257714963</v>
      </c>
      <c r="AN4" s="109">
        <f>-(AK5-AN5)</f>
        <v>-204.05429019095936</v>
      </c>
      <c r="AQ4" s="118">
        <v>43229</v>
      </c>
      <c r="AR4" s="11">
        <v>4</v>
      </c>
      <c r="AS4" s="28">
        <v>16.39</v>
      </c>
      <c r="AT4" s="29">
        <v>8.8194444444444436E-2</v>
      </c>
      <c r="AU4" s="30">
        <v>24.839999999999996</v>
      </c>
      <c r="AV4" s="30">
        <f t="shared" ref="AV4:AV27" si="18">86400*(AT4)/360/10</f>
        <v>2.1166666666666663</v>
      </c>
      <c r="AW4" s="30">
        <f t="shared" ref="AW4:AW27" si="19">AS4/AV4</f>
        <v>7.7433070866141751</v>
      </c>
      <c r="AX4" s="30">
        <f t="shared" si="16"/>
        <v>5.4935587011780047</v>
      </c>
      <c r="AZ4" s="35" t="s">
        <v>16</v>
      </c>
      <c r="BA4" s="29">
        <v>2.9166666666666664E-2</v>
      </c>
      <c r="BB4" s="30">
        <v>4.55</v>
      </c>
      <c r="BC4" s="30">
        <v>5.73</v>
      </c>
      <c r="BD4" s="31">
        <v>1</v>
      </c>
      <c r="BF4" s="32" t="s">
        <v>326</v>
      </c>
      <c r="BG4" s="29">
        <v>1.1291666666666669</v>
      </c>
      <c r="BH4" s="30">
        <v>197.12000000000003</v>
      </c>
      <c r="BI4" s="30">
        <v>275.7</v>
      </c>
      <c r="BJ4" s="31">
        <v>45</v>
      </c>
      <c r="BK4"/>
      <c r="BL4" s="33">
        <f t="shared" ref="BL4:BL17" si="20">BH4/GETPIVOTDATA("Euros",$BF$3)</f>
        <v>0.20051879355068408</v>
      </c>
      <c r="BM4" s="34">
        <f>BL4</f>
        <v>0.20051879355068408</v>
      </c>
      <c r="BN4" s="103">
        <f>GETPIVOTDATA("Euros",$BF$3,"Bloco de Horas","21 - 22")</f>
        <v>197.12000000000003</v>
      </c>
      <c r="BO4" s="103">
        <f>BN17-BH4</f>
        <v>785.93000000000006</v>
      </c>
      <c r="BP4" s="103"/>
      <c r="BQ4" s="112" t="s">
        <v>429</v>
      </c>
      <c r="BR4" s="127">
        <f>COUNTIF(Referencias!I2:I1000,"&gt;0")</f>
        <v>33</v>
      </c>
      <c r="BT4"/>
      <c r="BU4"/>
      <c r="BY4" s="10">
        <v>8</v>
      </c>
      <c r="BZ4" s="121" t="s">
        <v>317</v>
      </c>
      <c r="CA4" s="139">
        <v>6.0732239719730181</v>
      </c>
      <c r="CB4" s="139"/>
      <c r="CC4" s="139"/>
      <c r="CD4" s="139"/>
      <c r="CE4" s="139"/>
      <c r="CF4" s="139">
        <v>2.1750920805771758</v>
      </c>
      <c r="CG4" s="139"/>
      <c r="CH4" s="139">
        <v>8.2483160525501944</v>
      </c>
      <c r="CI4" s="11"/>
      <c r="CJ4" s="10">
        <v>8</v>
      </c>
      <c r="CK4" s="121" t="s">
        <v>317</v>
      </c>
      <c r="CL4" s="129">
        <v>7.3581704550487741</v>
      </c>
      <c r="CM4" s="129"/>
      <c r="CN4" s="129"/>
      <c r="CO4" s="129"/>
      <c r="CP4" s="129"/>
      <c r="CQ4" s="129">
        <v>2.6352886635126138</v>
      </c>
      <c r="CR4" s="129"/>
      <c r="CS4" s="129">
        <v>9.9934591185613879</v>
      </c>
      <c r="CT4"/>
      <c r="CU4"/>
      <c r="CV4"/>
      <c r="CW4"/>
      <c r="CX4" s="112"/>
      <c r="CY4" s="31"/>
      <c r="CZ4" s="31"/>
      <c r="DA4" s="31"/>
      <c r="DB4" s="31"/>
      <c r="DC4" s="31"/>
      <c r="DD4" s="31"/>
      <c r="DE4" s="31"/>
      <c r="DF4" s="31"/>
      <c r="DG4" s="31"/>
      <c r="DH4" s="31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</row>
    <row r="5" spans="1:205" ht="14.4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7" t="str">
        <f t="shared" si="8"/>
        <v>#LIVEFZCFA</v>
      </c>
      <c r="O5" s="7">
        <f t="shared" si="0"/>
        <v>0</v>
      </c>
      <c r="P5" s="21">
        <f t="shared" si="9"/>
        <v>43227</v>
      </c>
      <c r="Q5" s="22">
        <f>VLOOKUP(R5,Referencias!$D$1:$E$13,2,0)</f>
        <v>5</v>
      </c>
      <c r="R5" s="7" t="str">
        <f t="shared" si="10"/>
        <v>MAI</v>
      </c>
      <c r="S5" s="7">
        <f t="shared" si="1"/>
        <v>0</v>
      </c>
      <c r="T5" s="11">
        <f t="shared" si="11"/>
        <v>7</v>
      </c>
      <c r="U5" s="11">
        <f t="shared" si="2"/>
        <v>0</v>
      </c>
      <c r="V5" s="11" t="e">
        <f>VLOOKUP(C5,Referencias!$A$2:$B$33,2,1)</f>
        <v>#N/A</v>
      </c>
      <c r="W5" s="23" t="str">
        <f t="shared" si="17"/>
        <v/>
      </c>
      <c r="X5" s="11">
        <f t="shared" si="3"/>
        <v>0</v>
      </c>
      <c r="Y5" s="11">
        <f t="shared" si="12"/>
        <v>0</v>
      </c>
      <c r="Z5" s="24">
        <f t="shared" si="13"/>
        <v>0</v>
      </c>
      <c r="AA5" s="25">
        <f t="shared" si="14"/>
        <v>0</v>
      </c>
      <c r="AB5" s="24">
        <f t="shared" si="4"/>
        <v>0</v>
      </c>
      <c r="AC5" s="24">
        <f t="shared" si="5"/>
        <v>0</v>
      </c>
      <c r="AD5" s="24">
        <f t="shared" si="6"/>
        <v>0</v>
      </c>
      <c r="AE5" s="24">
        <f t="shared" si="7"/>
        <v>0</v>
      </c>
      <c r="AF5" s="119" t="str">
        <f>VLOOKUP(P5*1,Referencias!$G:$H,2,0)</f>
        <v>seg</v>
      </c>
      <c r="AH5" s="10" t="s">
        <v>22</v>
      </c>
      <c r="AI5" s="31">
        <f>SUM(Y:Y)</f>
        <v>2698.6639528498727</v>
      </c>
      <c r="AJ5" s="103">
        <f>AL5/AI5</f>
        <v>0.24019670798148868</v>
      </c>
      <c r="AK5" s="103">
        <f>AI6</f>
        <v>989.41000000000042</v>
      </c>
      <c r="AL5" s="110">
        <f>AI6*AL14</f>
        <v>648.2101974228508</v>
      </c>
      <c r="AN5" s="110">
        <f>AI6*AN14</f>
        <v>785.35570980904106</v>
      </c>
      <c r="AO5" s="110">
        <f>AN5-AL5</f>
        <v>137.14551238619026</v>
      </c>
      <c r="AQ5" s="118">
        <v>43230</v>
      </c>
      <c r="AR5" s="11">
        <v>4</v>
      </c>
      <c r="AS5" s="28">
        <v>13.43</v>
      </c>
      <c r="AT5" s="29">
        <v>0.11944444444444444</v>
      </c>
      <c r="AU5" s="30">
        <v>18.37</v>
      </c>
      <c r="AV5" s="30">
        <f t="shared" si="18"/>
        <v>2.8666666666666667</v>
      </c>
      <c r="AW5" s="30">
        <f t="shared" si="19"/>
        <v>4.6848837209302321</v>
      </c>
      <c r="AX5" s="30">
        <f t="shared" si="16"/>
        <v>3.3237327980462466</v>
      </c>
      <c r="AZ5" s="118">
        <v>43228</v>
      </c>
      <c r="BA5" s="29">
        <v>0.13125000000000001</v>
      </c>
      <c r="BB5" s="30">
        <v>25.729999999999997</v>
      </c>
      <c r="BC5" s="30">
        <v>46.11</v>
      </c>
      <c r="BD5" s="31">
        <v>6</v>
      </c>
      <c r="BF5" s="32" t="s">
        <v>325</v>
      </c>
      <c r="BG5" s="29">
        <v>1.2152777777777779</v>
      </c>
      <c r="BH5" s="30">
        <v>191.76000000000005</v>
      </c>
      <c r="BI5" s="30">
        <v>282.32000000000005</v>
      </c>
      <c r="BJ5" s="31">
        <v>44</v>
      </c>
      <c r="BK5"/>
      <c r="BL5" s="33">
        <f t="shared" si="20"/>
        <v>0.19506637505721988</v>
      </c>
      <c r="BM5" s="34">
        <f>BM4+BL5</f>
        <v>0.39558516860790394</v>
      </c>
      <c r="BN5" s="103">
        <f>BN4+BH5</f>
        <v>388.88000000000011</v>
      </c>
      <c r="BO5" s="103">
        <f t="shared" ref="BO5:BO12" si="21">BO4-BH5</f>
        <v>594.17000000000007</v>
      </c>
      <c r="BP5" s="103"/>
      <c r="BQ5" s="112" t="s">
        <v>430</v>
      </c>
      <c r="BR5" s="127">
        <f>BR3-BR4</f>
        <v>2</v>
      </c>
      <c r="BT5"/>
      <c r="BU5"/>
      <c r="BY5" s="10">
        <v>9</v>
      </c>
      <c r="BZ5" s="121" t="s">
        <v>318</v>
      </c>
      <c r="CA5" s="141">
        <v>13.351920663302064</v>
      </c>
      <c r="CB5" s="139"/>
      <c r="CC5" s="139"/>
      <c r="CD5" s="139">
        <v>3.8391685518621244</v>
      </c>
      <c r="CE5" s="139"/>
      <c r="CF5" s="139"/>
      <c r="CG5" s="139">
        <v>3.7998596588396447</v>
      </c>
      <c r="CH5" s="139">
        <v>20.990948874003831</v>
      </c>
      <c r="CI5" s="11"/>
      <c r="CJ5" s="10">
        <v>9</v>
      </c>
      <c r="CK5" s="121" t="s">
        <v>318</v>
      </c>
      <c r="CL5" s="133">
        <v>16.176862338068393</v>
      </c>
      <c r="CM5" s="129"/>
      <c r="CN5" s="129"/>
      <c r="CO5" s="129">
        <v>4.6514432434288908</v>
      </c>
      <c r="CP5" s="129"/>
      <c r="CQ5" s="129"/>
      <c r="CR5" s="129">
        <v>4.6038175446907106</v>
      </c>
      <c r="CS5" s="129">
        <v>25.432123126187992</v>
      </c>
      <c r="CT5"/>
      <c r="CU5"/>
      <c r="CV5"/>
      <c r="CW5"/>
      <c r="CX5" s="1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</row>
    <row r="6" spans="1:205" ht="14.4" x14ac:dyDescent="0.3">
      <c r="A6" s="16"/>
      <c r="B6" s="17" t="s">
        <v>23</v>
      </c>
      <c r="C6" s="18">
        <v>0.85902777777777783</v>
      </c>
      <c r="D6" s="7">
        <v>5.61</v>
      </c>
      <c r="E6" s="7" t="s">
        <v>24</v>
      </c>
      <c r="F6" s="19">
        <v>1.08</v>
      </c>
      <c r="G6" s="19">
        <v>4.6900000000000004</v>
      </c>
      <c r="H6" s="20">
        <v>9.24</v>
      </c>
      <c r="I6" s="7"/>
      <c r="J6" s="7"/>
      <c r="K6" s="7"/>
      <c r="L6" s="7"/>
      <c r="M6" s="7"/>
      <c r="N6" s="7" t="str">
        <f t="shared" si="8"/>
        <v>#LIVB495VL</v>
      </c>
      <c r="O6" s="7" t="str">
        <f t="shared" si="0"/>
        <v>#LIVB495VL</v>
      </c>
      <c r="P6" s="21">
        <f t="shared" si="9"/>
        <v>43227</v>
      </c>
      <c r="Q6" s="22">
        <f>VLOOKUP(R6,Referencias!$D$1:$E$13,2,0)</f>
        <v>5</v>
      </c>
      <c r="R6" s="7" t="str">
        <f t="shared" si="10"/>
        <v>MAI</v>
      </c>
      <c r="S6" s="7">
        <f t="shared" si="1"/>
        <v>0</v>
      </c>
      <c r="T6" s="11">
        <f t="shared" si="11"/>
        <v>7</v>
      </c>
      <c r="U6" s="11">
        <f t="shared" si="2"/>
        <v>0</v>
      </c>
      <c r="V6" s="11" t="str">
        <f>VLOOKUP(C6,Referencias!$A$2:$B$33,2,1)</f>
        <v>20 - 21</v>
      </c>
      <c r="W6" s="23">
        <f t="shared" si="17"/>
        <v>4.7916666666666607E-2</v>
      </c>
      <c r="X6" s="11">
        <f t="shared" si="3"/>
        <v>5.61</v>
      </c>
      <c r="Y6" s="11">
        <f t="shared" si="12"/>
        <v>9.9068858220155942</v>
      </c>
      <c r="Z6" s="24">
        <f t="shared" si="13"/>
        <v>4.6900000000000004</v>
      </c>
      <c r="AA6" s="25">
        <f t="shared" si="14"/>
        <v>4.0782608695652236</v>
      </c>
      <c r="AB6" s="24">
        <f t="shared" si="4"/>
        <v>1</v>
      </c>
      <c r="AC6" s="24">
        <f t="shared" si="5"/>
        <v>3.0726451379237822</v>
      </c>
      <c r="AD6" s="24">
        <f t="shared" si="6"/>
        <v>3.7227421180343856</v>
      </c>
      <c r="AE6" s="24">
        <f t="shared" si="7"/>
        <v>4.413883425475789</v>
      </c>
      <c r="AF6" s="119" t="str">
        <f>VLOOKUP(P6*1,Referencias!$G:$H,2,0)</f>
        <v>seg</v>
      </c>
      <c r="AH6" s="10" t="s">
        <v>13</v>
      </c>
      <c r="AI6" s="111">
        <f>SUM(Z:Z)</f>
        <v>989.41000000000042</v>
      </c>
      <c r="AJ6" s="103">
        <f>-AL4/AI5</f>
        <v>0.1264328603110558</v>
      </c>
      <c r="AK6" s="105" t="s">
        <v>352</v>
      </c>
      <c r="AL6" s="105" t="s">
        <v>314</v>
      </c>
      <c r="AM6" s="105"/>
      <c r="AN6" s="105" t="s">
        <v>355</v>
      </c>
      <c r="AO6" s="105"/>
      <c r="AP6" s="38"/>
      <c r="AQ6" s="118">
        <v>43231</v>
      </c>
      <c r="AR6" s="11">
        <v>6</v>
      </c>
      <c r="AS6" s="28">
        <v>21.46</v>
      </c>
      <c r="AT6" s="29">
        <v>0.14166666666666666</v>
      </c>
      <c r="AU6" s="30">
        <v>31.449999999999996</v>
      </c>
      <c r="AV6" s="30">
        <f t="shared" si="18"/>
        <v>3.4</v>
      </c>
      <c r="AW6" s="30">
        <f t="shared" si="19"/>
        <v>6.3117647058823536</v>
      </c>
      <c r="AX6" s="30">
        <f t="shared" si="16"/>
        <v>4.4779381124802775</v>
      </c>
      <c r="AZ6" s="35" t="s">
        <v>38</v>
      </c>
      <c r="BA6" s="29">
        <v>1.9444444444444445E-2</v>
      </c>
      <c r="BB6" s="30">
        <v>2.4500000000000002</v>
      </c>
      <c r="BC6" s="30">
        <v>2.73</v>
      </c>
      <c r="BD6" s="31">
        <v>1</v>
      </c>
      <c r="BF6" s="32" t="s">
        <v>324</v>
      </c>
      <c r="BG6" s="29">
        <v>0.83819444444444446</v>
      </c>
      <c r="BH6" s="30">
        <v>116.47000000000003</v>
      </c>
      <c r="BI6" s="30">
        <v>184.59</v>
      </c>
      <c r="BJ6" s="31">
        <v>31</v>
      </c>
      <c r="BK6"/>
      <c r="BL6" s="33">
        <f t="shared" si="20"/>
        <v>0.11847820558465999</v>
      </c>
      <c r="BM6" s="34">
        <f>BM5+BL6</f>
        <v>0.51406337419256398</v>
      </c>
      <c r="BN6" s="103">
        <f t="shared" ref="BN6:BN17" si="22">BN5+BH6</f>
        <v>505.35000000000014</v>
      </c>
      <c r="BO6" s="103">
        <f t="shared" si="21"/>
        <v>477.70000000000005</v>
      </c>
      <c r="BP6" s="103"/>
      <c r="BQ6" s="103"/>
      <c r="BR6"/>
      <c r="BS6"/>
      <c r="BT6"/>
      <c r="BU6"/>
      <c r="BY6" s="10">
        <v>10</v>
      </c>
      <c r="BZ6" s="128" t="s">
        <v>398</v>
      </c>
      <c r="CA6" s="141">
        <v>12.159550908286864</v>
      </c>
      <c r="CB6" s="141">
        <v>2.7581739937439491</v>
      </c>
      <c r="CC6" s="141">
        <v>10.338238864912</v>
      </c>
      <c r="CD6" s="141">
        <v>10.004113274220927</v>
      </c>
      <c r="CE6" s="141">
        <v>7.1607700122616071</v>
      </c>
      <c r="CF6" s="141">
        <v>9.4996491470991113</v>
      </c>
      <c r="CG6" s="141">
        <v>8.7527801796720084</v>
      </c>
      <c r="CH6" s="139">
        <v>60.673276380196469</v>
      </c>
      <c r="CI6" s="11"/>
      <c r="CJ6" s="10">
        <v>10</v>
      </c>
      <c r="CK6" s="128" t="s">
        <v>398</v>
      </c>
      <c r="CL6" s="133">
        <v>14.732216143010277</v>
      </c>
      <c r="CM6" s="133">
        <v>3.3417365281289468</v>
      </c>
      <c r="CN6" s="133">
        <v>12.525558768141281</v>
      </c>
      <c r="CO6" s="133">
        <v>12.12074032886675</v>
      </c>
      <c r="CP6" s="133">
        <v>8.6758147868050806</v>
      </c>
      <c r="CQ6" s="133">
        <v>11.509543861726778</v>
      </c>
      <c r="CR6" s="133">
        <v>10.604655585701362</v>
      </c>
      <c r="CS6" s="129">
        <v>73.510266002380476</v>
      </c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</row>
    <row r="7" spans="1:205" ht="14.4" x14ac:dyDescent="0.3">
      <c r="A7" s="16"/>
      <c r="B7" s="17"/>
      <c r="C7" s="18">
        <v>0.90694444444444444</v>
      </c>
      <c r="D7" s="7"/>
      <c r="E7" s="7"/>
      <c r="F7" s="7" t="s">
        <v>26</v>
      </c>
      <c r="G7" s="19"/>
      <c r="H7" s="20"/>
      <c r="I7" s="7"/>
      <c r="J7" s="7"/>
      <c r="K7" s="7"/>
      <c r="L7" s="7"/>
      <c r="M7" s="7"/>
      <c r="N7" s="7" t="str">
        <f t="shared" si="8"/>
        <v>#LIVB495VL</v>
      </c>
      <c r="O7" s="7">
        <f t="shared" si="0"/>
        <v>0</v>
      </c>
      <c r="P7" s="21">
        <f t="shared" si="9"/>
        <v>43227</v>
      </c>
      <c r="Q7" s="22">
        <f>VLOOKUP(R7,Referencias!$D$1:$E$13,2,0)</f>
        <v>5</v>
      </c>
      <c r="R7" s="7" t="str">
        <f t="shared" si="10"/>
        <v>MAI</v>
      </c>
      <c r="S7" s="7">
        <f t="shared" si="1"/>
        <v>0</v>
      </c>
      <c r="T7" s="11">
        <f t="shared" si="11"/>
        <v>7</v>
      </c>
      <c r="U7" s="11">
        <f t="shared" si="2"/>
        <v>0</v>
      </c>
      <c r="V7" s="11" t="str">
        <f>VLOOKUP(C7,Referencias!$A$2:$B$33,2,1)</f>
        <v>21 - 22</v>
      </c>
      <c r="W7" s="23" t="str">
        <f t="shared" si="17"/>
        <v/>
      </c>
      <c r="X7" s="11">
        <f t="shared" si="3"/>
        <v>0</v>
      </c>
      <c r="Y7" s="11">
        <f t="shared" si="12"/>
        <v>0</v>
      </c>
      <c r="Z7" s="24">
        <f t="shared" si="13"/>
        <v>0</v>
      </c>
      <c r="AA7" s="25">
        <f t="shared" si="14"/>
        <v>0</v>
      </c>
      <c r="AB7" s="24">
        <f t="shared" si="4"/>
        <v>0</v>
      </c>
      <c r="AC7" s="24">
        <f t="shared" si="5"/>
        <v>0</v>
      </c>
      <c r="AD7" s="24">
        <f t="shared" si="6"/>
        <v>0</v>
      </c>
      <c r="AE7" s="24">
        <f t="shared" si="7"/>
        <v>0</v>
      </c>
      <c r="AF7" s="119" t="str">
        <f>VLOOKUP(P7*1,Referencias!$G:$H,2,0)</f>
        <v>seg</v>
      </c>
      <c r="AG7" s="103"/>
      <c r="AH7" s="10" t="s">
        <v>25</v>
      </c>
      <c r="AI7" s="11">
        <f>COUNTIF(U:U,"&gt;0")</f>
        <v>33</v>
      </c>
      <c r="AK7" s="104" t="s">
        <v>312</v>
      </c>
      <c r="AL7" s="106">
        <v>1</v>
      </c>
      <c r="AM7" s="107">
        <f>AI9</f>
        <v>29.982121212121225</v>
      </c>
      <c r="AN7" s="106">
        <f>AL7</f>
        <v>1</v>
      </c>
      <c r="AO7" s="107">
        <f>AM7</f>
        <v>29.982121212121225</v>
      </c>
      <c r="AQ7" s="118">
        <v>43232</v>
      </c>
      <c r="AR7" s="11">
        <v>9</v>
      </c>
      <c r="AS7" s="28">
        <v>40.46</v>
      </c>
      <c r="AT7" s="29">
        <v>0.2472222222222222</v>
      </c>
      <c r="AU7" s="30">
        <v>64.650000000000006</v>
      </c>
      <c r="AV7" s="30">
        <f t="shared" si="18"/>
        <v>5.9333333333333336</v>
      </c>
      <c r="AW7" s="30">
        <f t="shared" si="19"/>
        <v>6.8191011235955052</v>
      </c>
      <c r="AX7" s="30">
        <f t="shared" si="16"/>
        <v>4.8378724868731746</v>
      </c>
      <c r="AZ7" s="35" t="s">
        <v>35</v>
      </c>
      <c r="BA7" s="29">
        <v>2.2222222222222223E-2</v>
      </c>
      <c r="BB7" s="30">
        <v>3.98</v>
      </c>
      <c r="BC7" s="30">
        <v>7.11</v>
      </c>
      <c r="BD7" s="31">
        <v>1</v>
      </c>
      <c r="BF7" s="32" t="s">
        <v>316</v>
      </c>
      <c r="BG7" s="29">
        <v>0.66805555555555562</v>
      </c>
      <c r="BH7" s="30">
        <v>114.67</v>
      </c>
      <c r="BI7" s="30">
        <v>182.54</v>
      </c>
      <c r="BJ7" s="31">
        <v>28</v>
      </c>
      <c r="BK7"/>
      <c r="BL7" s="33">
        <f t="shared" si="20"/>
        <v>0.11664716952342198</v>
      </c>
      <c r="BM7" s="34">
        <f>BM6+BL7</f>
        <v>0.63071054371598601</v>
      </c>
      <c r="BN7" s="103">
        <f t="shared" si="22"/>
        <v>620.0200000000001</v>
      </c>
      <c r="BO7" s="103">
        <f t="shared" si="21"/>
        <v>363.03000000000003</v>
      </c>
      <c r="BP7" s="103"/>
      <c r="BQ7" s="112"/>
      <c r="BR7" s="112"/>
      <c r="BS7" s="11">
        <v>3</v>
      </c>
      <c r="BT7" s="11">
        <v>4</v>
      </c>
      <c r="BU7" s="11">
        <v>6</v>
      </c>
      <c r="BV7" s="11">
        <v>7</v>
      </c>
      <c r="BW7" s="11">
        <v>1</v>
      </c>
      <c r="BY7" s="10">
        <v>11</v>
      </c>
      <c r="BZ7" s="121" t="s">
        <v>316</v>
      </c>
      <c r="CA7" s="141">
        <v>22.510892737539692</v>
      </c>
      <c r="CB7" s="141">
        <v>10.423408133127372</v>
      </c>
      <c r="CC7" s="141">
        <v>9.8599806664718361</v>
      </c>
      <c r="CD7" s="141">
        <v>6.4007980804936775</v>
      </c>
      <c r="CE7" s="141">
        <v>8.56933867890044</v>
      </c>
      <c r="CF7" s="141">
        <v>6.2763199192558279</v>
      </c>
      <c r="CG7" s="141">
        <v>11.085107832339103</v>
      </c>
      <c r="CH7" s="139">
        <v>75.125846048127954</v>
      </c>
      <c r="CI7" s="11"/>
      <c r="CJ7" s="10">
        <v>11</v>
      </c>
      <c r="CK7" s="121" t="s">
        <v>316</v>
      </c>
      <c r="CL7" s="133">
        <v>27.273650144064277</v>
      </c>
      <c r="CM7" s="133">
        <v>12.628747782074001</v>
      </c>
      <c r="CN7" s="133">
        <v>11.946112766826758</v>
      </c>
      <c r="CO7" s="133">
        <v>7.7550512778669383</v>
      </c>
      <c r="CP7" s="133">
        <v>10.38240232492319</v>
      </c>
      <c r="CQ7" s="133">
        <v>7.6042365651960369</v>
      </c>
      <c r="CR7" s="133">
        <v>13.430447044166694</v>
      </c>
      <c r="CS7" s="129">
        <v>91.020647905117897</v>
      </c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</row>
    <row r="8" spans="1:205" ht="15" thickBot="1" x14ac:dyDescent="0.35">
      <c r="A8" s="40"/>
      <c r="B8" s="40"/>
      <c r="C8" s="40"/>
      <c r="D8" s="40"/>
      <c r="E8" s="40"/>
      <c r="F8" s="40"/>
      <c r="G8" s="40"/>
      <c r="H8" s="40"/>
      <c r="I8" s="40"/>
      <c r="J8" s="41"/>
      <c r="K8" s="41"/>
      <c r="L8" s="41"/>
      <c r="M8" s="41"/>
      <c r="N8" s="7" t="str">
        <f t="shared" si="8"/>
        <v>#LIVB495VL</v>
      </c>
      <c r="O8" s="7">
        <f t="shared" si="0"/>
        <v>0</v>
      </c>
      <c r="P8" s="21">
        <f t="shared" si="9"/>
        <v>43227</v>
      </c>
      <c r="Q8" s="22">
        <f>VLOOKUP(R8,Referencias!$D$1:$E$13,2,0)</f>
        <v>5</v>
      </c>
      <c r="R8" s="7" t="str">
        <f t="shared" si="10"/>
        <v>MAI</v>
      </c>
      <c r="S8" s="7">
        <f t="shared" si="1"/>
        <v>0</v>
      </c>
      <c r="T8" s="11">
        <f t="shared" si="11"/>
        <v>7</v>
      </c>
      <c r="U8" s="11">
        <f t="shared" si="2"/>
        <v>0</v>
      </c>
      <c r="V8" s="11" t="e">
        <f>VLOOKUP(C8,Referencias!$A$2:$B$33,2,1)</f>
        <v>#N/A</v>
      </c>
      <c r="W8" s="23" t="str">
        <f t="shared" si="17"/>
        <v/>
      </c>
      <c r="X8" s="11">
        <f t="shared" si="3"/>
        <v>0</v>
      </c>
      <c r="Y8" s="11">
        <f t="shared" si="12"/>
        <v>0</v>
      </c>
      <c r="Z8" s="24">
        <f t="shared" si="13"/>
        <v>0</v>
      </c>
      <c r="AA8" s="25">
        <f t="shared" si="14"/>
        <v>0</v>
      </c>
      <c r="AB8" s="24">
        <f t="shared" si="4"/>
        <v>0</v>
      </c>
      <c r="AC8" s="24">
        <f t="shared" si="5"/>
        <v>0</v>
      </c>
      <c r="AD8" s="24">
        <f t="shared" si="6"/>
        <v>0</v>
      </c>
      <c r="AE8" s="24">
        <f t="shared" si="7"/>
        <v>0</v>
      </c>
      <c r="AF8" s="119" t="str">
        <f>VLOOKUP(P8*1,Referencias!$G:$H,2,0)</f>
        <v>seg</v>
      </c>
      <c r="AH8" s="10" t="s">
        <v>27</v>
      </c>
      <c r="AI8" s="39">
        <f>86400*(AI2/AI7)/360/10</f>
        <v>4.7308080808080826</v>
      </c>
      <c r="AJ8" s="116">
        <f>BV21/AI7</f>
        <v>5.4545454545454541</v>
      </c>
      <c r="AK8" s="104" t="s">
        <v>308</v>
      </c>
      <c r="AL8" s="108">
        <f t="shared" ref="AL8:AL13" si="23">AM8/$AM$7</f>
        <v>-0.28453806063931991</v>
      </c>
      <c r="AM8" s="107">
        <f>-AI20</f>
        <v>-8.5310546235499896</v>
      </c>
      <c r="AN8" s="108">
        <f t="shared" ref="AN8:AN13" si="24">AO8/$AO$7</f>
        <v>-0.10182427593982875</v>
      </c>
      <c r="AO8" s="107">
        <f>-AK20</f>
        <v>-3.0529077835644243</v>
      </c>
      <c r="AQ8" s="118">
        <v>43233</v>
      </c>
      <c r="AR8" s="11">
        <v>8</v>
      </c>
      <c r="AS8" s="28">
        <v>31.060000000000002</v>
      </c>
      <c r="AT8" s="29">
        <v>0.18888888888888888</v>
      </c>
      <c r="AU8" s="30">
        <v>50.58</v>
      </c>
      <c r="AV8" s="30">
        <f t="shared" si="18"/>
        <v>4.5333333333333332</v>
      </c>
      <c r="AW8" s="30">
        <f t="shared" si="19"/>
        <v>6.8514705882352951</v>
      </c>
      <c r="AX8" s="30">
        <f t="shared" si="16"/>
        <v>4.8608372940460418</v>
      </c>
      <c r="AZ8" s="35" t="s">
        <v>34</v>
      </c>
      <c r="BA8" s="29">
        <v>3.4027777777777775E-2</v>
      </c>
      <c r="BB8" s="30">
        <v>5.01</v>
      </c>
      <c r="BC8" s="30">
        <v>10.029999999999999</v>
      </c>
      <c r="BD8" s="31">
        <v>1</v>
      </c>
      <c r="BF8" s="32" t="s">
        <v>327</v>
      </c>
      <c r="BG8" s="29">
        <v>0.56319444444444455</v>
      </c>
      <c r="BH8" s="30">
        <v>100.69</v>
      </c>
      <c r="BI8" s="30">
        <v>174.36999999999998</v>
      </c>
      <c r="BJ8" s="31">
        <v>24</v>
      </c>
      <c r="BK8"/>
      <c r="BL8" s="33">
        <f t="shared" si="20"/>
        <v>0.10242612278114031</v>
      </c>
      <c r="BM8" s="34">
        <f>BM7+BL8</f>
        <v>0.73313666649712628</v>
      </c>
      <c r="BN8" s="103">
        <f t="shared" si="22"/>
        <v>720.71</v>
      </c>
      <c r="BO8" s="103">
        <f t="shared" si="21"/>
        <v>262.34000000000003</v>
      </c>
      <c r="BP8" s="103"/>
      <c r="BQ8" s="112"/>
      <c r="BR8" s="135" t="s">
        <v>431</v>
      </c>
      <c r="BS8" s="136" t="str">
        <f>HLOOKUP(BS7,$CA$1:$CG$3,3,0)</f>
        <v>ter</v>
      </c>
      <c r="BT8" s="136" t="str">
        <f t="shared" ref="BT8:BW8" si="25">HLOOKUP(BT7,$CA$1:$CG$3,3,0)</f>
        <v>qua</v>
      </c>
      <c r="BU8" s="136" t="str">
        <f t="shared" si="25"/>
        <v>sex</v>
      </c>
      <c r="BV8" s="136" t="str">
        <f t="shared" si="25"/>
        <v>sáb</v>
      </c>
      <c r="BW8" s="136" t="str">
        <f t="shared" si="25"/>
        <v>dom</v>
      </c>
      <c r="BY8" s="10">
        <v>12</v>
      </c>
      <c r="BZ8" s="121" t="s">
        <v>319</v>
      </c>
      <c r="CA8" s="139">
        <v>12.251271658672648</v>
      </c>
      <c r="CB8" s="139">
        <v>1.7557972216707325</v>
      </c>
      <c r="CC8" s="139">
        <v>1.880275382908583</v>
      </c>
      <c r="CD8" s="139">
        <v>2.2209524557700684</v>
      </c>
      <c r="CE8" s="141">
        <v>5.3853183440796348</v>
      </c>
      <c r="CF8" s="139">
        <v>4.5074197332442694</v>
      </c>
      <c r="CG8" s="141">
        <v>4.8480968061057537</v>
      </c>
      <c r="CH8" s="139">
        <v>32.849131602451692</v>
      </c>
      <c r="CI8" s="11"/>
      <c r="CJ8" s="10">
        <v>12</v>
      </c>
      <c r="CK8" s="121" t="s">
        <v>319</v>
      </c>
      <c r="CL8" s="129">
        <v>14.84334277339936</v>
      </c>
      <c r="CM8" s="129">
        <v>2.1272812103053629</v>
      </c>
      <c r="CN8" s="129">
        <v>2.2780959229762656</v>
      </c>
      <c r="CO8" s="129">
        <v>2.690851978707157</v>
      </c>
      <c r="CP8" s="133">
        <v>6.524720727130628</v>
      </c>
      <c r="CQ8" s="129">
        <v>5.4610801219779468</v>
      </c>
      <c r="CR8" s="133">
        <v>5.8738361777088368</v>
      </c>
      <c r="CS8" s="129">
        <v>39.799208912205557</v>
      </c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</row>
    <row r="9" spans="1:205" ht="15" thickBot="1" x14ac:dyDescent="0.35">
      <c r="A9" s="16">
        <v>8</v>
      </c>
      <c r="B9" s="45" t="s">
        <v>28</v>
      </c>
      <c r="C9" s="18">
        <v>0.80555555555555547</v>
      </c>
      <c r="D9" s="46">
        <v>10.65</v>
      </c>
      <c r="E9" s="46" t="s">
        <v>29</v>
      </c>
      <c r="F9" s="46"/>
      <c r="G9" s="47">
        <v>5.22</v>
      </c>
      <c r="H9" s="48">
        <v>14.46</v>
      </c>
      <c r="I9" s="46"/>
      <c r="J9" s="7"/>
      <c r="K9" s="7"/>
      <c r="L9" s="7"/>
      <c r="M9" s="7"/>
      <c r="N9" s="7" t="str">
        <f t="shared" si="8"/>
        <v>#LIZXTQ1UU</v>
      </c>
      <c r="O9" s="7" t="str">
        <f t="shared" si="0"/>
        <v>#LIZXTQ1UU</v>
      </c>
      <c r="P9" s="21">
        <f t="shared" si="9"/>
        <v>43228</v>
      </c>
      <c r="Q9" s="22">
        <f>VLOOKUP(R9,Referencias!$D$1:$E$13,2,0)</f>
        <v>5</v>
      </c>
      <c r="R9" s="7" t="str">
        <f t="shared" si="10"/>
        <v>MAI</v>
      </c>
      <c r="S9" s="7" t="str">
        <f t="shared" si="1"/>
        <v>MAI</v>
      </c>
      <c r="T9" s="11">
        <f t="shared" si="11"/>
        <v>8</v>
      </c>
      <c r="U9" s="11">
        <f t="shared" si="2"/>
        <v>8</v>
      </c>
      <c r="V9" s="11" t="str">
        <f>VLOOKUP(C9,Referencias!$A$2:$B$33,2,1)</f>
        <v>19 - 20</v>
      </c>
      <c r="W9" s="23">
        <f t="shared" si="17"/>
        <v>8.3333333333334147E-3</v>
      </c>
      <c r="X9" s="11">
        <f t="shared" si="3"/>
        <v>10.65</v>
      </c>
      <c r="Y9" s="11">
        <f t="shared" si="12"/>
        <v>18.807189662115167</v>
      </c>
      <c r="Z9" s="24">
        <f t="shared" si="13"/>
        <v>5.22</v>
      </c>
      <c r="AA9" s="25">
        <f t="shared" si="14"/>
        <v>26.099999999999742</v>
      </c>
      <c r="AB9" s="24">
        <f t="shared" si="4"/>
        <v>1</v>
      </c>
      <c r="AC9" s="24">
        <f t="shared" si="5"/>
        <v>3.4198736929556803</v>
      </c>
      <c r="AD9" s="24">
        <f t="shared" si="6"/>
        <v>4.1434357902216394</v>
      </c>
      <c r="AE9" s="24">
        <f t="shared" si="7"/>
        <v>4.9126804863504505</v>
      </c>
      <c r="AF9" s="119" t="str">
        <f>VLOOKUP(P9*1,Referencias!$G:$H,2,0)</f>
        <v>ter</v>
      </c>
      <c r="AH9" s="42" t="s">
        <v>239</v>
      </c>
      <c r="AI9" s="43">
        <f>AI6/AI7</f>
        <v>29.982121212121225</v>
      </c>
      <c r="AJ9" s="25"/>
      <c r="AK9" s="104" t="s">
        <v>309</v>
      </c>
      <c r="AL9" s="108">
        <f t="shared" si="23"/>
        <v>-5.0029815748779558E-2</v>
      </c>
      <c r="AM9" s="104">
        <v>-1.5</v>
      </c>
      <c r="AN9" s="108">
        <f t="shared" si="24"/>
        <v>-1.6676605249593184E-2</v>
      </c>
      <c r="AO9" s="107">
        <f>-AK23</f>
        <v>-0.5</v>
      </c>
      <c r="AQ9" s="118">
        <v>43234</v>
      </c>
      <c r="AR9" s="11">
        <v>7</v>
      </c>
      <c r="AS9" s="28">
        <v>17.68</v>
      </c>
      <c r="AT9" s="29">
        <v>0.13472222222222224</v>
      </c>
      <c r="AU9" s="30">
        <v>20.409999999999997</v>
      </c>
      <c r="AV9" s="30">
        <f t="shared" si="18"/>
        <v>3.2333333333333334</v>
      </c>
      <c r="AW9" s="30">
        <f t="shared" si="19"/>
        <v>5.4680412371134022</v>
      </c>
      <c r="AX9" s="30">
        <f t="shared" si="16"/>
        <v>3.8793509259722869</v>
      </c>
      <c r="AZ9" s="35" t="s">
        <v>39</v>
      </c>
      <c r="BA9" s="29">
        <v>3.2638888888888891E-2</v>
      </c>
      <c r="BB9" s="30">
        <v>6.2399999999999993</v>
      </c>
      <c r="BC9" s="30">
        <v>11.78</v>
      </c>
      <c r="BD9" s="31">
        <v>1</v>
      </c>
      <c r="BF9" s="122" t="s">
        <v>398</v>
      </c>
      <c r="BG9" s="29">
        <v>0.74930555555555578</v>
      </c>
      <c r="BH9" s="30">
        <v>92.610000000000028</v>
      </c>
      <c r="BI9" s="30">
        <v>143.30999999999997</v>
      </c>
      <c r="BJ9" s="31">
        <v>25</v>
      </c>
      <c r="BK9"/>
      <c r="BL9" s="33">
        <f t="shared" si="20"/>
        <v>9.4206805350694284E-2</v>
      </c>
      <c r="BM9" s="34">
        <f>BM8+BL9</f>
        <v>0.82734347184782053</v>
      </c>
      <c r="BN9" s="103">
        <f t="shared" si="22"/>
        <v>813.32</v>
      </c>
      <c r="BO9" s="103">
        <f t="shared" si="21"/>
        <v>169.73000000000002</v>
      </c>
      <c r="BP9" s="103"/>
      <c r="BQ9" s="112"/>
      <c r="BR9" s="137" t="s">
        <v>242</v>
      </c>
      <c r="BS9" s="11"/>
      <c r="BT9" s="11"/>
      <c r="BU9" s="11"/>
      <c r="BY9" s="10">
        <v>13</v>
      </c>
      <c r="BZ9" s="121" t="s">
        <v>320</v>
      </c>
      <c r="CA9" s="139">
        <v>9.2375898602825846</v>
      </c>
      <c r="CB9" s="139"/>
      <c r="CC9" s="139"/>
      <c r="CD9" s="139"/>
      <c r="CE9" s="139">
        <v>0</v>
      </c>
      <c r="CF9" s="139">
        <v>0</v>
      </c>
      <c r="CG9" s="139">
        <v>0</v>
      </c>
      <c r="CH9" s="139">
        <v>9.2375898602825846</v>
      </c>
      <c r="CI9" s="11"/>
      <c r="CJ9" s="10">
        <v>13</v>
      </c>
      <c r="CK9" s="121" t="s">
        <v>320</v>
      </c>
      <c r="CL9" s="129">
        <v>11.192039203472245</v>
      </c>
      <c r="CM9" s="129"/>
      <c r="CN9" s="129"/>
      <c r="CO9" s="129"/>
      <c r="CP9" s="129">
        <v>0</v>
      </c>
      <c r="CQ9" s="129">
        <v>0</v>
      </c>
      <c r="CR9" s="129">
        <v>0</v>
      </c>
      <c r="CS9" s="129">
        <v>11.192039203472245</v>
      </c>
    </row>
    <row r="10" spans="1:205" ht="15" thickBot="1" x14ac:dyDescent="0.35">
      <c r="A10" s="16" t="s">
        <v>19</v>
      </c>
      <c r="B10" s="17"/>
      <c r="C10" s="18">
        <v>0.81388888888888888</v>
      </c>
      <c r="D10" s="7"/>
      <c r="E10" s="7"/>
      <c r="F10" s="7"/>
      <c r="G10" s="19"/>
      <c r="H10" s="20"/>
      <c r="I10" s="7"/>
      <c r="J10" s="7"/>
      <c r="K10" s="7"/>
      <c r="L10" s="7"/>
      <c r="M10" s="7"/>
      <c r="N10" s="7" t="str">
        <f t="shared" si="8"/>
        <v>#LIZXTQ1UU</v>
      </c>
      <c r="O10" s="7">
        <f t="shared" si="0"/>
        <v>0</v>
      </c>
      <c r="P10" s="21">
        <f t="shared" si="9"/>
        <v>43228</v>
      </c>
      <c r="Q10" s="22">
        <f>VLOOKUP(R10,Referencias!$D$1:$E$13,2,0)</f>
        <v>5</v>
      </c>
      <c r="R10" s="7" t="str">
        <f t="shared" si="10"/>
        <v>MAI</v>
      </c>
      <c r="S10" s="7">
        <f t="shared" si="1"/>
        <v>0</v>
      </c>
      <c r="T10" s="11">
        <f t="shared" si="11"/>
        <v>8</v>
      </c>
      <c r="U10" s="11">
        <f t="shared" si="2"/>
        <v>0</v>
      </c>
      <c r="V10" s="11" t="str">
        <f>VLOOKUP(C10,Referencias!$A$2:$B$33,2,1)</f>
        <v>19 - 20</v>
      </c>
      <c r="W10" s="23" t="str">
        <f t="shared" si="17"/>
        <v/>
      </c>
      <c r="X10" s="11">
        <f t="shared" si="3"/>
        <v>0</v>
      </c>
      <c r="Y10" s="11">
        <f t="shared" si="12"/>
        <v>0</v>
      </c>
      <c r="Z10" s="24">
        <f t="shared" si="13"/>
        <v>0</v>
      </c>
      <c r="AA10" s="25">
        <f t="shared" si="14"/>
        <v>0</v>
      </c>
      <c r="AB10" s="24">
        <f t="shared" si="4"/>
        <v>0</v>
      </c>
      <c r="AC10" s="24">
        <f t="shared" si="5"/>
        <v>0</v>
      </c>
      <c r="AD10" s="24">
        <f t="shared" si="6"/>
        <v>0</v>
      </c>
      <c r="AE10" s="24">
        <f t="shared" si="7"/>
        <v>0</v>
      </c>
      <c r="AF10" s="119" t="str">
        <f>VLOOKUP(P10*1,Referencias!$G:$H,2,0)</f>
        <v>ter</v>
      </c>
      <c r="AH10" s="10" t="s">
        <v>30</v>
      </c>
      <c r="AI10" s="25">
        <f>AI9/AI8</f>
        <v>6.3376321127362019</v>
      </c>
      <c r="AJ10" s="35">
        <f>AI10*AL14</f>
        <v>4.1520883789229242</v>
      </c>
      <c r="AK10" s="104" t="s">
        <v>310</v>
      </c>
      <c r="AL10" s="108">
        <f t="shared" si="23"/>
        <v>-9.264780694218433E-3</v>
      </c>
      <c r="AM10" s="107">
        <f>-8.33333333333333/30</f>
        <v>-0.27777777777777768</v>
      </c>
      <c r="AN10" s="108">
        <f t="shared" si="24"/>
        <v>-9.264780694218433E-3</v>
      </c>
      <c r="AO10" s="107">
        <f>AM10</f>
        <v>-0.27777777777777768</v>
      </c>
      <c r="AQ10" s="118">
        <v>43235</v>
      </c>
      <c r="AR10" s="11">
        <v>9</v>
      </c>
      <c r="AS10" s="28">
        <v>34.130000000000003</v>
      </c>
      <c r="AT10" s="29">
        <v>0.22500000000000001</v>
      </c>
      <c r="AU10" s="30">
        <v>52.97</v>
      </c>
      <c r="AV10" s="30">
        <f t="shared" si="18"/>
        <v>5.4</v>
      </c>
      <c r="AW10" s="30">
        <f t="shared" si="19"/>
        <v>6.3203703703703704</v>
      </c>
      <c r="AX10" s="30">
        <f t="shared" si="16"/>
        <v>4.4840434783786911</v>
      </c>
      <c r="AZ10" s="35" t="s">
        <v>37</v>
      </c>
      <c r="BA10" s="29">
        <v>1.4583333333333332E-2</v>
      </c>
      <c r="BB10" s="30">
        <v>2.83</v>
      </c>
      <c r="BC10" s="30">
        <v>3.81</v>
      </c>
      <c r="BD10" s="31">
        <v>1</v>
      </c>
      <c r="BF10" s="32" t="s">
        <v>319</v>
      </c>
      <c r="BG10" s="29">
        <v>0.41180555555555554</v>
      </c>
      <c r="BH10" s="30">
        <v>50.140000000000008</v>
      </c>
      <c r="BI10" s="30">
        <v>74.91</v>
      </c>
      <c r="BJ10" s="31">
        <v>14</v>
      </c>
      <c r="BK10"/>
      <c r="BL10" s="33">
        <f t="shared" si="20"/>
        <v>5.1004526728040282E-2</v>
      </c>
      <c r="BM10" s="34">
        <f t="shared" ref="BM10:BM17" si="26">BM9+BL10</f>
        <v>0.87834799857586077</v>
      </c>
      <c r="BN10" s="103">
        <f t="shared" si="22"/>
        <v>863.46</v>
      </c>
      <c r="BO10" s="103">
        <f t="shared" si="21"/>
        <v>119.59</v>
      </c>
      <c r="BP10" s="103"/>
      <c r="BQ10" s="11">
        <v>10</v>
      </c>
      <c r="BR10" s="138" t="str">
        <f>VLOOKUP(BQ10,$BY$4:$BZ$17,2,0)</f>
        <v>12 - 13</v>
      </c>
      <c r="BS10" s="142">
        <f>IF(ISERROR(GETPIVOTDATA("Lucro SoHo",$BZ$2,"Bloco de Horas",$BR10,"dia da semana",BS$8)),0,GETPIVOTDATA("Lucro SoHo",$BZ$2,"Bloco de Horas",$BR10,"dia da semana",BS$8))</f>
        <v>10.338238864912</v>
      </c>
      <c r="BT10" s="142">
        <f t="shared" ref="BS10:BW15" si="27">IF(ISERROR(GETPIVOTDATA("Lucro SoHo",$BZ$2,"Bloco de Horas",$BR10,"dia da semana",BT$8)),0,GETPIVOTDATA("Lucro SoHo",$BZ$2,"Bloco de Horas",$BR10,"dia da semana",BT$8))</f>
        <v>10.004113274220927</v>
      </c>
      <c r="BU10" s="142">
        <f t="shared" si="27"/>
        <v>9.4996491470991113</v>
      </c>
      <c r="BV10" s="142">
        <f t="shared" si="27"/>
        <v>8.7527801796720084</v>
      </c>
      <c r="BW10" s="142">
        <f t="shared" si="27"/>
        <v>12.159550908286864</v>
      </c>
      <c r="BY10" s="10">
        <v>14</v>
      </c>
      <c r="BZ10" s="121" t="s">
        <v>321</v>
      </c>
      <c r="CA10" s="139">
        <v>9.3882739502020875</v>
      </c>
      <c r="CB10" s="139"/>
      <c r="CC10" s="139"/>
      <c r="CD10" s="139"/>
      <c r="CE10" s="139"/>
      <c r="CF10" s="139"/>
      <c r="CG10" s="139"/>
      <c r="CH10" s="139">
        <v>9.3882739502020875</v>
      </c>
      <c r="CI10" s="11"/>
      <c r="CJ10" s="10">
        <v>14</v>
      </c>
      <c r="CK10" s="121" t="s">
        <v>321</v>
      </c>
      <c r="CL10" s="129">
        <v>11.374604381968602</v>
      </c>
      <c r="CM10" s="129"/>
      <c r="CN10" s="129"/>
      <c r="CO10" s="129"/>
      <c r="CP10" s="129"/>
      <c r="CQ10" s="129"/>
      <c r="CR10" s="129"/>
      <c r="CS10" s="129">
        <v>11.374604381968602</v>
      </c>
    </row>
    <row r="11" spans="1:205" ht="15" thickBot="1" x14ac:dyDescent="0.35">
      <c r="A11" s="36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7"/>
      <c r="M11" s="37"/>
      <c r="N11" s="7" t="str">
        <f t="shared" si="8"/>
        <v>#LIZXTQ1UU</v>
      </c>
      <c r="O11" s="7">
        <f t="shared" si="0"/>
        <v>0</v>
      </c>
      <c r="P11" s="21">
        <f t="shared" si="9"/>
        <v>43228</v>
      </c>
      <c r="Q11" s="22">
        <f>VLOOKUP(R11,Referencias!$D$1:$E$13,2,0)</f>
        <v>5</v>
      </c>
      <c r="R11" s="7" t="str">
        <f t="shared" si="10"/>
        <v>MAI</v>
      </c>
      <c r="S11" s="7">
        <f t="shared" si="1"/>
        <v>0</v>
      </c>
      <c r="T11" s="11">
        <f t="shared" si="11"/>
        <v>8</v>
      </c>
      <c r="U11" s="11">
        <f t="shared" si="2"/>
        <v>0</v>
      </c>
      <c r="V11" s="11" t="e">
        <f>VLOOKUP(C11,Referencias!$A$2:$B$33,2,1)</f>
        <v>#N/A</v>
      </c>
      <c r="W11" s="23" t="str">
        <f t="shared" si="17"/>
        <v/>
      </c>
      <c r="X11" s="11">
        <f t="shared" si="3"/>
        <v>0</v>
      </c>
      <c r="Y11" s="11">
        <f t="shared" si="12"/>
        <v>0</v>
      </c>
      <c r="Z11" s="24">
        <f t="shared" si="13"/>
        <v>0</v>
      </c>
      <c r="AA11" s="25">
        <f t="shared" si="14"/>
        <v>0</v>
      </c>
      <c r="AB11" s="24">
        <f t="shared" si="4"/>
        <v>0</v>
      </c>
      <c r="AC11" s="24">
        <f t="shared" si="5"/>
        <v>0</v>
      </c>
      <c r="AD11" s="24">
        <f t="shared" si="6"/>
        <v>0</v>
      </c>
      <c r="AE11" s="24">
        <f t="shared" si="7"/>
        <v>0</v>
      </c>
      <c r="AF11" s="119" t="str">
        <f>VLOOKUP(P11*1,Referencias!$G:$H,2,0)</f>
        <v>ter</v>
      </c>
      <c r="AH11" s="10" t="s">
        <v>31</v>
      </c>
      <c r="AI11" s="11">
        <f>COUNTIF(X:X,"&gt;0")</f>
        <v>242</v>
      </c>
      <c r="AK11" s="104" t="s">
        <v>306</v>
      </c>
      <c r="AL11" s="108">
        <f t="shared" si="23"/>
        <v>-1.0191258763640283E-3</v>
      </c>
      <c r="AM11" s="107">
        <f>-0.916666666666667/30</f>
        <v>-3.0555555555555565E-2</v>
      </c>
      <c r="AN11" s="108">
        <f t="shared" si="24"/>
        <v>-1.0191258763640283E-3</v>
      </c>
      <c r="AO11" s="107">
        <f>AM11</f>
        <v>-3.0555555555555565E-2</v>
      </c>
      <c r="AQ11" s="118">
        <v>43236</v>
      </c>
      <c r="AR11" s="11">
        <v>4</v>
      </c>
      <c r="AS11" s="28">
        <v>13.64</v>
      </c>
      <c r="AT11" s="29">
        <v>9.3055555555555558E-2</v>
      </c>
      <c r="AU11" s="30">
        <v>20.200000000000003</v>
      </c>
      <c r="AV11" s="30">
        <f t="shared" si="18"/>
        <v>2.2333333333333334</v>
      </c>
      <c r="AW11" s="30">
        <f t="shared" si="19"/>
        <v>6.107462686567164</v>
      </c>
      <c r="AX11" s="30">
        <f t="shared" si="16"/>
        <v>4.3329942114670539</v>
      </c>
      <c r="AZ11" s="35" t="s">
        <v>28</v>
      </c>
      <c r="BA11" s="29">
        <v>8.3333333333333332E-3</v>
      </c>
      <c r="BB11" s="30">
        <v>5.22</v>
      </c>
      <c r="BC11" s="30">
        <v>10.65</v>
      </c>
      <c r="BD11" s="31">
        <v>1</v>
      </c>
      <c r="BF11" s="49" t="s">
        <v>318</v>
      </c>
      <c r="BG11" s="29">
        <v>0.23055555555555557</v>
      </c>
      <c r="BH11" s="30">
        <v>32.040000000000006</v>
      </c>
      <c r="BI11" s="30">
        <v>55.07</v>
      </c>
      <c r="BJ11" s="31">
        <v>8</v>
      </c>
      <c r="BK11"/>
      <c r="BL11" s="33">
        <f t="shared" si="20"/>
        <v>3.2592441890036114E-2</v>
      </c>
      <c r="BM11" s="34">
        <f t="shared" si="26"/>
        <v>0.91094044046589684</v>
      </c>
      <c r="BN11" s="103">
        <f t="shared" si="22"/>
        <v>895.5</v>
      </c>
      <c r="BO11" s="103">
        <f t="shared" si="21"/>
        <v>87.55</v>
      </c>
      <c r="BP11" s="103"/>
      <c r="BQ11" s="11">
        <v>11</v>
      </c>
      <c r="BR11" s="138" t="str">
        <f t="shared" ref="BR11:BR15" si="28">VLOOKUP(BQ11,$BY$4:$BZ$17,2,0)</f>
        <v>13 - 14</v>
      </c>
      <c r="BS11" s="142">
        <f t="shared" si="27"/>
        <v>9.8599806664718361</v>
      </c>
      <c r="BT11" s="142">
        <f t="shared" si="27"/>
        <v>6.4007980804936775</v>
      </c>
      <c r="BU11" s="142">
        <f t="shared" si="27"/>
        <v>6.2763199192558279</v>
      </c>
      <c r="BV11" s="142">
        <f t="shared" si="27"/>
        <v>11.085107832339103</v>
      </c>
      <c r="BW11" s="142">
        <f t="shared" si="27"/>
        <v>22.510892737539692</v>
      </c>
      <c r="BY11" s="10">
        <v>15</v>
      </c>
      <c r="BZ11" s="121" t="s">
        <v>322</v>
      </c>
      <c r="CA11" s="139">
        <v>4.0160585704632794</v>
      </c>
      <c r="CB11" s="139">
        <v>1.9982020619760201</v>
      </c>
      <c r="CC11" s="139"/>
      <c r="CD11" s="139"/>
      <c r="CE11" s="139"/>
      <c r="CF11" s="139"/>
      <c r="CG11" s="139">
        <v>5.4901420588062457</v>
      </c>
      <c r="CH11" s="139">
        <v>11.504402691245545</v>
      </c>
      <c r="CI11" s="11"/>
      <c r="CJ11" s="10">
        <v>15</v>
      </c>
      <c r="CK11" s="121" t="s">
        <v>322</v>
      </c>
      <c r="CL11" s="129">
        <v>4.8657588877506992</v>
      </c>
      <c r="CM11" s="129">
        <v>2.4209730191908045</v>
      </c>
      <c r="CN11" s="129"/>
      <c r="CO11" s="129"/>
      <c r="CP11" s="129"/>
      <c r="CQ11" s="129"/>
      <c r="CR11" s="129">
        <v>6.6517225904324411</v>
      </c>
      <c r="CS11" s="129">
        <v>13.938454497373945</v>
      </c>
    </row>
    <row r="12" spans="1:205" ht="15" thickBot="1" x14ac:dyDescent="0.3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7" t="str">
        <f t="shared" si="8"/>
        <v>#LIZXTQ1UU</v>
      </c>
      <c r="O12" s="7">
        <f t="shared" si="0"/>
        <v>0</v>
      </c>
      <c r="P12" s="21">
        <f t="shared" si="9"/>
        <v>43228</v>
      </c>
      <c r="Q12" s="22">
        <f>VLOOKUP(R12,Referencias!$D$1:$E$13,2,0)</f>
        <v>5</v>
      </c>
      <c r="R12" s="7" t="str">
        <f t="shared" si="10"/>
        <v>MAI</v>
      </c>
      <c r="S12" s="7">
        <f t="shared" si="1"/>
        <v>0</v>
      </c>
      <c r="T12" s="11">
        <f t="shared" si="11"/>
        <v>8</v>
      </c>
      <c r="U12" s="11">
        <f t="shared" si="2"/>
        <v>0</v>
      </c>
      <c r="V12" s="11" t="e">
        <f>VLOOKUP(C12,Referencias!$A$2:$B$33,2,1)</f>
        <v>#N/A</v>
      </c>
      <c r="W12" s="23" t="str">
        <f t="shared" si="17"/>
        <v/>
      </c>
      <c r="X12" s="11">
        <f t="shared" si="3"/>
        <v>0</v>
      </c>
      <c r="Y12" s="11">
        <f t="shared" si="12"/>
        <v>0</v>
      </c>
      <c r="Z12" s="24">
        <f t="shared" si="13"/>
        <v>0</v>
      </c>
      <c r="AA12" s="25">
        <f t="shared" si="14"/>
        <v>0</v>
      </c>
      <c r="AB12" s="24">
        <f t="shared" si="4"/>
        <v>0</v>
      </c>
      <c r="AC12" s="24">
        <f t="shared" si="5"/>
        <v>0</v>
      </c>
      <c r="AD12" s="24">
        <f t="shared" si="6"/>
        <v>0</v>
      </c>
      <c r="AE12" s="24">
        <f t="shared" si="7"/>
        <v>0</v>
      </c>
      <c r="AF12" s="119" t="str">
        <f>VLOOKUP(P12*1,Referencias!$G:$H,2,0)</f>
        <v>ter</v>
      </c>
      <c r="AH12" s="42" t="s">
        <v>32</v>
      </c>
      <c r="AI12" s="43">
        <f>AI11/AI7</f>
        <v>7.333333333333333</v>
      </c>
      <c r="AK12" s="107" t="s">
        <v>311</v>
      </c>
      <c r="AL12" s="108">
        <f t="shared" si="23"/>
        <v>0</v>
      </c>
      <c r="AM12" s="107"/>
      <c r="AN12" s="108">
        <f t="shared" si="24"/>
        <v>-7.7453566603666132E-2</v>
      </c>
      <c r="AO12" s="107">
        <f>-AK21</f>
        <v>-2.3222222222222224</v>
      </c>
      <c r="AQ12" s="118">
        <v>43237</v>
      </c>
      <c r="AR12" s="11">
        <v>7</v>
      </c>
      <c r="AS12" s="28">
        <v>27.64</v>
      </c>
      <c r="AT12" s="29">
        <v>0.21944444444444444</v>
      </c>
      <c r="AU12" s="30">
        <v>38.69</v>
      </c>
      <c r="AV12" s="30">
        <f t="shared" si="18"/>
        <v>5.2666666666666666</v>
      </c>
      <c r="AW12" s="30">
        <f t="shared" si="19"/>
        <v>5.2481012658227852</v>
      </c>
      <c r="AX12" s="30">
        <f t="shared" si="16"/>
        <v>3.7233125395948292</v>
      </c>
      <c r="AZ12" s="118">
        <v>43229</v>
      </c>
      <c r="BA12" s="29">
        <v>8.819444444444445E-2</v>
      </c>
      <c r="BB12" s="30">
        <v>16.39</v>
      </c>
      <c r="BC12" s="30">
        <v>24.84</v>
      </c>
      <c r="BD12" s="31">
        <v>4</v>
      </c>
      <c r="BF12" s="49" t="s">
        <v>329</v>
      </c>
      <c r="BG12" s="29">
        <v>0.1076388888888889</v>
      </c>
      <c r="BH12" s="30">
        <v>20.46</v>
      </c>
      <c r="BI12" s="30">
        <v>34.08</v>
      </c>
      <c r="BJ12" s="31">
        <v>5</v>
      </c>
      <c r="BK12"/>
      <c r="BL12" s="33">
        <f t="shared" si="20"/>
        <v>2.0812776562738413E-2</v>
      </c>
      <c r="BM12" s="34">
        <f t="shared" si="26"/>
        <v>0.93175321702863523</v>
      </c>
      <c r="BN12" s="103">
        <f t="shared" si="22"/>
        <v>915.96</v>
      </c>
      <c r="BO12" s="103">
        <f t="shared" si="21"/>
        <v>67.09</v>
      </c>
      <c r="BP12" s="103"/>
      <c r="BQ12" s="11">
        <v>12</v>
      </c>
      <c r="BR12" s="138" t="str">
        <f t="shared" si="28"/>
        <v>14 - 15</v>
      </c>
      <c r="BS12" s="142">
        <f t="shared" si="27"/>
        <v>1.880275382908583</v>
      </c>
      <c r="BT12" s="142">
        <f t="shared" si="27"/>
        <v>2.2209524557700684</v>
      </c>
      <c r="BU12" s="142">
        <f t="shared" si="27"/>
        <v>4.5074197332442694</v>
      </c>
      <c r="BV12" s="142">
        <f t="shared" si="27"/>
        <v>4.8480968061057537</v>
      </c>
      <c r="BW12" s="142">
        <f t="shared" si="27"/>
        <v>12.251271658672648</v>
      </c>
      <c r="BY12" s="10">
        <v>16</v>
      </c>
      <c r="BZ12" s="121" t="s">
        <v>323</v>
      </c>
      <c r="CA12" s="139">
        <v>4.0684704278265853</v>
      </c>
      <c r="CB12" s="139">
        <v>1.5068408991950315</v>
      </c>
      <c r="CC12" s="139"/>
      <c r="CD12" s="139"/>
      <c r="CE12" s="139"/>
      <c r="CF12" s="139"/>
      <c r="CG12" s="139">
        <v>0</v>
      </c>
      <c r="CH12" s="139">
        <v>5.575311327021617</v>
      </c>
      <c r="CI12" s="11"/>
      <c r="CJ12" s="10">
        <v>16</v>
      </c>
      <c r="CK12" s="121" t="s">
        <v>323</v>
      </c>
      <c r="CL12" s="129">
        <v>4.9292598194016062</v>
      </c>
      <c r="CM12" s="129">
        <v>1.8256517849635576</v>
      </c>
      <c r="CN12" s="129"/>
      <c r="CO12" s="129"/>
      <c r="CP12" s="129"/>
      <c r="CQ12" s="129"/>
      <c r="CR12" s="129">
        <v>0</v>
      </c>
      <c r="CS12" s="129">
        <v>6.754911604365164</v>
      </c>
    </row>
    <row r="13" spans="1:205" ht="15" thickBot="1" x14ac:dyDescent="0.35">
      <c r="A13" s="16"/>
      <c r="B13" s="17" t="s">
        <v>34</v>
      </c>
      <c r="C13" s="18">
        <v>0.81736111111111109</v>
      </c>
      <c r="D13" s="7">
        <v>10.029999999999999</v>
      </c>
      <c r="E13" s="7" t="s">
        <v>29</v>
      </c>
      <c r="F13" s="7"/>
      <c r="G13" s="19">
        <v>5.01</v>
      </c>
      <c r="H13" s="20">
        <v>19.47</v>
      </c>
      <c r="I13" s="7"/>
      <c r="J13" s="7"/>
      <c r="K13" s="7"/>
      <c r="L13" s="7"/>
      <c r="M13" s="7"/>
      <c r="N13" s="7" t="str">
        <f t="shared" si="8"/>
        <v>#LIRP7TY1K</v>
      </c>
      <c r="O13" s="7" t="str">
        <f t="shared" si="0"/>
        <v>#LIRP7TY1K</v>
      </c>
      <c r="P13" s="21">
        <f t="shared" si="9"/>
        <v>43228</v>
      </c>
      <c r="Q13" s="22">
        <f>VLOOKUP(R13,Referencias!$D$1:$E$13,2,0)</f>
        <v>5</v>
      </c>
      <c r="R13" s="7" t="str">
        <f t="shared" si="10"/>
        <v>MAI</v>
      </c>
      <c r="S13" s="7">
        <f t="shared" si="1"/>
        <v>0</v>
      </c>
      <c r="T13" s="11">
        <f t="shared" si="11"/>
        <v>8</v>
      </c>
      <c r="U13" s="11">
        <f t="shared" si="2"/>
        <v>0</v>
      </c>
      <c r="V13" s="11" t="str">
        <f>VLOOKUP(C13,Referencias!$A$2:$B$33,2,1)</f>
        <v>19 - 20</v>
      </c>
      <c r="W13" s="23">
        <f t="shared" si="17"/>
        <v>3.4027777777777879E-2</v>
      </c>
      <c r="X13" s="11">
        <f t="shared" si="3"/>
        <v>10.029999999999999</v>
      </c>
      <c r="Y13" s="11">
        <f t="shared" si="12"/>
        <v>17.712311015118789</v>
      </c>
      <c r="Z13" s="24">
        <f t="shared" si="13"/>
        <v>5.01</v>
      </c>
      <c r="AA13" s="25">
        <f t="shared" si="14"/>
        <v>6.134693877551002</v>
      </c>
      <c r="AB13" s="24">
        <f t="shared" si="4"/>
        <v>1</v>
      </c>
      <c r="AC13" s="24">
        <f t="shared" si="5"/>
        <v>3.2822925673770036</v>
      </c>
      <c r="AD13" s="24">
        <f t="shared" si="6"/>
        <v>3.9767458446380104</v>
      </c>
      <c r="AE13" s="24">
        <f t="shared" si="7"/>
        <v>4.7150439150604901</v>
      </c>
      <c r="AF13" s="119" t="str">
        <f>VLOOKUP(P13*1,Referencias!$G:$H,2,0)</f>
        <v>ter</v>
      </c>
      <c r="AH13" s="10" t="s">
        <v>33</v>
      </c>
      <c r="AI13" s="125">
        <f>AI6/AI11</f>
        <v>4.0884710743801671</v>
      </c>
      <c r="AJ13" s="103">
        <f>AL5/AI11</f>
        <v>2.6785545348051687</v>
      </c>
      <c r="AK13" s="104" t="s">
        <v>315</v>
      </c>
      <c r="AL13" s="108">
        <f t="shared" si="23"/>
        <v>0</v>
      </c>
      <c r="AM13" s="107"/>
      <c r="AN13" s="108">
        <f t="shared" si="24"/>
        <v>0</v>
      </c>
      <c r="AO13" s="107"/>
      <c r="AQ13" s="118">
        <v>43238</v>
      </c>
      <c r="AR13" s="11">
        <v>6</v>
      </c>
      <c r="AS13" s="28">
        <v>21.21</v>
      </c>
      <c r="AT13" s="29">
        <v>0.15902777777777777</v>
      </c>
      <c r="AU13" s="30">
        <v>29.1</v>
      </c>
      <c r="AV13" s="30">
        <f t="shared" si="18"/>
        <v>3.8166666666666664</v>
      </c>
      <c r="AW13" s="30">
        <f t="shared" si="19"/>
        <v>5.5572052401746728</v>
      </c>
      <c r="AX13" s="30">
        <f t="shared" si="16"/>
        <v>3.9426091281035016</v>
      </c>
      <c r="AZ13" s="35" t="s">
        <v>45</v>
      </c>
      <c r="BA13" s="29">
        <v>2.013888888888889E-2</v>
      </c>
      <c r="BB13" s="30">
        <v>3.13</v>
      </c>
      <c r="BC13" s="30">
        <v>4.68</v>
      </c>
      <c r="BD13" s="31">
        <v>1</v>
      </c>
      <c r="BF13" s="49" t="s">
        <v>322</v>
      </c>
      <c r="BG13" s="29">
        <v>0.23402777777777778</v>
      </c>
      <c r="BH13" s="30">
        <v>17.559999999999999</v>
      </c>
      <c r="BI13" s="30">
        <v>39.64</v>
      </c>
      <c r="BJ13" s="31">
        <v>4</v>
      </c>
      <c r="BK13"/>
      <c r="BL13" s="33">
        <f t="shared" si="20"/>
        <v>1.7862774019632773E-2</v>
      </c>
      <c r="BM13" s="34">
        <f t="shared" si="26"/>
        <v>0.94961599104826799</v>
      </c>
      <c r="BN13" s="103">
        <f t="shared" si="22"/>
        <v>933.52</v>
      </c>
      <c r="BO13" s="103">
        <f t="shared" ref="BO13:BO17" si="29">BO12-BH13</f>
        <v>49.53</v>
      </c>
      <c r="BP13" s="103"/>
      <c r="BQ13" s="11">
        <v>18</v>
      </c>
      <c r="BR13" s="138" t="str">
        <f t="shared" si="28"/>
        <v>20 - 21</v>
      </c>
      <c r="BS13" s="142">
        <f t="shared" si="27"/>
        <v>17.774171128330959</v>
      </c>
      <c r="BT13" s="142">
        <f t="shared" si="27"/>
        <v>19.097570526754424</v>
      </c>
      <c r="BU13" s="142">
        <f t="shared" si="27"/>
        <v>15.1601297423361</v>
      </c>
      <c r="BV13" s="142">
        <f t="shared" si="27"/>
        <v>23.722916939066128</v>
      </c>
      <c r="BW13" s="142">
        <f t="shared" si="27"/>
        <v>20.316146210451272</v>
      </c>
      <c r="BY13" s="10">
        <v>17</v>
      </c>
      <c r="BZ13" s="121" t="s">
        <v>324</v>
      </c>
      <c r="CA13" s="141">
        <v>11.910594585811163</v>
      </c>
      <c r="CB13" s="141">
        <v>10.764085205988856</v>
      </c>
      <c r="CC13" s="141">
        <v>21.01060332051507</v>
      </c>
      <c r="CD13" s="141">
        <v>10.344790347082412</v>
      </c>
      <c r="CE13" s="141">
        <v>10.482371472661089</v>
      </c>
      <c r="CF13" s="141">
        <v>7.8945360153478834</v>
      </c>
      <c r="CG13" s="139">
        <v>3.8981318913958427</v>
      </c>
      <c r="CH13" s="139">
        <v>76.305112838802316</v>
      </c>
      <c r="CI13" s="11"/>
      <c r="CJ13" s="10">
        <v>17</v>
      </c>
      <c r="CK13" s="121" t="s">
        <v>324</v>
      </c>
      <c r="CL13" s="133">
        <v>14.430586717668469</v>
      </c>
      <c r="CM13" s="133">
        <v>13.041503837804891</v>
      </c>
      <c r="CN13" s="133">
        <v>25.455935975557086</v>
      </c>
      <c r="CO13" s="133">
        <v>12.533496384597642</v>
      </c>
      <c r="CP13" s="133">
        <v>12.700186330181271</v>
      </c>
      <c r="CQ13" s="133">
        <v>9.5648278299177694</v>
      </c>
      <c r="CR13" s="129">
        <v>4.7228817915361603</v>
      </c>
      <c r="CS13" s="129">
        <v>92.44941886726329</v>
      </c>
    </row>
    <row r="14" spans="1:205" ht="15" thickBot="1" x14ac:dyDescent="0.35">
      <c r="A14" s="16"/>
      <c r="B14" s="17"/>
      <c r="C14" s="18">
        <v>0.85138888888888897</v>
      </c>
      <c r="D14" s="7"/>
      <c r="E14" s="7"/>
      <c r="F14" s="7"/>
      <c r="G14" s="19"/>
      <c r="H14" s="20"/>
      <c r="I14" s="7"/>
      <c r="J14" s="7"/>
      <c r="K14" s="7"/>
      <c r="L14" s="7"/>
      <c r="M14" s="7"/>
      <c r="N14" s="7" t="str">
        <f t="shared" si="8"/>
        <v>#LIRP7TY1K</v>
      </c>
      <c r="O14" s="7">
        <f t="shared" si="0"/>
        <v>0</v>
      </c>
      <c r="P14" s="21">
        <f t="shared" si="9"/>
        <v>43228</v>
      </c>
      <c r="Q14" s="22">
        <f>VLOOKUP(R14,Referencias!$D$1:$E$13,2,0)</f>
        <v>5</v>
      </c>
      <c r="R14" s="7" t="str">
        <f t="shared" si="10"/>
        <v>MAI</v>
      </c>
      <c r="S14" s="7">
        <f t="shared" si="1"/>
        <v>0</v>
      </c>
      <c r="T14" s="11">
        <f t="shared" si="11"/>
        <v>8</v>
      </c>
      <c r="U14" s="11">
        <f t="shared" si="2"/>
        <v>0</v>
      </c>
      <c r="V14" s="11" t="str">
        <f>VLOOKUP(C14,Referencias!$A$2:$B$33,2,1)</f>
        <v>20 - 21</v>
      </c>
      <c r="W14" s="23" t="str">
        <f t="shared" si="17"/>
        <v/>
      </c>
      <c r="X14" s="11">
        <f t="shared" si="3"/>
        <v>0</v>
      </c>
      <c r="Y14" s="11">
        <f t="shared" si="12"/>
        <v>0</v>
      </c>
      <c r="Z14" s="24">
        <f t="shared" si="13"/>
        <v>0</v>
      </c>
      <c r="AA14" s="25">
        <f t="shared" si="14"/>
        <v>0</v>
      </c>
      <c r="AB14" s="24">
        <f t="shared" si="4"/>
        <v>0</v>
      </c>
      <c r="AC14" s="24">
        <f t="shared" si="5"/>
        <v>0</v>
      </c>
      <c r="AD14" s="24">
        <f t="shared" si="6"/>
        <v>0</v>
      </c>
      <c r="AE14" s="24">
        <f t="shared" si="7"/>
        <v>0</v>
      </c>
      <c r="AF14" s="119" t="str">
        <f>VLOOKUP(P14*1,Referencias!$G:$H,2,0)</f>
        <v>ter</v>
      </c>
      <c r="AH14" s="10" t="s">
        <v>102</v>
      </c>
      <c r="AI14" s="50">
        <f>AI5/AI7</f>
        <v>81.777695540905228</v>
      </c>
      <c r="AK14" s="104" t="s">
        <v>313</v>
      </c>
      <c r="AL14" s="108">
        <f>AM14/AM7</f>
        <v>0.65514821704131809</v>
      </c>
      <c r="AM14" s="107">
        <f>SUM(AM7:AM13)</f>
        <v>19.642733255237903</v>
      </c>
      <c r="AN14" s="108">
        <f>AO14/AO7</f>
        <v>0.79376164563632945</v>
      </c>
      <c r="AO14" s="107">
        <f>SUM(AO7:AO13)</f>
        <v>23.798657873001243</v>
      </c>
      <c r="AQ14" s="118">
        <v>43239</v>
      </c>
      <c r="AR14" s="11">
        <v>7</v>
      </c>
      <c r="AS14" s="28">
        <v>29.07</v>
      </c>
      <c r="AT14" s="29">
        <v>0.18194444444444444</v>
      </c>
      <c r="AU14" s="30">
        <v>43.97</v>
      </c>
      <c r="AV14" s="30">
        <f t="shared" si="18"/>
        <v>4.3666666666666663</v>
      </c>
      <c r="AW14" s="30">
        <f t="shared" si="19"/>
        <v>6.6572519083969475</v>
      </c>
      <c r="AX14" s="30">
        <f t="shared" si="16"/>
        <v>4.7230471087127368</v>
      </c>
      <c r="AZ14" s="35" t="s">
        <v>43</v>
      </c>
      <c r="BA14" s="29">
        <v>2.4305555555555556E-2</v>
      </c>
      <c r="BB14" s="30">
        <v>2.17</v>
      </c>
      <c r="BC14" s="30">
        <v>1.94</v>
      </c>
      <c r="BD14" s="31">
        <v>1</v>
      </c>
      <c r="BF14" s="49" t="s">
        <v>321</v>
      </c>
      <c r="BG14" s="29">
        <v>6.1805555555555558E-2</v>
      </c>
      <c r="BH14" s="30">
        <v>14.33</v>
      </c>
      <c r="BI14" s="30">
        <v>22.57</v>
      </c>
      <c r="BJ14" s="31">
        <v>3</v>
      </c>
      <c r="BK14"/>
      <c r="BL14" s="33">
        <f t="shared" si="20"/>
        <v>1.4577081531966836E-2</v>
      </c>
      <c r="BM14" s="34">
        <f t="shared" si="26"/>
        <v>0.96419307258023479</v>
      </c>
      <c r="BN14" s="103">
        <f t="shared" si="22"/>
        <v>947.85</v>
      </c>
      <c r="BO14" s="103">
        <f t="shared" si="29"/>
        <v>35.200000000000003</v>
      </c>
      <c r="BP14" s="103"/>
      <c r="BQ14" s="11">
        <v>19</v>
      </c>
      <c r="BR14" s="138" t="str">
        <f t="shared" si="28"/>
        <v>21 - 22</v>
      </c>
      <c r="BS14" s="142">
        <f t="shared" si="27"/>
        <v>8.2941764277430856</v>
      </c>
      <c r="BT14" s="142">
        <f t="shared" si="27"/>
        <v>16.149403550068492</v>
      </c>
      <c r="BU14" s="142">
        <f t="shared" si="27"/>
        <v>24.980801515785462</v>
      </c>
      <c r="BV14" s="142">
        <f t="shared" si="27"/>
        <v>15.880792781081551</v>
      </c>
      <c r="BW14" s="142">
        <f t="shared" si="27"/>
        <v>23.683608046043648</v>
      </c>
      <c r="BY14" s="10">
        <v>18</v>
      </c>
      <c r="BZ14" s="121" t="s">
        <v>325</v>
      </c>
      <c r="CA14" s="141">
        <v>20.316146210451272</v>
      </c>
      <c r="CB14" s="141">
        <v>13.36502362764289</v>
      </c>
      <c r="CC14" s="141">
        <v>17.774171128330959</v>
      </c>
      <c r="CD14" s="141">
        <v>19.097570526754424</v>
      </c>
      <c r="CE14" s="141">
        <v>16.195263925261383</v>
      </c>
      <c r="CF14" s="141">
        <v>15.1601297423361</v>
      </c>
      <c r="CG14" s="141">
        <v>23.722916939066128</v>
      </c>
      <c r="CH14" s="139">
        <v>125.63122209984316</v>
      </c>
      <c r="CI14" s="11"/>
      <c r="CJ14" s="10">
        <v>18</v>
      </c>
      <c r="CK14" s="121" t="s">
        <v>325</v>
      </c>
      <c r="CL14" s="133">
        <v>24.614548631182579</v>
      </c>
      <c r="CM14" s="133">
        <v>16.192737570981123</v>
      </c>
      <c r="CN14" s="133">
        <v>21.534753446113619</v>
      </c>
      <c r="CO14" s="133">
        <v>23.138151970299006</v>
      </c>
      <c r="CP14" s="133">
        <v>19.621787880130064</v>
      </c>
      <c r="CQ14" s="133">
        <v>18.367644480024662</v>
      </c>
      <c r="CR14" s="133">
        <v>28.742109188491487</v>
      </c>
      <c r="CS14" s="129">
        <v>152.21173316722255</v>
      </c>
    </row>
    <row r="15" spans="1:205" ht="14.4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7"/>
      <c r="K15" s="37"/>
      <c r="L15" s="37"/>
      <c r="M15" s="37"/>
      <c r="N15" s="7" t="str">
        <f t="shared" si="8"/>
        <v>#LIRP7TY1K</v>
      </c>
      <c r="O15" s="7">
        <f t="shared" si="0"/>
        <v>0</v>
      </c>
      <c r="P15" s="21">
        <f t="shared" si="9"/>
        <v>43228</v>
      </c>
      <c r="Q15" s="22">
        <f>VLOOKUP(R15,Referencias!$D$1:$E$13,2,0)</f>
        <v>5</v>
      </c>
      <c r="R15" s="7" t="str">
        <f t="shared" si="10"/>
        <v>MAI</v>
      </c>
      <c r="S15" s="7">
        <f t="shared" si="1"/>
        <v>0</v>
      </c>
      <c r="T15" s="11">
        <f t="shared" si="11"/>
        <v>8</v>
      </c>
      <c r="U15" s="11">
        <f t="shared" si="2"/>
        <v>0</v>
      </c>
      <c r="V15" s="11" t="e">
        <f>VLOOKUP(C15,Referencias!$A$2:$B$33,2,1)</f>
        <v>#N/A</v>
      </c>
      <c r="W15" s="23" t="str">
        <f t="shared" si="17"/>
        <v/>
      </c>
      <c r="X15" s="11">
        <f t="shared" si="3"/>
        <v>0</v>
      </c>
      <c r="Y15" s="11">
        <f t="shared" si="12"/>
        <v>0</v>
      </c>
      <c r="Z15" s="24">
        <f t="shared" si="13"/>
        <v>0</v>
      </c>
      <c r="AA15" s="25">
        <f t="shared" si="14"/>
        <v>0</v>
      </c>
      <c r="AB15" s="24">
        <f t="shared" si="4"/>
        <v>0</v>
      </c>
      <c r="AC15" s="24">
        <f t="shared" si="5"/>
        <v>0</v>
      </c>
      <c r="AD15" s="24">
        <f t="shared" si="6"/>
        <v>0</v>
      </c>
      <c r="AE15" s="24">
        <f t="shared" si="7"/>
        <v>0</v>
      </c>
      <c r="AF15" s="119" t="str">
        <f>VLOOKUP(P15*1,Referencias!$G:$H,2,0)</f>
        <v>ter</v>
      </c>
      <c r="AI15" s="50"/>
      <c r="AQ15" s="118">
        <v>43240</v>
      </c>
      <c r="AR15" s="11">
        <v>8</v>
      </c>
      <c r="AS15" s="28">
        <v>32.82</v>
      </c>
      <c r="AT15" s="29">
        <v>0.20694444444444449</v>
      </c>
      <c r="AU15" s="30">
        <v>47.67</v>
      </c>
      <c r="AV15" s="30">
        <f t="shared" si="18"/>
        <v>4.9666666666666677</v>
      </c>
      <c r="AW15" s="30">
        <f t="shared" si="19"/>
        <v>6.6080536912751668</v>
      </c>
      <c r="AX15" s="30">
        <f t="shared" si="16"/>
        <v>4.6881429920699889</v>
      </c>
      <c r="AZ15" s="35" t="s">
        <v>46</v>
      </c>
      <c r="BA15" s="29">
        <v>1.6666666666666666E-2</v>
      </c>
      <c r="BB15" s="30">
        <v>5.2299999999999995</v>
      </c>
      <c r="BC15" s="30">
        <v>5.76</v>
      </c>
      <c r="BD15" s="31">
        <v>1</v>
      </c>
      <c r="BF15" s="49" t="s">
        <v>320</v>
      </c>
      <c r="BG15" s="29">
        <v>0.10208333333333333</v>
      </c>
      <c r="BH15" s="30">
        <v>14.099999999999998</v>
      </c>
      <c r="BI15" s="30">
        <v>24.87</v>
      </c>
      <c r="BJ15" s="31">
        <v>3</v>
      </c>
      <c r="BK15"/>
      <c r="BL15" s="33">
        <f t="shared" si="20"/>
        <v>1.4343115813030868E-2</v>
      </c>
      <c r="BM15" s="34">
        <f t="shared" si="26"/>
        <v>0.97853618839326562</v>
      </c>
      <c r="BN15" s="103">
        <f t="shared" si="22"/>
        <v>961.95</v>
      </c>
      <c r="BO15" s="103">
        <f t="shared" si="29"/>
        <v>21.100000000000005</v>
      </c>
      <c r="BP15" s="103"/>
      <c r="BQ15" s="11">
        <v>20</v>
      </c>
      <c r="BR15" s="138" t="str">
        <f t="shared" si="28"/>
        <v>22 - 23</v>
      </c>
      <c r="BS15" s="142">
        <f t="shared" si="27"/>
        <v>11.032695974975796</v>
      </c>
      <c r="BT15" s="142">
        <f t="shared" si="27"/>
        <v>12.703323928431157</v>
      </c>
      <c r="BU15" s="142">
        <f t="shared" si="27"/>
        <v>11.779564942402899</v>
      </c>
      <c r="BV15" s="142">
        <f t="shared" si="27"/>
        <v>10.672364455603073</v>
      </c>
      <c r="BW15" s="142">
        <f t="shared" si="27"/>
        <v>2.6795562076989907</v>
      </c>
      <c r="BY15" s="10">
        <v>19</v>
      </c>
      <c r="BZ15" s="121" t="s">
        <v>326</v>
      </c>
      <c r="CA15" s="141">
        <v>23.683608046043648</v>
      </c>
      <c r="CB15" s="141">
        <v>8.1828012308460636</v>
      </c>
      <c r="CC15" s="141">
        <v>8.2941764277430856</v>
      </c>
      <c r="CD15" s="141">
        <v>16.149403550068492</v>
      </c>
      <c r="CE15" s="141">
        <v>31.971232991616326</v>
      </c>
      <c r="CF15" s="141">
        <v>24.980801515785462</v>
      </c>
      <c r="CG15" s="141">
        <v>15.880792781081551</v>
      </c>
      <c r="CH15" s="139">
        <v>129.14281654318461</v>
      </c>
      <c r="CI15" s="11"/>
      <c r="CJ15" s="10">
        <v>19</v>
      </c>
      <c r="CK15" s="121" t="s">
        <v>326</v>
      </c>
      <c r="CL15" s="133">
        <v>28.69448348975331</v>
      </c>
      <c r="CM15" s="133">
        <v>9.914082953997756</v>
      </c>
      <c r="CN15" s="133">
        <v>10.04902243375593</v>
      </c>
      <c r="CO15" s="133">
        <v>19.566224564935517</v>
      </c>
      <c r="CP15" s="133">
        <v>38.73556830705288</v>
      </c>
      <c r="CQ15" s="133">
        <v>30.266131548113243</v>
      </c>
      <c r="CR15" s="133">
        <v>19.240782290224626</v>
      </c>
      <c r="CS15" s="129">
        <v>156.46629558783326</v>
      </c>
    </row>
    <row r="16" spans="1:205" ht="14.4" x14ac:dyDescent="0.3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7" t="str">
        <f t="shared" si="8"/>
        <v>#LIRP7TY1K</v>
      </c>
      <c r="O16" s="7">
        <f t="shared" si="0"/>
        <v>0</v>
      </c>
      <c r="P16" s="21">
        <f t="shared" si="9"/>
        <v>43228</v>
      </c>
      <c r="Q16" s="22">
        <f>VLOOKUP(R16,Referencias!$D$1:$E$13,2,0)</f>
        <v>5</v>
      </c>
      <c r="R16" s="7" t="str">
        <f t="shared" si="10"/>
        <v>MAI</v>
      </c>
      <c r="S16" s="7">
        <f t="shared" si="1"/>
        <v>0</v>
      </c>
      <c r="T16" s="11">
        <f t="shared" si="11"/>
        <v>8</v>
      </c>
      <c r="U16" s="11">
        <f t="shared" si="2"/>
        <v>0</v>
      </c>
      <c r="V16" s="11" t="e">
        <f>VLOOKUP(C16,Referencias!$A$2:$B$33,2,1)</f>
        <v>#N/A</v>
      </c>
      <c r="W16" s="23" t="str">
        <f t="shared" si="17"/>
        <v/>
      </c>
      <c r="X16" s="11">
        <f t="shared" si="3"/>
        <v>0</v>
      </c>
      <c r="Y16" s="11">
        <f t="shared" si="12"/>
        <v>0</v>
      </c>
      <c r="Z16" s="24">
        <f t="shared" si="13"/>
        <v>0</v>
      </c>
      <c r="AA16" s="25">
        <f t="shared" si="14"/>
        <v>0</v>
      </c>
      <c r="AB16" s="24">
        <f t="shared" si="4"/>
        <v>0</v>
      </c>
      <c r="AC16" s="24">
        <f t="shared" si="5"/>
        <v>0</v>
      </c>
      <c r="AD16" s="24">
        <f t="shared" si="6"/>
        <v>0</v>
      </c>
      <c r="AE16" s="24">
        <f t="shared" si="7"/>
        <v>0</v>
      </c>
      <c r="AF16" s="119" t="str">
        <f>VLOOKUP(P16*1,Referencias!$G:$H,2,0)</f>
        <v>ter</v>
      </c>
      <c r="AI16" s="51" t="s">
        <v>92</v>
      </c>
      <c r="AJ16" s="51" t="s">
        <v>215</v>
      </c>
      <c r="AK16" s="51" t="s">
        <v>216</v>
      </c>
      <c r="AL16" s="51" t="s">
        <v>93</v>
      </c>
      <c r="AM16" s="51"/>
      <c r="AN16" s="51"/>
      <c r="AO16" s="51"/>
      <c r="AQ16" s="118">
        <v>43242</v>
      </c>
      <c r="AR16" s="11">
        <v>5</v>
      </c>
      <c r="AS16" s="28">
        <v>21.79</v>
      </c>
      <c r="AT16" s="29">
        <v>0.16250000000000001</v>
      </c>
      <c r="AU16" s="30">
        <v>37.489999999999995</v>
      </c>
      <c r="AV16" s="30">
        <f t="shared" si="18"/>
        <v>3.9</v>
      </c>
      <c r="AW16" s="30">
        <f t="shared" si="19"/>
        <v>5.5871794871794869</v>
      </c>
      <c r="AX16" s="30">
        <f t="shared" si="16"/>
        <v>3.963874626630508</v>
      </c>
      <c r="AZ16" s="35" t="s">
        <v>42</v>
      </c>
      <c r="BA16" s="29">
        <v>2.7083333333333334E-2</v>
      </c>
      <c r="BB16" s="30">
        <v>5.86</v>
      </c>
      <c r="BC16" s="30">
        <v>12.46</v>
      </c>
      <c r="BD16" s="31">
        <v>1</v>
      </c>
      <c r="BF16" s="49" t="s">
        <v>317</v>
      </c>
      <c r="BG16" s="29">
        <v>0.12777777777777777</v>
      </c>
      <c r="BH16" s="30">
        <v>12.59</v>
      </c>
      <c r="BI16" s="30">
        <v>16.48</v>
      </c>
      <c r="BJ16" s="31">
        <v>4</v>
      </c>
      <c r="BK16"/>
      <c r="BL16" s="33">
        <f t="shared" si="20"/>
        <v>1.2807080006103451E-2</v>
      </c>
      <c r="BM16" s="34">
        <f t="shared" si="26"/>
        <v>0.99134326839936904</v>
      </c>
      <c r="BN16" s="103">
        <f t="shared" si="22"/>
        <v>974.54000000000008</v>
      </c>
      <c r="BO16" s="103">
        <f t="shared" si="29"/>
        <v>8.5100000000000051</v>
      </c>
      <c r="BQ16" s="112"/>
      <c r="BR16" s="10"/>
      <c r="BS16" s="10"/>
      <c r="BV16" s="10"/>
      <c r="BW16" s="10"/>
      <c r="BX16" s="31">
        <f>SUM(BS10:BW15)</f>
        <v>366.52267002376539</v>
      </c>
      <c r="BY16" s="10">
        <v>20</v>
      </c>
      <c r="BZ16" s="121" t="s">
        <v>327</v>
      </c>
      <c r="CA16" s="139">
        <v>2.6795562076989907</v>
      </c>
      <c r="CB16" s="141">
        <v>10.574092223046874</v>
      </c>
      <c r="CC16" s="141">
        <v>11.032695974975796</v>
      </c>
      <c r="CD16" s="141">
        <v>12.703323928431157</v>
      </c>
      <c r="CE16" s="139">
        <v>6.5252762417315289</v>
      </c>
      <c r="CF16" s="141">
        <v>11.779564942402899</v>
      </c>
      <c r="CG16" s="141">
        <v>10.672364455603073</v>
      </c>
      <c r="CH16" s="139">
        <v>65.966873973890316</v>
      </c>
      <c r="CI16" s="31"/>
      <c r="CJ16" s="10">
        <v>20</v>
      </c>
      <c r="CK16" s="121" t="s">
        <v>327</v>
      </c>
      <c r="CL16" s="129">
        <v>3.2464851306525873</v>
      </c>
      <c r="CM16" s="133">
        <v>12.811312960570358</v>
      </c>
      <c r="CN16" s="133">
        <v>13.366946112515787</v>
      </c>
      <c r="CO16" s="133">
        <v>15.391038308888428</v>
      </c>
      <c r="CP16" s="129">
        <v>7.9058659905378423</v>
      </c>
      <c r="CQ16" s="133">
        <v>14.271834388541205</v>
      </c>
      <c r="CR16" s="133">
        <v>12.930377207415809</v>
      </c>
      <c r="CS16" s="129">
        <v>79.92386009912201</v>
      </c>
    </row>
    <row r="17" spans="1:97" ht="14.4" x14ac:dyDescent="0.3">
      <c r="A17" s="16"/>
      <c r="B17" s="17" t="s">
        <v>35</v>
      </c>
      <c r="C17" s="18">
        <v>0.85138888888888897</v>
      </c>
      <c r="D17" s="7">
        <v>7.11</v>
      </c>
      <c r="E17" s="7" t="s">
        <v>36</v>
      </c>
      <c r="F17" s="7"/>
      <c r="G17" s="19">
        <v>3.98</v>
      </c>
      <c r="H17" s="20">
        <v>23.45</v>
      </c>
      <c r="I17" s="7"/>
      <c r="J17" s="7"/>
      <c r="K17" s="7"/>
      <c r="L17" s="7"/>
      <c r="M17" s="7"/>
      <c r="N17" s="7" t="str">
        <f t="shared" si="8"/>
        <v>#LIL4LBFYX</v>
      </c>
      <c r="O17" s="7" t="str">
        <f t="shared" si="0"/>
        <v>#LIL4LBFYX</v>
      </c>
      <c r="P17" s="21">
        <f t="shared" si="9"/>
        <v>43228</v>
      </c>
      <c r="Q17" s="22">
        <f>VLOOKUP(R17,Referencias!$D$1:$E$13,2,0)</f>
        <v>5</v>
      </c>
      <c r="R17" s="7" t="str">
        <f t="shared" si="10"/>
        <v>MAI</v>
      </c>
      <c r="S17" s="7">
        <f t="shared" si="1"/>
        <v>0</v>
      </c>
      <c r="T17" s="11">
        <f t="shared" si="11"/>
        <v>8</v>
      </c>
      <c r="U17" s="11">
        <f t="shared" si="2"/>
        <v>0</v>
      </c>
      <c r="V17" s="11" t="str">
        <f>VLOOKUP(C17,Referencias!$A$2:$B$33,2,1)</f>
        <v>20 - 21</v>
      </c>
      <c r="W17" s="23">
        <f t="shared" si="17"/>
        <v>2.2222222222222143E-2</v>
      </c>
      <c r="X17" s="11">
        <f t="shared" si="3"/>
        <v>7.11</v>
      </c>
      <c r="Y17" s="11">
        <f t="shared" si="12"/>
        <v>12.55578577442618</v>
      </c>
      <c r="Z17" s="24">
        <f t="shared" si="13"/>
        <v>3.98</v>
      </c>
      <c r="AA17" s="25">
        <f t="shared" si="14"/>
        <v>7.4625000000000261</v>
      </c>
      <c r="AB17" s="24">
        <f t="shared" si="4"/>
        <v>1</v>
      </c>
      <c r="AC17" s="24">
        <f t="shared" si="5"/>
        <v>2.6074899038244461</v>
      </c>
      <c r="AD17" s="24">
        <f t="shared" si="6"/>
        <v>3.1591713496325911</v>
      </c>
      <c r="AE17" s="24">
        <f t="shared" si="7"/>
        <v>3.7456835892097309</v>
      </c>
      <c r="AF17" s="119" t="str">
        <f>VLOOKUP(P17*1,Referencias!$G:$H,2,0)</f>
        <v>ter</v>
      </c>
      <c r="AH17" s="10" t="s">
        <v>307</v>
      </c>
      <c r="AI17" s="10"/>
      <c r="AL17" s="10"/>
      <c r="AM17" s="10"/>
      <c r="AN17" s="10"/>
      <c r="AO17" s="10"/>
      <c r="AQ17" s="118">
        <v>43243</v>
      </c>
      <c r="AR17" s="11">
        <v>7</v>
      </c>
      <c r="AS17" s="28">
        <v>23.459999999999997</v>
      </c>
      <c r="AT17" s="29">
        <v>0.16666666666666669</v>
      </c>
      <c r="AU17" s="30">
        <v>35.42</v>
      </c>
      <c r="AV17" s="30">
        <f t="shared" si="18"/>
        <v>4.0000000000000009</v>
      </c>
      <c r="AW17" s="30">
        <f t="shared" si="19"/>
        <v>5.8649999999999984</v>
      </c>
      <c r="AX17" s="30">
        <f t="shared" si="16"/>
        <v>4.1609768826173896</v>
      </c>
      <c r="AZ17" s="118">
        <v>43230</v>
      </c>
      <c r="BA17" s="29">
        <v>0.11944444444444444</v>
      </c>
      <c r="BB17" s="30">
        <v>13.43</v>
      </c>
      <c r="BC17" s="30">
        <v>18.37</v>
      </c>
      <c r="BD17" s="31">
        <v>4</v>
      </c>
      <c r="BF17" s="49" t="s">
        <v>323</v>
      </c>
      <c r="BG17" s="29">
        <v>6.5972222222222224E-2</v>
      </c>
      <c r="BH17" s="30">
        <v>8.51</v>
      </c>
      <c r="BI17" s="30">
        <v>11.51</v>
      </c>
      <c r="BJ17" s="31">
        <v>3</v>
      </c>
      <c r="BK17"/>
      <c r="BL17" s="33">
        <f t="shared" si="20"/>
        <v>8.6567316006306884E-3</v>
      </c>
      <c r="BM17" s="34">
        <f t="shared" si="26"/>
        <v>0.99999999999999978</v>
      </c>
      <c r="BN17" s="103">
        <f t="shared" si="22"/>
        <v>983.05000000000007</v>
      </c>
      <c r="BO17" s="103">
        <f t="shared" si="29"/>
        <v>0</v>
      </c>
      <c r="BQ17" s="112"/>
      <c r="BR17" s="10" t="s">
        <v>437</v>
      </c>
      <c r="BS17" s="10"/>
      <c r="BV17" s="103">
        <f>AL5/BV21</f>
        <v>3.6011677634602823</v>
      </c>
      <c r="BW17" s="103"/>
      <c r="BX17" s="109"/>
      <c r="BY17" s="10">
        <v>21</v>
      </c>
      <c r="BZ17" s="121" t="s">
        <v>329</v>
      </c>
      <c r="CA17" s="139"/>
      <c r="CB17" s="139">
        <v>0</v>
      </c>
      <c r="CC17" s="139">
        <v>1.6051131317512295</v>
      </c>
      <c r="CD17" s="139">
        <v>0</v>
      </c>
      <c r="CE17" s="139">
        <v>2.8433432619593204</v>
      </c>
      <c r="CF17" s="139">
        <v>1.8540694542269303</v>
      </c>
      <c r="CG17" s="139">
        <v>7.1018066727278875</v>
      </c>
      <c r="CH17" s="139">
        <v>13.404332520665367</v>
      </c>
      <c r="CI17" s="109"/>
      <c r="CJ17" s="10">
        <v>21</v>
      </c>
      <c r="CK17" s="121" t="s">
        <v>329</v>
      </c>
      <c r="CL17" s="129"/>
      <c r="CM17" s="129">
        <v>0</v>
      </c>
      <c r="CN17" s="129">
        <v>1.9447160318090073</v>
      </c>
      <c r="CO17" s="129">
        <v>0</v>
      </c>
      <c r="CP17" s="129">
        <v>3.4449255420616698</v>
      </c>
      <c r="CQ17" s="129">
        <v>2.2463454571508126</v>
      </c>
      <c r="CR17" s="129">
        <v>8.6043762386978102</v>
      </c>
      <c r="CS17" s="129">
        <v>16.2403632697193</v>
      </c>
    </row>
    <row r="18" spans="1:97" ht="14.4" x14ac:dyDescent="0.3">
      <c r="A18" s="16"/>
      <c r="B18" s="17"/>
      <c r="C18" s="18">
        <v>0.87361111111111112</v>
      </c>
      <c r="D18" s="7"/>
      <c r="E18" s="7"/>
      <c r="F18" s="7"/>
      <c r="G18" s="19"/>
      <c r="H18" s="20"/>
      <c r="I18" s="7"/>
      <c r="J18" s="7"/>
      <c r="K18" s="7"/>
      <c r="L18" s="7"/>
      <c r="M18" s="7"/>
      <c r="N18" s="7" t="str">
        <f t="shared" si="8"/>
        <v>#LIL4LBFYX</v>
      </c>
      <c r="O18" s="7">
        <f t="shared" si="0"/>
        <v>0</v>
      </c>
      <c r="P18" s="21">
        <f t="shared" si="9"/>
        <v>43228</v>
      </c>
      <c r="Q18" s="22">
        <f>VLOOKUP(R18,Referencias!$D$1:$E$13,2,0)</f>
        <v>5</v>
      </c>
      <c r="R18" s="7" t="str">
        <f t="shared" si="10"/>
        <v>MAI</v>
      </c>
      <c r="S18" s="7">
        <f t="shared" si="1"/>
        <v>0</v>
      </c>
      <c r="T18" s="11">
        <f t="shared" si="11"/>
        <v>8</v>
      </c>
      <c r="U18" s="11">
        <f t="shared" si="2"/>
        <v>0</v>
      </c>
      <c r="V18" s="11" t="str">
        <f>VLOOKUP(C18,Referencias!$A$2:$B$33,2,1)</f>
        <v>20 - 21</v>
      </c>
      <c r="W18" s="23" t="str">
        <f t="shared" si="17"/>
        <v/>
      </c>
      <c r="X18" s="11">
        <f t="shared" si="3"/>
        <v>0</v>
      </c>
      <c r="Y18" s="11">
        <f t="shared" si="12"/>
        <v>0</v>
      </c>
      <c r="Z18" s="24">
        <f t="shared" si="13"/>
        <v>0</v>
      </c>
      <c r="AA18" s="25">
        <f t="shared" si="14"/>
        <v>0</v>
      </c>
      <c r="AB18" s="24">
        <f t="shared" si="4"/>
        <v>0</v>
      </c>
      <c r="AC18" s="24">
        <f t="shared" si="5"/>
        <v>0</v>
      </c>
      <c r="AD18" s="24">
        <f t="shared" si="6"/>
        <v>0</v>
      </c>
      <c r="AE18" s="24">
        <f t="shared" si="7"/>
        <v>0</v>
      </c>
      <c r="AF18" s="119" t="str">
        <f>VLOOKUP(P18*1,Referencias!$G:$H,2,0)</f>
        <v>ter</v>
      </c>
      <c r="AH18" s="52" t="s">
        <v>91</v>
      </c>
      <c r="AI18" s="25">
        <f>Fuelio!P3</f>
        <v>16.103618640672988</v>
      </c>
      <c r="AJ18" s="25">
        <v>42</v>
      </c>
      <c r="AK18" s="25">
        <v>45</v>
      </c>
      <c r="AL18" s="25">
        <v>0</v>
      </c>
      <c r="AM18" s="25"/>
      <c r="AQ18" s="118">
        <v>43244</v>
      </c>
      <c r="AR18" s="11">
        <v>5</v>
      </c>
      <c r="AS18" s="28">
        <v>42.96</v>
      </c>
      <c r="AT18" s="29">
        <v>0.16805555555555557</v>
      </c>
      <c r="AU18" s="30">
        <v>40.339999999999996</v>
      </c>
      <c r="AV18" s="30">
        <f t="shared" si="18"/>
        <v>4.0333333333333332</v>
      </c>
      <c r="AW18" s="30">
        <f t="shared" si="19"/>
        <v>10.651239669421487</v>
      </c>
      <c r="AX18" s="30">
        <f t="shared" si="16"/>
        <v>7.5566175678908962</v>
      </c>
      <c r="AZ18" s="35" t="s">
        <v>52</v>
      </c>
      <c r="BA18" s="29">
        <v>2.2916666666666669E-2</v>
      </c>
      <c r="BB18" s="30">
        <v>3.36</v>
      </c>
      <c r="BC18" s="30">
        <v>5.32</v>
      </c>
      <c r="BD18" s="31">
        <v>1</v>
      </c>
      <c r="BF18" s="35" t="s">
        <v>147</v>
      </c>
      <c r="BG18" s="29">
        <v>6.5048611111111132</v>
      </c>
      <c r="BH18" s="30">
        <v>983.05000000000018</v>
      </c>
      <c r="BI18" s="30">
        <v>1521.9599999999998</v>
      </c>
      <c r="BJ18" s="31">
        <v>241</v>
      </c>
      <c r="BK18"/>
      <c r="BL18" s="33"/>
      <c r="BM18" s="34"/>
      <c r="BR18" s="10"/>
      <c r="BS18" s="10"/>
      <c r="BZ18" s="11" t="s">
        <v>147</v>
      </c>
      <c r="CA18" s="140">
        <v>151.64715779855391</v>
      </c>
      <c r="CB18" s="140">
        <v>61.328424597237785</v>
      </c>
      <c r="CC18" s="140">
        <v>81.795254897608544</v>
      </c>
      <c r="CD18" s="140">
        <v>80.760120714683296</v>
      </c>
      <c r="CE18" s="140">
        <v>89.132914928471322</v>
      </c>
      <c r="CF18" s="140">
        <v>84.127582550275662</v>
      </c>
      <c r="CG18" s="140">
        <v>95.251999275637246</v>
      </c>
      <c r="CH18" s="140">
        <v>644.0434547624676</v>
      </c>
      <c r="CI18" s="11"/>
      <c r="CK18" s="11" t="s">
        <v>147</v>
      </c>
      <c r="CL18" s="123">
        <v>183.73200811544118</v>
      </c>
      <c r="CM18" s="123">
        <v>74.304027648016799</v>
      </c>
      <c r="CN18" s="123">
        <v>99.101141457695746</v>
      </c>
      <c r="CO18" s="123">
        <v>97.846998057590326</v>
      </c>
      <c r="CP18" s="123">
        <v>107.99127188882262</v>
      </c>
      <c r="CQ18" s="123">
        <v>101.92693291616108</v>
      </c>
      <c r="CR18" s="123">
        <v>115.40500565906594</v>
      </c>
      <c r="CS18" s="123">
        <v>780.3073857427936</v>
      </c>
    </row>
    <row r="19" spans="1:97" ht="14.4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7"/>
      <c r="K19" s="37"/>
      <c r="L19" s="37"/>
      <c r="M19" s="37"/>
      <c r="N19" s="7" t="str">
        <f t="shared" si="8"/>
        <v>#LIL4LBFYX</v>
      </c>
      <c r="O19" s="7">
        <f t="shared" si="0"/>
        <v>0</v>
      </c>
      <c r="P19" s="21">
        <f t="shared" si="9"/>
        <v>43228</v>
      </c>
      <c r="Q19" s="22">
        <f>VLOOKUP(R19,Referencias!$D$1:$E$13,2,0)</f>
        <v>5</v>
      </c>
      <c r="R19" s="7" t="str">
        <f t="shared" si="10"/>
        <v>MAI</v>
      </c>
      <c r="S19" s="7">
        <f t="shared" si="1"/>
        <v>0</v>
      </c>
      <c r="T19" s="11">
        <f t="shared" si="11"/>
        <v>8</v>
      </c>
      <c r="U19" s="11">
        <f t="shared" si="2"/>
        <v>0</v>
      </c>
      <c r="V19" s="11" t="e">
        <f>VLOOKUP(C19,Referencias!$A$2:$B$33,2,1)</f>
        <v>#N/A</v>
      </c>
      <c r="W19" s="23" t="str">
        <f t="shared" si="17"/>
        <v/>
      </c>
      <c r="X19" s="11">
        <f t="shared" si="3"/>
        <v>0</v>
      </c>
      <c r="Y19" s="11">
        <f t="shared" si="12"/>
        <v>0</v>
      </c>
      <c r="Z19" s="24">
        <f t="shared" si="13"/>
        <v>0</v>
      </c>
      <c r="AA19" s="25">
        <f t="shared" si="14"/>
        <v>0</v>
      </c>
      <c r="AB19" s="24">
        <f t="shared" si="4"/>
        <v>0</v>
      </c>
      <c r="AC19" s="24">
        <f t="shared" si="5"/>
        <v>0</v>
      </c>
      <c r="AD19" s="24">
        <f t="shared" si="6"/>
        <v>0</v>
      </c>
      <c r="AE19" s="24">
        <f t="shared" si="7"/>
        <v>0</v>
      </c>
      <c r="AF19" s="119" t="str">
        <f>VLOOKUP(P19*1,Referencias!$G:$H,2,0)</f>
        <v>ter</v>
      </c>
      <c r="AH19" s="52" t="s">
        <v>94</v>
      </c>
      <c r="AI19" s="25">
        <f>Fuelio!L1</f>
        <v>1.6799305648284153</v>
      </c>
      <c r="AJ19" s="25">
        <f>AI19</f>
        <v>1.6799305648284153</v>
      </c>
      <c r="AK19" s="25">
        <f>AJ19</f>
        <v>1.6799305648284153</v>
      </c>
      <c r="AL19" s="25">
        <v>0</v>
      </c>
      <c r="AM19" s="25"/>
      <c r="AN19" s="109"/>
      <c r="AQ19" s="118">
        <v>43245</v>
      </c>
      <c r="AR19" s="11">
        <v>6</v>
      </c>
      <c r="AS19" s="28">
        <v>28.029999999999998</v>
      </c>
      <c r="AT19" s="29">
        <v>0.15625</v>
      </c>
      <c r="AU19" s="30">
        <v>51.99</v>
      </c>
      <c r="AV19" s="30">
        <f t="shared" si="18"/>
        <v>3.75</v>
      </c>
      <c r="AW19" s="30">
        <f t="shared" si="19"/>
        <v>7.4746666666666659</v>
      </c>
      <c r="AX19" s="30">
        <f t="shared" si="16"/>
        <v>5.3029693444621966</v>
      </c>
      <c r="AZ19" s="35" t="s">
        <v>51</v>
      </c>
      <c r="BA19" s="29">
        <v>3.8194444444444441E-2</v>
      </c>
      <c r="BB19" s="30">
        <v>3.04</v>
      </c>
      <c r="BC19" s="30">
        <v>4.4000000000000004</v>
      </c>
      <c r="BD19" s="31">
        <v>1</v>
      </c>
      <c r="BF19" s="10"/>
      <c r="BG19" s="10"/>
      <c r="BR19" s="10"/>
      <c r="BS19" s="10"/>
      <c r="BZ19"/>
      <c r="CA19"/>
      <c r="CB19"/>
      <c r="CC19"/>
      <c r="CD19"/>
      <c r="CE19"/>
      <c r="CF19"/>
      <c r="CG19"/>
      <c r="CH19"/>
    </row>
    <row r="20" spans="1:97" ht="14.4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7" t="str">
        <f t="shared" si="8"/>
        <v>#LIL4LBFYX</v>
      </c>
      <c r="O20" s="7">
        <f t="shared" si="0"/>
        <v>0</v>
      </c>
      <c r="P20" s="21">
        <f t="shared" si="9"/>
        <v>43228</v>
      </c>
      <c r="Q20" s="22">
        <f>VLOOKUP(R20,Referencias!$D$1:$E$13,2,0)</f>
        <v>5</v>
      </c>
      <c r="R20" s="7" t="str">
        <f t="shared" si="10"/>
        <v>MAI</v>
      </c>
      <c r="S20" s="7">
        <f t="shared" si="1"/>
        <v>0</v>
      </c>
      <c r="T20" s="11">
        <f t="shared" si="11"/>
        <v>8</v>
      </c>
      <c r="U20" s="11">
        <f t="shared" si="2"/>
        <v>0</v>
      </c>
      <c r="V20" s="11" t="e">
        <f>VLOOKUP(C20,Referencias!$A$2:$B$33,2,1)</f>
        <v>#N/A</v>
      </c>
      <c r="W20" s="23" t="str">
        <f t="shared" si="17"/>
        <v/>
      </c>
      <c r="X20" s="11">
        <f t="shared" si="3"/>
        <v>0</v>
      </c>
      <c r="Y20" s="11">
        <f t="shared" si="12"/>
        <v>0</v>
      </c>
      <c r="Z20" s="24">
        <f t="shared" si="13"/>
        <v>0</v>
      </c>
      <c r="AA20" s="25">
        <f t="shared" si="14"/>
        <v>0</v>
      </c>
      <c r="AB20" s="24">
        <f t="shared" si="4"/>
        <v>0</v>
      </c>
      <c r="AC20" s="24">
        <f t="shared" si="5"/>
        <v>0</v>
      </c>
      <c r="AD20" s="24">
        <f t="shared" si="6"/>
        <v>0</v>
      </c>
      <c r="AE20" s="24">
        <f t="shared" si="7"/>
        <v>0</v>
      </c>
      <c r="AF20" s="119" t="str">
        <f>VLOOKUP(P20*1,Referencias!$G:$H,2,0)</f>
        <v>ter</v>
      </c>
      <c r="AH20" s="52" t="s">
        <v>95</v>
      </c>
      <c r="AI20" s="25">
        <f>$AI$14/AI18*AI19</f>
        <v>8.5310546235499896</v>
      </c>
      <c r="AJ20" s="25">
        <f>$AI$14/AJ18*AJ19</f>
        <v>3.2709726252475977</v>
      </c>
      <c r="AK20" s="25">
        <f>$AI$14/AK18*AK19</f>
        <v>3.0529077835644243</v>
      </c>
      <c r="AL20" s="25">
        <v>0</v>
      </c>
      <c r="AM20" s="25"/>
      <c r="AN20" s="109">
        <f>-AI6*AL8</f>
        <v>281.52480257714961</v>
      </c>
      <c r="AO20" s="109">
        <f>-AI6*AN8</f>
        <v>100.745956857626</v>
      </c>
      <c r="AQ20" s="118">
        <v>43246</v>
      </c>
      <c r="AR20" s="11">
        <v>2</v>
      </c>
      <c r="AS20" s="28">
        <v>8.82</v>
      </c>
      <c r="AT20" s="29">
        <v>9.8611111111111122E-2</v>
      </c>
      <c r="AU20" s="30">
        <v>14.84</v>
      </c>
      <c r="AV20" s="30">
        <f t="shared" si="18"/>
        <v>2.3666666666666667</v>
      </c>
      <c r="AW20" s="30">
        <f t="shared" si="19"/>
        <v>3.7267605633802816</v>
      </c>
      <c r="AX20" s="30">
        <f t="shared" si="16"/>
        <v>2.6439837257076748</v>
      </c>
      <c r="AZ20" s="35" t="s">
        <v>47</v>
      </c>
      <c r="BA20" s="29">
        <v>2.6388888888888889E-2</v>
      </c>
      <c r="BB20" s="30">
        <v>2.96</v>
      </c>
      <c r="BC20" s="30">
        <v>3.99</v>
      </c>
      <c r="BD20" s="31">
        <v>1</v>
      </c>
      <c r="BG20" s="12" t="s">
        <v>235</v>
      </c>
      <c r="BH20" s="12" t="s">
        <v>356</v>
      </c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 t="s">
        <v>373</v>
      </c>
      <c r="BW20" s="11" t="s">
        <v>372</v>
      </c>
      <c r="BX20" s="11" t="s">
        <v>374</v>
      </c>
      <c r="BZ20" s="112"/>
      <c r="CA20" s="112"/>
      <c r="CB20" s="112"/>
      <c r="CC20" s="112"/>
      <c r="CD20" s="112"/>
    </row>
    <row r="21" spans="1:97" ht="14.4" x14ac:dyDescent="0.3">
      <c r="A21" s="16"/>
      <c r="B21" s="17" t="s">
        <v>37</v>
      </c>
      <c r="C21" s="18">
        <v>0.87430555555555556</v>
      </c>
      <c r="D21" s="7">
        <v>3.81</v>
      </c>
      <c r="E21" s="7" t="s">
        <v>17</v>
      </c>
      <c r="F21" s="7"/>
      <c r="G21" s="19">
        <v>2.83</v>
      </c>
      <c r="H21" s="20">
        <v>26.28</v>
      </c>
      <c r="I21" s="7"/>
      <c r="J21" s="7"/>
      <c r="K21" s="7"/>
      <c r="L21" s="7"/>
      <c r="M21" s="7"/>
      <c r="N21" s="7" t="str">
        <f t="shared" si="8"/>
        <v>#LIYNQ1UUZ</v>
      </c>
      <c r="O21" s="7" t="str">
        <f t="shared" si="0"/>
        <v>#LIYNQ1UUZ</v>
      </c>
      <c r="P21" s="21">
        <f t="shared" si="9"/>
        <v>43228</v>
      </c>
      <c r="Q21" s="22">
        <f>VLOOKUP(R21,Referencias!$D$1:$E$13,2,0)</f>
        <v>5</v>
      </c>
      <c r="R21" s="7" t="str">
        <f t="shared" si="10"/>
        <v>MAI</v>
      </c>
      <c r="S21" s="7">
        <f t="shared" si="1"/>
        <v>0</v>
      </c>
      <c r="T21" s="11">
        <f t="shared" si="11"/>
        <v>8</v>
      </c>
      <c r="U21" s="11">
        <f t="shared" si="2"/>
        <v>0</v>
      </c>
      <c r="V21" s="11" t="str">
        <f>VLOOKUP(C21,Referencias!$A$2:$B$33,2,1)</f>
        <v>20 - 21</v>
      </c>
      <c r="W21" s="23">
        <f t="shared" si="17"/>
        <v>1.4583333333333282E-2</v>
      </c>
      <c r="X21" s="11">
        <f t="shared" si="3"/>
        <v>3.81</v>
      </c>
      <c r="Y21" s="11">
        <f t="shared" si="12"/>
        <v>6.72820587912289</v>
      </c>
      <c r="Z21" s="24">
        <f t="shared" si="13"/>
        <v>2.83</v>
      </c>
      <c r="AA21" s="25">
        <f t="shared" si="14"/>
        <v>8.0857142857143138</v>
      </c>
      <c r="AB21" s="24">
        <f t="shared" si="4"/>
        <v>1</v>
      </c>
      <c r="AC21" s="24">
        <f t="shared" si="5"/>
        <v>1.8540694542269303</v>
      </c>
      <c r="AD21" s="24">
        <f t="shared" si="6"/>
        <v>2.2463454571508126</v>
      </c>
      <c r="AE21" s="24">
        <f t="shared" si="7"/>
        <v>2.663388079764708</v>
      </c>
      <c r="AF21" s="119" t="str">
        <f>VLOOKUP(P21*1,Referencias!$G:$H,2,0)</f>
        <v>ter</v>
      </c>
      <c r="AH21" s="52" t="s">
        <v>96</v>
      </c>
      <c r="AI21" s="25">
        <f>AN29/33/30</f>
        <v>1.2626262626262625</v>
      </c>
      <c r="AJ21" s="25">
        <f>189/30</f>
        <v>6.3</v>
      </c>
      <c r="AK21" s="25">
        <f>AO29/33/30</f>
        <v>2.3222222222222224</v>
      </c>
      <c r="AL21" s="25">
        <f>1500/33/30</f>
        <v>1.5151515151515151</v>
      </c>
      <c r="AM21" s="25"/>
      <c r="AO21" s="109"/>
      <c r="AQ21" s="118">
        <v>43247</v>
      </c>
      <c r="AR21" s="11">
        <v>15</v>
      </c>
      <c r="AS21" s="28">
        <v>66.709999999999994</v>
      </c>
      <c r="AT21" s="29">
        <v>0.38263888888888886</v>
      </c>
      <c r="AU21" s="30">
        <v>109.73000000000002</v>
      </c>
      <c r="AV21" s="30">
        <f t="shared" si="18"/>
        <v>9.1833333333333336</v>
      </c>
      <c r="AW21" s="30">
        <f t="shared" si="19"/>
        <v>7.2642468239564417</v>
      </c>
      <c r="AX21" s="30">
        <f t="shared" si="16"/>
        <v>5.1536850987399072</v>
      </c>
      <c r="AZ21" s="35" t="s">
        <v>49</v>
      </c>
      <c r="BA21" s="29">
        <v>3.1944444444444449E-2</v>
      </c>
      <c r="BB21" s="30">
        <v>4.07</v>
      </c>
      <c r="BC21" s="30">
        <v>4.66</v>
      </c>
      <c r="BD21" s="31">
        <v>1</v>
      </c>
      <c r="BG21" s="15" t="s">
        <v>146</v>
      </c>
      <c r="BH21" s="11" t="s">
        <v>317</v>
      </c>
      <c r="BI21" s="11" t="s">
        <v>318</v>
      </c>
      <c r="BJ21" s="11" t="s">
        <v>398</v>
      </c>
      <c r="BK21" s="11" t="s">
        <v>316</v>
      </c>
      <c r="BL21" s="11" t="s">
        <v>319</v>
      </c>
      <c r="BM21" s="11" t="s">
        <v>320</v>
      </c>
      <c r="BN21" s="11" t="s">
        <v>321</v>
      </c>
      <c r="BO21" s="11" t="s">
        <v>322</v>
      </c>
      <c r="BP21" s="11" t="s">
        <v>323</v>
      </c>
      <c r="BQ21" s="11" t="s">
        <v>324</v>
      </c>
      <c r="BR21" s="11" t="s">
        <v>325</v>
      </c>
      <c r="BS21" s="11" t="s">
        <v>326</v>
      </c>
      <c r="BT21" s="11" t="s">
        <v>327</v>
      </c>
      <c r="BU21" s="11" t="s">
        <v>329</v>
      </c>
      <c r="BV21" s="117">
        <f>SUM(BV22:BV1048576)</f>
        <v>180</v>
      </c>
      <c r="BW21" s="117">
        <f>SUM(BW22:BW1048576)</f>
        <v>154.26666666666668</v>
      </c>
      <c r="BX21" s="117">
        <f>SUM(BX22:BX1048576)</f>
        <v>25.733333333333334</v>
      </c>
      <c r="CB21" s="112"/>
      <c r="CC21" s="112"/>
      <c r="CD21" s="112"/>
    </row>
    <row r="22" spans="1:97" ht="14.4" x14ac:dyDescent="0.3">
      <c r="A22" s="16"/>
      <c r="B22" s="17"/>
      <c r="C22" s="18">
        <v>0.88888888888888884</v>
      </c>
      <c r="D22" s="7"/>
      <c r="E22" s="7"/>
      <c r="F22" s="7"/>
      <c r="G22" s="19"/>
      <c r="H22" s="20"/>
      <c r="I22" s="7"/>
      <c r="J22" s="7"/>
      <c r="K22" s="7"/>
      <c r="L22" s="7"/>
      <c r="M22" s="7"/>
      <c r="N22" s="7" t="str">
        <f t="shared" si="8"/>
        <v>#LIYNQ1UUZ</v>
      </c>
      <c r="O22" s="7">
        <f t="shared" si="0"/>
        <v>0</v>
      </c>
      <c r="P22" s="21">
        <f t="shared" si="9"/>
        <v>43228</v>
      </c>
      <c r="Q22" s="22">
        <f>VLOOKUP(R22,Referencias!$D$1:$E$13,2,0)</f>
        <v>5</v>
      </c>
      <c r="R22" s="7" t="str">
        <f t="shared" si="10"/>
        <v>MAI</v>
      </c>
      <c r="S22" s="7">
        <f t="shared" si="1"/>
        <v>0</v>
      </c>
      <c r="T22" s="11">
        <f t="shared" si="11"/>
        <v>8</v>
      </c>
      <c r="U22" s="11">
        <f t="shared" si="2"/>
        <v>0</v>
      </c>
      <c r="V22" s="11" t="str">
        <f>VLOOKUP(C22,Referencias!$A$2:$B$33,2,1)</f>
        <v>21 - 22</v>
      </c>
      <c r="W22" s="23" t="str">
        <f t="shared" si="17"/>
        <v/>
      </c>
      <c r="X22" s="11">
        <f t="shared" si="3"/>
        <v>0</v>
      </c>
      <c r="Y22" s="11">
        <f t="shared" si="12"/>
        <v>0</v>
      </c>
      <c r="Z22" s="24">
        <f t="shared" si="13"/>
        <v>0</v>
      </c>
      <c r="AA22" s="25">
        <f t="shared" si="14"/>
        <v>0</v>
      </c>
      <c r="AB22" s="24">
        <f t="shared" si="4"/>
        <v>0</v>
      </c>
      <c r="AC22" s="24">
        <f t="shared" si="5"/>
        <v>0</v>
      </c>
      <c r="AD22" s="24">
        <f t="shared" si="6"/>
        <v>0</v>
      </c>
      <c r="AE22" s="24">
        <f t="shared" si="7"/>
        <v>0</v>
      </c>
      <c r="AF22" s="119" t="str">
        <f>VLOOKUP(P22*1,Referencias!$G:$H,2,0)</f>
        <v>ter</v>
      </c>
      <c r="AH22" s="52" t="s">
        <v>97</v>
      </c>
      <c r="AI22" s="25">
        <f>-AN31</f>
        <v>-2.5826446280991737</v>
      </c>
      <c r="AJ22" s="25"/>
      <c r="AK22" s="25">
        <f>-AO31</f>
        <v>-4.75</v>
      </c>
      <c r="AL22" s="25"/>
      <c r="AM22" s="25"/>
      <c r="AN22" s="109"/>
      <c r="AQ22" s="118">
        <v>43248</v>
      </c>
      <c r="AR22" s="11">
        <v>9</v>
      </c>
      <c r="AS22" s="28">
        <v>29.500000000000004</v>
      </c>
      <c r="AT22" s="29">
        <v>0.21388888888888885</v>
      </c>
      <c r="AU22" s="30">
        <v>41.51</v>
      </c>
      <c r="AV22" s="30">
        <f t="shared" si="18"/>
        <v>5.133333333333332</v>
      </c>
      <c r="AW22" s="30">
        <f t="shared" si="19"/>
        <v>5.7467532467532489</v>
      </c>
      <c r="AX22" s="30">
        <f t="shared" si="16"/>
        <v>4.0770856623779537</v>
      </c>
      <c r="AZ22" s="118">
        <v>43231</v>
      </c>
      <c r="BA22" s="29">
        <v>0.14166666666666666</v>
      </c>
      <c r="BB22" s="30">
        <v>21.46</v>
      </c>
      <c r="BC22" s="30">
        <v>31.450000000000003</v>
      </c>
      <c r="BD22" s="31">
        <v>6</v>
      </c>
      <c r="BG22" s="118">
        <v>43227</v>
      </c>
      <c r="BH22" s="28"/>
      <c r="BI22" s="28"/>
      <c r="BJ22" s="28"/>
      <c r="BK22" s="28"/>
      <c r="BL22" s="28"/>
      <c r="BM22" s="28"/>
      <c r="BN22" s="28"/>
      <c r="BO22" s="28"/>
      <c r="BP22" s="28"/>
      <c r="BQ22" s="28">
        <v>1</v>
      </c>
      <c r="BR22" s="28">
        <v>1</v>
      </c>
      <c r="BS22" s="28">
        <v>0</v>
      </c>
      <c r="BT22" s="28"/>
      <c r="BU22" s="28"/>
      <c r="BV22" s="11">
        <f t="shared" ref="BV22:BV47" si="30">COUNTIF(BH22:BU22,"&gt;0")</f>
        <v>2</v>
      </c>
      <c r="BW22" s="25">
        <f>VLOOKUP(BG22,$AQ:$AV,6,0)</f>
        <v>0</v>
      </c>
      <c r="BX22" s="25">
        <f t="shared" ref="BX22:BX47" si="31">BV22-BW22</f>
        <v>2</v>
      </c>
      <c r="CB22" s="112"/>
      <c r="CC22" s="112"/>
      <c r="CD22" s="112"/>
    </row>
    <row r="23" spans="1:97" ht="15" thickBot="1" x14ac:dyDescent="0.35">
      <c r="A23" s="36"/>
      <c r="B23" s="36"/>
      <c r="C23" s="36"/>
      <c r="D23" s="36"/>
      <c r="E23" s="36"/>
      <c r="F23" s="36"/>
      <c r="G23" s="36"/>
      <c r="H23" s="36"/>
      <c r="I23" s="36"/>
      <c r="J23" s="37"/>
      <c r="K23" s="37"/>
      <c r="L23" s="37"/>
      <c r="M23" s="37"/>
      <c r="N23" s="7" t="str">
        <f t="shared" si="8"/>
        <v>#LIYNQ1UUZ</v>
      </c>
      <c r="O23" s="7">
        <f t="shared" si="0"/>
        <v>0</v>
      </c>
      <c r="P23" s="21">
        <f t="shared" si="9"/>
        <v>43228</v>
      </c>
      <c r="Q23" s="22">
        <f>VLOOKUP(R23,Referencias!$D$1:$E$13,2,0)</f>
        <v>5</v>
      </c>
      <c r="R23" s="7" t="str">
        <f t="shared" si="10"/>
        <v>MAI</v>
      </c>
      <c r="S23" s="7">
        <f t="shared" si="1"/>
        <v>0</v>
      </c>
      <c r="T23" s="11">
        <f t="shared" si="11"/>
        <v>8</v>
      </c>
      <c r="U23" s="11">
        <f t="shared" si="2"/>
        <v>0</v>
      </c>
      <c r="V23" s="11" t="e">
        <f>VLOOKUP(C23,Referencias!$A$2:$B$33,2,1)</f>
        <v>#N/A</v>
      </c>
      <c r="W23" s="23" t="str">
        <f t="shared" si="17"/>
        <v/>
      </c>
      <c r="X23" s="11">
        <f t="shared" si="3"/>
        <v>0</v>
      </c>
      <c r="Y23" s="11">
        <f t="shared" si="12"/>
        <v>0</v>
      </c>
      <c r="Z23" s="24">
        <f t="shared" si="13"/>
        <v>0</v>
      </c>
      <c r="AA23" s="25">
        <f t="shared" si="14"/>
        <v>0</v>
      </c>
      <c r="AB23" s="24">
        <f t="shared" si="4"/>
        <v>0</v>
      </c>
      <c r="AC23" s="24">
        <f t="shared" si="5"/>
        <v>0</v>
      </c>
      <c r="AD23" s="24">
        <f t="shared" si="6"/>
        <v>0</v>
      </c>
      <c r="AE23" s="24">
        <f t="shared" si="7"/>
        <v>0</v>
      </c>
      <c r="AF23" s="119" t="str">
        <f>VLOOKUP(P23*1,Referencias!$G:$H,2,0)</f>
        <v>ter</v>
      </c>
      <c r="AH23" s="53" t="s">
        <v>218</v>
      </c>
      <c r="AI23" s="54">
        <v>1.5</v>
      </c>
      <c r="AJ23" s="54">
        <v>0</v>
      </c>
      <c r="AK23" s="54">
        <v>0.5</v>
      </c>
      <c r="AL23" s="54">
        <v>0.25</v>
      </c>
      <c r="AM23" s="25"/>
      <c r="AN23" s="25"/>
      <c r="AO23" s="25"/>
      <c r="AQ23" s="118">
        <v>43249</v>
      </c>
      <c r="AR23" s="11">
        <v>6</v>
      </c>
      <c r="AS23" s="28">
        <v>20.959999999999997</v>
      </c>
      <c r="AT23" s="29">
        <v>0.14930555555555555</v>
      </c>
      <c r="AU23" s="30">
        <v>32.489999999999995</v>
      </c>
      <c r="AV23" s="30">
        <f t="shared" si="18"/>
        <v>3.5833333333333335</v>
      </c>
      <c r="AW23" s="30">
        <f t="shared" si="19"/>
        <v>5.8493023255813945</v>
      </c>
      <c r="AX23" s="30">
        <f t="shared" si="16"/>
        <v>4.1498400266298932</v>
      </c>
      <c r="AZ23" s="35" t="s">
        <v>57</v>
      </c>
      <c r="BA23" s="29">
        <v>1.8749999999999999E-2</v>
      </c>
      <c r="BB23" s="30">
        <v>3.17</v>
      </c>
      <c r="BC23" s="30">
        <v>4.78</v>
      </c>
      <c r="BD23" s="31">
        <v>1</v>
      </c>
      <c r="BG23" s="118">
        <v>43228</v>
      </c>
      <c r="BH23" s="28"/>
      <c r="BI23" s="28"/>
      <c r="BJ23" s="28"/>
      <c r="BK23" s="28"/>
      <c r="BL23" s="28"/>
      <c r="BM23" s="28"/>
      <c r="BN23" s="28"/>
      <c r="BO23" s="28"/>
      <c r="BP23" s="28"/>
      <c r="BQ23" s="28">
        <v>2</v>
      </c>
      <c r="BR23" s="28">
        <v>2</v>
      </c>
      <c r="BS23" s="28">
        <v>0</v>
      </c>
      <c r="BT23" s="28">
        <v>1</v>
      </c>
      <c r="BU23" s="28">
        <v>1</v>
      </c>
      <c r="BV23" s="11">
        <f t="shared" si="30"/>
        <v>4</v>
      </c>
      <c r="BW23" s="25">
        <f t="shared" ref="BW23:BW47" si="32">VLOOKUP(BG23,$AQ:$AV,6,0)</f>
        <v>3.15</v>
      </c>
      <c r="BX23" s="25">
        <f t="shared" si="31"/>
        <v>0.85000000000000009</v>
      </c>
      <c r="CB23" s="112"/>
      <c r="CC23" s="112"/>
      <c r="CD23" s="112"/>
    </row>
    <row r="24" spans="1:97" ht="15" thickTop="1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7" t="str">
        <f t="shared" si="8"/>
        <v>#LIYNQ1UUZ</v>
      </c>
      <c r="O24" s="7">
        <f t="shared" si="0"/>
        <v>0</v>
      </c>
      <c r="P24" s="21">
        <f t="shared" si="9"/>
        <v>43228</v>
      </c>
      <c r="Q24" s="22">
        <f>VLOOKUP(R24,Referencias!$D$1:$E$13,2,0)</f>
        <v>5</v>
      </c>
      <c r="R24" s="7" t="str">
        <f t="shared" si="10"/>
        <v>MAI</v>
      </c>
      <c r="S24" s="7">
        <f t="shared" si="1"/>
        <v>0</v>
      </c>
      <c r="T24" s="11">
        <f t="shared" si="11"/>
        <v>8</v>
      </c>
      <c r="U24" s="11">
        <f t="shared" si="2"/>
        <v>0</v>
      </c>
      <c r="V24" s="11" t="e">
        <f>VLOOKUP(C24,Referencias!$A$2:$B$33,2,1)</f>
        <v>#N/A</v>
      </c>
      <c r="W24" s="23" t="str">
        <f t="shared" si="17"/>
        <v/>
      </c>
      <c r="X24" s="11">
        <f t="shared" si="3"/>
        <v>0</v>
      </c>
      <c r="Y24" s="11">
        <f t="shared" si="12"/>
        <v>0</v>
      </c>
      <c r="Z24" s="24">
        <f t="shared" si="13"/>
        <v>0</v>
      </c>
      <c r="AA24" s="25">
        <f t="shared" si="14"/>
        <v>0</v>
      </c>
      <c r="AB24" s="24">
        <f t="shared" si="4"/>
        <v>0</v>
      </c>
      <c r="AC24" s="24">
        <f t="shared" si="5"/>
        <v>0</v>
      </c>
      <c r="AD24" s="24">
        <f t="shared" si="6"/>
        <v>0</v>
      </c>
      <c r="AE24" s="24">
        <f t="shared" si="7"/>
        <v>0</v>
      </c>
      <c r="AF24" s="119" t="str">
        <f>VLOOKUP(P24*1,Referencias!$G:$H,2,0)</f>
        <v>ter</v>
      </c>
      <c r="AH24" s="52" t="s">
        <v>98</v>
      </c>
      <c r="AI24" s="25">
        <f>AI20+AI21+AI22+AI23</f>
        <v>8.7110362580770797</v>
      </c>
      <c r="AJ24" s="25">
        <f>AJ20+AJ21+AJ22+AJ23</f>
        <v>9.5709726252475971</v>
      </c>
      <c r="AK24" s="25">
        <f>AK20+AK21+AK22+AK23</f>
        <v>1.1251300057866462</v>
      </c>
      <c r="AL24" s="25">
        <f>AL20+AL21+AL22+AL23</f>
        <v>1.7651515151515151</v>
      </c>
      <c r="AM24" s="25"/>
      <c r="AN24" s="25"/>
      <c r="AO24" s="25"/>
      <c r="AQ24" s="118">
        <v>43250</v>
      </c>
      <c r="AR24" s="11">
        <v>11</v>
      </c>
      <c r="AS24" s="28">
        <v>50.95000000000001</v>
      </c>
      <c r="AT24" s="29">
        <v>0.25555555555555559</v>
      </c>
      <c r="AU24" s="30">
        <v>85.85</v>
      </c>
      <c r="AV24" s="30">
        <f t="shared" si="18"/>
        <v>6.1333333333333346</v>
      </c>
      <c r="AW24" s="30">
        <f t="shared" si="19"/>
        <v>8.3070652173913047</v>
      </c>
      <c r="AX24" s="30">
        <f t="shared" si="16"/>
        <v>5.8935219662336271</v>
      </c>
      <c r="AZ24" s="35" t="s">
        <v>61</v>
      </c>
      <c r="BA24" s="29">
        <v>2.361111111111111E-2</v>
      </c>
      <c r="BB24" s="30">
        <v>4.2300000000000004</v>
      </c>
      <c r="BC24" s="30">
        <v>7.67</v>
      </c>
      <c r="BD24" s="31">
        <v>1</v>
      </c>
      <c r="BG24" s="118">
        <v>43229</v>
      </c>
      <c r="BH24" s="28"/>
      <c r="BI24" s="28">
        <v>1</v>
      </c>
      <c r="BJ24" s="28">
        <v>0</v>
      </c>
      <c r="BK24" s="28"/>
      <c r="BL24" s="28"/>
      <c r="BM24" s="28"/>
      <c r="BN24" s="28"/>
      <c r="BO24" s="28"/>
      <c r="BP24" s="28"/>
      <c r="BQ24" s="28">
        <v>1</v>
      </c>
      <c r="BR24" s="28">
        <v>1</v>
      </c>
      <c r="BS24" s="28">
        <v>1</v>
      </c>
      <c r="BT24" s="28"/>
      <c r="BU24" s="28"/>
      <c r="BV24" s="11">
        <f t="shared" si="30"/>
        <v>4</v>
      </c>
      <c r="BW24" s="25">
        <f t="shared" si="32"/>
        <v>2.1166666666666663</v>
      </c>
      <c r="BX24" s="25">
        <f t="shared" si="31"/>
        <v>1.8833333333333337</v>
      </c>
      <c r="CB24" s="112"/>
      <c r="CC24" s="112"/>
      <c r="CD24" s="112"/>
    </row>
    <row r="25" spans="1:97" ht="14.4" x14ac:dyDescent="0.3">
      <c r="A25" s="16"/>
      <c r="B25" s="17" t="s">
        <v>38</v>
      </c>
      <c r="C25" s="18">
        <v>0.97013888888888888</v>
      </c>
      <c r="D25" s="7">
        <v>2.73</v>
      </c>
      <c r="E25" s="7" t="s">
        <v>17</v>
      </c>
      <c r="F25" s="7"/>
      <c r="G25" s="19">
        <v>2.4500000000000002</v>
      </c>
      <c r="H25" s="20">
        <v>28.73</v>
      </c>
      <c r="I25" s="7"/>
      <c r="J25" s="7"/>
      <c r="K25" s="7"/>
      <c r="L25" s="7"/>
      <c r="M25" s="7"/>
      <c r="N25" s="7" t="str">
        <f t="shared" si="8"/>
        <v>#LI9MLCHF8</v>
      </c>
      <c r="O25" s="7" t="str">
        <f t="shared" si="0"/>
        <v>#LI9MLCHF8</v>
      </c>
      <c r="P25" s="21">
        <f t="shared" si="9"/>
        <v>43228</v>
      </c>
      <c r="Q25" s="22">
        <f>VLOOKUP(R25,Referencias!$D$1:$E$13,2,0)</f>
        <v>5</v>
      </c>
      <c r="R25" s="7" t="str">
        <f t="shared" si="10"/>
        <v>MAI</v>
      </c>
      <c r="S25" s="7">
        <f t="shared" si="1"/>
        <v>0</v>
      </c>
      <c r="T25" s="11">
        <f t="shared" si="11"/>
        <v>8</v>
      </c>
      <c r="U25" s="11">
        <f t="shared" si="2"/>
        <v>0</v>
      </c>
      <c r="V25" s="11" t="str">
        <f>VLOOKUP(C25,Referencias!$A$2:$B$33,2,1)</f>
        <v>23 - 24</v>
      </c>
      <c r="W25" s="23">
        <f t="shared" si="17"/>
        <v>1.9444444444444486E-2</v>
      </c>
      <c r="X25" s="11">
        <f t="shared" si="3"/>
        <v>2.73</v>
      </c>
      <c r="Y25" s="11">
        <f t="shared" si="12"/>
        <v>4.8209979133872674</v>
      </c>
      <c r="Z25" s="24">
        <f t="shared" si="13"/>
        <v>2.4500000000000002</v>
      </c>
      <c r="AA25" s="25">
        <f t="shared" si="14"/>
        <v>5.2499999999999893</v>
      </c>
      <c r="AB25" s="24">
        <f t="shared" si="4"/>
        <v>1</v>
      </c>
      <c r="AC25" s="24">
        <f t="shared" si="5"/>
        <v>1.6051131317512295</v>
      </c>
      <c r="AD25" s="24">
        <f t="shared" si="6"/>
        <v>1.9447160318090073</v>
      </c>
      <c r="AE25" s="24">
        <f t="shared" si="7"/>
        <v>2.3057599983828747</v>
      </c>
      <c r="AF25" s="119" t="str">
        <f>VLOOKUP(P25*1,Referencias!$G:$H,2,0)</f>
        <v>ter</v>
      </c>
      <c r="AH25" s="52"/>
      <c r="AI25" s="25"/>
      <c r="AJ25" s="25"/>
      <c r="AK25" s="25"/>
      <c r="AL25" s="25"/>
      <c r="AM25" s="25"/>
      <c r="AN25" s="25"/>
      <c r="AO25" s="25"/>
      <c r="AQ25" s="118">
        <v>43252</v>
      </c>
      <c r="AR25" s="11">
        <v>12</v>
      </c>
      <c r="AS25" s="28">
        <v>42.18</v>
      </c>
      <c r="AT25" s="29">
        <v>0.30208333333333331</v>
      </c>
      <c r="AU25" s="30">
        <v>62.409999999999989</v>
      </c>
      <c r="AV25" s="30">
        <f t="shared" si="18"/>
        <v>7.25</v>
      </c>
      <c r="AW25" s="30">
        <f t="shared" si="19"/>
        <v>5.8179310344827586</v>
      </c>
      <c r="AX25" s="30">
        <f t="shared" si="16"/>
        <v>4.1275833826334249</v>
      </c>
      <c r="AZ25" s="35" t="s">
        <v>58</v>
      </c>
      <c r="BA25" s="29">
        <v>1.8055555555555557E-2</v>
      </c>
      <c r="BB25" s="30">
        <v>2.29</v>
      </c>
      <c r="BC25" s="30">
        <v>1.22</v>
      </c>
      <c r="BD25" s="31">
        <v>1</v>
      </c>
      <c r="BG25" s="118">
        <v>43230</v>
      </c>
      <c r="BH25" s="28"/>
      <c r="BI25" s="28"/>
      <c r="BJ25" s="28">
        <v>1</v>
      </c>
      <c r="BK25" s="28">
        <v>0</v>
      </c>
      <c r="BL25" s="28"/>
      <c r="BM25" s="28"/>
      <c r="BN25" s="28"/>
      <c r="BO25" s="28"/>
      <c r="BP25" s="28"/>
      <c r="BQ25" s="28"/>
      <c r="BR25" s="28">
        <v>1</v>
      </c>
      <c r="BS25" s="28">
        <v>1</v>
      </c>
      <c r="BT25" s="28">
        <v>1</v>
      </c>
      <c r="BU25" s="28"/>
      <c r="BV25" s="11">
        <f t="shared" si="30"/>
        <v>4</v>
      </c>
      <c r="BW25" s="25">
        <f t="shared" si="32"/>
        <v>2.8666666666666667</v>
      </c>
      <c r="BX25" s="25">
        <f t="shared" si="31"/>
        <v>1.1333333333333333</v>
      </c>
      <c r="CB25" s="112"/>
      <c r="CC25" s="112"/>
      <c r="CD25" s="112"/>
    </row>
    <row r="26" spans="1:97" ht="14.4" x14ac:dyDescent="0.3">
      <c r="A26" s="16"/>
      <c r="B26" s="17"/>
      <c r="C26" s="18">
        <v>0.98958333333333337</v>
      </c>
      <c r="D26" s="7"/>
      <c r="E26" s="7"/>
      <c r="F26" s="7"/>
      <c r="G26" s="19"/>
      <c r="H26" s="20"/>
      <c r="I26" s="7"/>
      <c r="J26" s="7"/>
      <c r="K26" s="7"/>
      <c r="L26" s="7"/>
      <c r="M26" s="7"/>
      <c r="N26" s="7" t="str">
        <f t="shared" si="8"/>
        <v>#LI9MLCHF8</v>
      </c>
      <c r="O26" s="7">
        <f t="shared" si="0"/>
        <v>0</v>
      </c>
      <c r="P26" s="21">
        <f t="shared" si="9"/>
        <v>43228</v>
      </c>
      <c r="Q26" s="22">
        <f>VLOOKUP(R26,Referencias!$D$1:$E$13,2,0)</f>
        <v>5</v>
      </c>
      <c r="R26" s="7" t="str">
        <f t="shared" si="10"/>
        <v>MAI</v>
      </c>
      <c r="S26" s="7">
        <f t="shared" si="1"/>
        <v>0</v>
      </c>
      <c r="T26" s="11">
        <f t="shared" si="11"/>
        <v>8</v>
      </c>
      <c r="U26" s="11">
        <f t="shared" si="2"/>
        <v>0</v>
      </c>
      <c r="V26" s="11" t="str">
        <f>VLOOKUP(C26,Referencias!$A$2:$B$33,2,1)</f>
        <v>23 - 24</v>
      </c>
      <c r="W26" s="23" t="str">
        <f t="shared" si="17"/>
        <v/>
      </c>
      <c r="X26" s="11">
        <f t="shared" si="3"/>
        <v>0</v>
      </c>
      <c r="Y26" s="11">
        <f t="shared" si="12"/>
        <v>0</v>
      </c>
      <c r="Z26" s="24">
        <f t="shared" si="13"/>
        <v>0</v>
      </c>
      <c r="AA26" s="25">
        <f t="shared" si="14"/>
        <v>0</v>
      </c>
      <c r="AB26" s="24">
        <f t="shared" si="4"/>
        <v>0</v>
      </c>
      <c r="AC26" s="24">
        <f t="shared" si="5"/>
        <v>0</v>
      </c>
      <c r="AD26" s="24">
        <f t="shared" si="6"/>
        <v>0</v>
      </c>
      <c r="AE26" s="24">
        <f t="shared" si="7"/>
        <v>0</v>
      </c>
      <c r="AF26" s="119" t="str">
        <f>VLOOKUP(P26*1,Referencias!$G:$H,2,0)</f>
        <v>ter</v>
      </c>
      <c r="AH26" s="55" t="s">
        <v>300</v>
      </c>
      <c r="AI26" s="56">
        <f>AI28/$AI$6</f>
        <v>0.70945897401831037</v>
      </c>
      <c r="AJ26" s="56">
        <f>AJ28/$AI$6</f>
        <v>0.68077733534816665</v>
      </c>
      <c r="AK26" s="56">
        <f>AK28/$AI$6</f>
        <v>0.96247330207804715</v>
      </c>
      <c r="AL26" s="56">
        <f>AL28/$AI$6</f>
        <v>0.9411265299521937</v>
      </c>
      <c r="AM26" s="56"/>
      <c r="AN26" s="56"/>
      <c r="AO26" s="56"/>
      <c r="AQ26" s="118">
        <v>43253</v>
      </c>
      <c r="AR26" s="11">
        <v>9</v>
      </c>
      <c r="AS26" s="28">
        <v>40.01</v>
      </c>
      <c r="AT26" s="29">
        <v>0.2638888888888889</v>
      </c>
      <c r="AU26" s="30">
        <v>70.23</v>
      </c>
      <c r="AV26" s="30">
        <f t="shared" si="18"/>
        <v>6.3333333333333339</v>
      </c>
      <c r="AW26" s="30">
        <f t="shared" si="19"/>
        <v>6.3173684210526311</v>
      </c>
      <c r="AX26" s="30">
        <f t="shared" si="16"/>
        <v>4.4819137184956732</v>
      </c>
      <c r="AZ26" s="35" t="s">
        <v>60</v>
      </c>
      <c r="BA26" s="29">
        <v>3.0555555555555555E-2</v>
      </c>
      <c r="BB26" s="30">
        <v>4.45</v>
      </c>
      <c r="BC26" s="30">
        <v>5.72</v>
      </c>
      <c r="BD26" s="31">
        <v>1</v>
      </c>
      <c r="BG26" s="118">
        <v>43231</v>
      </c>
      <c r="BH26" s="28"/>
      <c r="BI26" s="28"/>
      <c r="BJ26" s="28">
        <v>1</v>
      </c>
      <c r="BK26" s="28">
        <v>0</v>
      </c>
      <c r="BL26" s="28"/>
      <c r="BM26" s="28"/>
      <c r="BN26" s="28"/>
      <c r="BO26" s="28"/>
      <c r="BP26" s="28"/>
      <c r="BQ26" s="28"/>
      <c r="BR26" s="28">
        <v>2</v>
      </c>
      <c r="BS26" s="28">
        <v>2</v>
      </c>
      <c r="BT26" s="28">
        <v>1</v>
      </c>
      <c r="BU26" s="28">
        <v>0</v>
      </c>
      <c r="BV26" s="11">
        <f t="shared" si="30"/>
        <v>4</v>
      </c>
      <c r="BW26" s="25">
        <f t="shared" si="32"/>
        <v>3.4</v>
      </c>
      <c r="BX26" s="25">
        <f t="shared" si="31"/>
        <v>0.60000000000000009</v>
      </c>
      <c r="BZ26" s="112"/>
      <c r="CA26" s="112"/>
      <c r="CB26" s="112"/>
      <c r="CC26" s="112"/>
      <c r="CD26" s="112"/>
    </row>
    <row r="27" spans="1:97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7"/>
      <c r="K27" s="37"/>
      <c r="L27" s="37"/>
      <c r="M27" s="37"/>
      <c r="N27" s="7" t="str">
        <f t="shared" si="8"/>
        <v>#LI9MLCHF8</v>
      </c>
      <c r="O27" s="7">
        <f t="shared" si="0"/>
        <v>0</v>
      </c>
      <c r="P27" s="21">
        <f t="shared" si="9"/>
        <v>43228</v>
      </c>
      <c r="Q27" s="22">
        <f>VLOOKUP(R27,Referencias!$D$1:$E$13,2,0)</f>
        <v>5</v>
      </c>
      <c r="R27" s="7" t="str">
        <f t="shared" si="10"/>
        <v>MAI</v>
      </c>
      <c r="S27" s="7">
        <f t="shared" si="1"/>
        <v>0</v>
      </c>
      <c r="T27" s="11">
        <f t="shared" si="11"/>
        <v>8</v>
      </c>
      <c r="U27" s="11">
        <f t="shared" si="2"/>
        <v>0</v>
      </c>
      <c r="V27" s="11" t="e">
        <f>VLOOKUP(C27,Referencias!$A$2:$B$33,2,1)</f>
        <v>#N/A</v>
      </c>
      <c r="W27" s="23" t="str">
        <f t="shared" si="17"/>
        <v/>
      </c>
      <c r="X27" s="11">
        <f t="shared" si="3"/>
        <v>0</v>
      </c>
      <c r="Y27" s="11">
        <f t="shared" si="12"/>
        <v>0</v>
      </c>
      <c r="Z27" s="24">
        <f t="shared" si="13"/>
        <v>0</v>
      </c>
      <c r="AA27" s="25">
        <f t="shared" si="14"/>
        <v>0</v>
      </c>
      <c r="AB27" s="24">
        <f t="shared" si="4"/>
        <v>0</v>
      </c>
      <c r="AC27" s="24">
        <f t="shared" si="5"/>
        <v>0</v>
      </c>
      <c r="AD27" s="24">
        <f t="shared" si="6"/>
        <v>0</v>
      </c>
      <c r="AE27" s="24">
        <f t="shared" si="7"/>
        <v>0</v>
      </c>
      <c r="AF27" s="119" t="str">
        <f>VLOOKUP(P27*1,Referencias!$G:$H,2,0)</f>
        <v>ter</v>
      </c>
      <c r="AH27" s="52" t="s">
        <v>99</v>
      </c>
      <c r="AI27" s="51" t="s">
        <v>92</v>
      </c>
      <c r="AJ27" s="51" t="s">
        <v>215</v>
      </c>
      <c r="AK27" s="51" t="s">
        <v>216</v>
      </c>
      <c r="AL27" s="51" t="s">
        <v>93</v>
      </c>
      <c r="AM27" s="51"/>
      <c r="AN27" s="25"/>
      <c r="AO27" s="25"/>
      <c r="AQ27" s="118">
        <v>43254</v>
      </c>
      <c r="AR27" s="11">
        <v>12</v>
      </c>
      <c r="AS27" s="28">
        <v>35.490000000000009</v>
      </c>
      <c r="AT27" s="29">
        <v>0.3</v>
      </c>
      <c r="AU27" s="30">
        <v>56.509999999999991</v>
      </c>
      <c r="AV27" s="30">
        <f t="shared" si="18"/>
        <v>7.2</v>
      </c>
      <c r="AW27" s="30">
        <f t="shared" si="19"/>
        <v>4.929166666666668</v>
      </c>
      <c r="AX27" s="30">
        <f t="shared" si="16"/>
        <v>3.497041526098589</v>
      </c>
      <c r="AZ27" s="35" t="s">
        <v>54</v>
      </c>
      <c r="BA27" s="29">
        <v>2.013888888888889E-2</v>
      </c>
      <c r="BB27" s="30">
        <v>2.95</v>
      </c>
      <c r="BC27" s="30">
        <v>4.17</v>
      </c>
      <c r="BD27" s="31">
        <v>1</v>
      </c>
      <c r="BG27" s="118">
        <v>43232</v>
      </c>
      <c r="BH27" s="28"/>
      <c r="BI27" s="28"/>
      <c r="BJ27" s="28">
        <v>1</v>
      </c>
      <c r="BK27" s="28">
        <v>2</v>
      </c>
      <c r="BL27" s="28">
        <v>1</v>
      </c>
      <c r="BM27" s="28">
        <v>0</v>
      </c>
      <c r="BN27" s="28"/>
      <c r="BO27" s="28"/>
      <c r="BP27" s="28"/>
      <c r="BQ27" s="28">
        <v>1</v>
      </c>
      <c r="BR27" s="28">
        <v>2</v>
      </c>
      <c r="BS27" s="28">
        <v>1</v>
      </c>
      <c r="BT27" s="28">
        <v>1</v>
      </c>
      <c r="BU27" s="28"/>
      <c r="BV27" s="11">
        <f t="shared" si="30"/>
        <v>7</v>
      </c>
      <c r="BW27" s="25">
        <f t="shared" si="32"/>
        <v>5.9333333333333336</v>
      </c>
      <c r="BX27" s="25">
        <f t="shared" si="31"/>
        <v>1.0666666666666664</v>
      </c>
    </row>
    <row r="28" spans="1:97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7" t="str">
        <f t="shared" si="8"/>
        <v>#LI9MLCHF8</v>
      </c>
      <c r="O28" s="7">
        <f t="shared" si="0"/>
        <v>0</v>
      </c>
      <c r="P28" s="21">
        <f t="shared" si="9"/>
        <v>43228</v>
      </c>
      <c r="Q28" s="22">
        <f>VLOOKUP(R28,Referencias!$D$1:$E$13,2,0)</f>
        <v>5</v>
      </c>
      <c r="R28" s="7" t="str">
        <f t="shared" si="10"/>
        <v>MAI</v>
      </c>
      <c r="S28" s="7">
        <f t="shared" si="1"/>
        <v>0</v>
      </c>
      <c r="T28" s="11">
        <f t="shared" si="11"/>
        <v>8</v>
      </c>
      <c r="U28" s="11">
        <f t="shared" si="2"/>
        <v>0</v>
      </c>
      <c r="V28" s="11" t="e">
        <f>VLOOKUP(C28,Referencias!$A$2:$B$33,2,1)</f>
        <v>#N/A</v>
      </c>
      <c r="W28" s="23" t="str">
        <f t="shared" si="17"/>
        <v/>
      </c>
      <c r="X28" s="11">
        <f t="shared" si="3"/>
        <v>0</v>
      </c>
      <c r="Y28" s="11">
        <f t="shared" si="12"/>
        <v>0</v>
      </c>
      <c r="Z28" s="24">
        <f t="shared" si="13"/>
        <v>0</v>
      </c>
      <c r="AA28" s="25">
        <f t="shared" si="14"/>
        <v>0</v>
      </c>
      <c r="AB28" s="24">
        <f t="shared" si="4"/>
        <v>0</v>
      </c>
      <c r="AC28" s="24">
        <f t="shared" si="5"/>
        <v>0</v>
      </c>
      <c r="AD28" s="24">
        <f t="shared" si="6"/>
        <v>0</v>
      </c>
      <c r="AE28" s="24">
        <f t="shared" si="7"/>
        <v>0</v>
      </c>
      <c r="AF28" s="119" t="str">
        <f>VLOOKUP(P28*1,Referencias!$G:$H,2,0)</f>
        <v>ter</v>
      </c>
      <c r="AH28" s="52" t="s">
        <v>299</v>
      </c>
      <c r="AI28" s="25">
        <f>AI29*$AI$7</f>
        <v>701.94580348345676</v>
      </c>
      <c r="AJ28" s="25">
        <f>AJ29*$AI$7</f>
        <v>673.5679033668298</v>
      </c>
      <c r="AK28" s="25">
        <f>AK29*$AI$7</f>
        <v>952.28070980904101</v>
      </c>
      <c r="AL28" s="25">
        <f>AL29*$AI$7</f>
        <v>931.16000000000042</v>
      </c>
      <c r="AM28" s="25"/>
      <c r="AN28" s="25" t="s">
        <v>353</v>
      </c>
      <c r="AO28" s="25" t="s">
        <v>354</v>
      </c>
      <c r="AQ28" s="118">
        <v>43255</v>
      </c>
      <c r="AR28" s="11">
        <v>8</v>
      </c>
      <c r="AS28" s="28">
        <v>37.190000000000005</v>
      </c>
      <c r="AT28" s="29">
        <v>0.21458333333333338</v>
      </c>
      <c r="AU28" s="30">
        <v>65.02000000000001</v>
      </c>
      <c r="AV28" s="30">
        <f t="shared" ref="AV28" si="33">86400*(AT28)/360/10</f>
        <v>5.15</v>
      </c>
      <c r="AW28" s="30">
        <f t="shared" ref="AW28" si="34">AS28/AV28</f>
        <v>7.2213592233009711</v>
      </c>
      <c r="AX28" s="30">
        <f t="shared" si="16"/>
        <v>5.1232581055807698</v>
      </c>
      <c r="AZ28" s="35" t="s">
        <v>56</v>
      </c>
      <c r="BA28" s="29">
        <v>3.0555555555555555E-2</v>
      </c>
      <c r="BB28" s="30">
        <v>4.37</v>
      </c>
      <c r="BC28" s="30">
        <v>7.89</v>
      </c>
      <c r="BD28" s="31">
        <v>1</v>
      </c>
      <c r="BG28" s="118">
        <v>43233</v>
      </c>
      <c r="BH28" s="28"/>
      <c r="BI28" s="28"/>
      <c r="BJ28" s="28">
        <v>1</v>
      </c>
      <c r="BK28" s="28">
        <v>2</v>
      </c>
      <c r="BL28" s="28">
        <v>0</v>
      </c>
      <c r="BM28" s="28"/>
      <c r="BN28" s="28"/>
      <c r="BO28" s="28"/>
      <c r="BP28" s="28"/>
      <c r="BQ28" s="28">
        <v>2</v>
      </c>
      <c r="BR28" s="28">
        <v>1</v>
      </c>
      <c r="BS28" s="28">
        <v>2</v>
      </c>
      <c r="BT28" s="28">
        <v>0</v>
      </c>
      <c r="BU28" s="28"/>
      <c r="BV28" s="11">
        <f t="shared" si="30"/>
        <v>5</v>
      </c>
      <c r="BW28" s="25">
        <f t="shared" si="32"/>
        <v>4.5333333333333332</v>
      </c>
      <c r="BX28" s="25">
        <f t="shared" si="31"/>
        <v>0.46666666666666679</v>
      </c>
    </row>
    <row r="29" spans="1:97" x14ac:dyDescent="0.25">
      <c r="A29" s="16"/>
      <c r="B29" s="17" t="s">
        <v>39</v>
      </c>
      <c r="C29" s="18">
        <v>0.9506944444444444</v>
      </c>
      <c r="D29" s="7">
        <v>11.78</v>
      </c>
      <c r="E29" s="7" t="s">
        <v>40</v>
      </c>
      <c r="F29" s="7"/>
      <c r="G29" s="19">
        <v>5.93</v>
      </c>
      <c r="H29" s="20">
        <v>34.659999999999997</v>
      </c>
      <c r="I29" s="7"/>
      <c r="J29" s="7"/>
      <c r="K29" s="7"/>
      <c r="L29" s="7"/>
      <c r="M29" s="7"/>
      <c r="N29" s="7" t="str">
        <f t="shared" si="8"/>
        <v>#LIRVJFLLW</v>
      </c>
      <c r="O29" s="7" t="str">
        <f t="shared" si="0"/>
        <v>#LIRVJFLLW</v>
      </c>
      <c r="P29" s="21">
        <f t="shared" si="9"/>
        <v>43228</v>
      </c>
      <c r="Q29" s="22">
        <f>VLOOKUP(R29,Referencias!$D$1:$E$13,2,0)</f>
        <v>5</v>
      </c>
      <c r="R29" s="7" t="str">
        <f t="shared" si="10"/>
        <v>MAI</v>
      </c>
      <c r="S29" s="7">
        <f t="shared" si="1"/>
        <v>0</v>
      </c>
      <c r="T29" s="11">
        <f t="shared" si="11"/>
        <v>8</v>
      </c>
      <c r="U29" s="11">
        <f t="shared" si="2"/>
        <v>0</v>
      </c>
      <c r="V29" s="11" t="str">
        <f>VLOOKUP(C29,Referencias!$A$2:$B$33,2,1)</f>
        <v>22 - 23</v>
      </c>
      <c r="W29" s="23">
        <f t="shared" si="17"/>
        <v>3.2638888888888995E-2</v>
      </c>
      <c r="X29" s="11">
        <f t="shared" si="3"/>
        <v>11.78</v>
      </c>
      <c r="Y29" s="11">
        <f t="shared" si="12"/>
        <v>20.80269429293114</v>
      </c>
      <c r="Z29" s="24">
        <f t="shared" si="13"/>
        <v>5.93</v>
      </c>
      <c r="AA29" s="25">
        <f t="shared" si="14"/>
        <v>7.5702127659574217</v>
      </c>
      <c r="AB29" s="24">
        <f t="shared" si="4"/>
        <v>1</v>
      </c>
      <c r="AC29" s="24">
        <f t="shared" si="5"/>
        <v>3.885028927055016</v>
      </c>
      <c r="AD29" s="24">
        <f t="shared" si="6"/>
        <v>4.7070065586234335</v>
      </c>
      <c r="AE29" s="24">
        <f t="shared" si="7"/>
        <v>5.5808803226165082</v>
      </c>
      <c r="AF29" s="119" t="str">
        <f>VLOOKUP(P29*1,Referencias!$G:$H,2,0)</f>
        <v>ter</v>
      </c>
      <c r="AH29" s="10" t="s">
        <v>100</v>
      </c>
      <c r="AI29" s="25">
        <f>$AI$9-AI24</f>
        <v>21.271084954044145</v>
      </c>
      <c r="AJ29" s="25">
        <f>$AI$9-AJ24</f>
        <v>20.41114858687363</v>
      </c>
      <c r="AK29" s="25">
        <f>$AI$9-AK24</f>
        <v>28.856991206334577</v>
      </c>
      <c r="AL29" s="25">
        <f>$AI$9-AL24</f>
        <v>28.216969696969709</v>
      </c>
      <c r="AM29" s="25"/>
      <c r="AN29" s="25">
        <v>1250</v>
      </c>
      <c r="AO29" s="25">
        <v>2299</v>
      </c>
      <c r="AQ29" s="118">
        <v>43256</v>
      </c>
      <c r="AR29" s="11">
        <v>6</v>
      </c>
      <c r="AS29" s="28">
        <v>22.240000000000002</v>
      </c>
      <c r="AT29" s="29">
        <v>0.16527777777777777</v>
      </c>
      <c r="AU29" s="30">
        <v>31.32</v>
      </c>
      <c r="AV29" s="30">
        <f t="shared" ref="AV29" si="35">86400*(AT29)/360/10</f>
        <v>3.9666666666666663</v>
      </c>
      <c r="AW29" s="30">
        <f t="shared" ref="AW29" si="36">AS29/AV29</f>
        <v>5.6067226890756316</v>
      </c>
      <c r="AX29" s="30">
        <f t="shared" si="16"/>
        <v>3.9777397265967798</v>
      </c>
      <c r="AZ29" s="118">
        <v>43232</v>
      </c>
      <c r="BA29" s="29">
        <v>0.24722222222222218</v>
      </c>
      <c r="BB29" s="30">
        <v>40.459999999999994</v>
      </c>
      <c r="BC29" s="30">
        <v>64.650000000000006</v>
      </c>
      <c r="BD29" s="31">
        <v>9</v>
      </c>
      <c r="BG29" s="118">
        <v>43234</v>
      </c>
      <c r="BH29" s="28"/>
      <c r="BI29" s="28"/>
      <c r="BJ29" s="28"/>
      <c r="BK29" s="28"/>
      <c r="BL29" s="28"/>
      <c r="BM29" s="28"/>
      <c r="BN29" s="28"/>
      <c r="BO29" s="28"/>
      <c r="BP29" s="28"/>
      <c r="BQ29" s="28">
        <v>1</v>
      </c>
      <c r="BR29" s="28">
        <v>1</v>
      </c>
      <c r="BS29" s="28">
        <v>3</v>
      </c>
      <c r="BT29" s="28">
        <v>2</v>
      </c>
      <c r="BU29" s="28">
        <v>0</v>
      </c>
      <c r="BV29" s="11">
        <f t="shared" si="30"/>
        <v>4</v>
      </c>
      <c r="BW29" s="25">
        <f t="shared" si="32"/>
        <v>3.2333333333333334</v>
      </c>
      <c r="BX29" s="25">
        <f t="shared" si="31"/>
        <v>0.76666666666666661</v>
      </c>
    </row>
    <row r="30" spans="1:97" x14ac:dyDescent="0.25">
      <c r="A30" s="16"/>
      <c r="B30" s="17"/>
      <c r="C30" s="18">
        <v>0.98333333333333339</v>
      </c>
      <c r="D30" s="7"/>
      <c r="E30" s="7"/>
      <c r="F30" s="7"/>
      <c r="G30" s="19"/>
      <c r="H30" s="20"/>
      <c r="I30" s="7"/>
      <c r="J30" s="7"/>
      <c r="K30" s="7"/>
      <c r="L30" s="7"/>
      <c r="M30" s="7"/>
      <c r="N30" s="7" t="str">
        <f t="shared" si="8"/>
        <v>#LIRVJFLLW</v>
      </c>
      <c r="O30" s="7">
        <f t="shared" si="0"/>
        <v>0</v>
      </c>
      <c r="P30" s="21">
        <f t="shared" si="9"/>
        <v>43228</v>
      </c>
      <c r="Q30" s="22">
        <f>VLOOKUP(R30,Referencias!$D$1:$E$13,2,0)</f>
        <v>5</v>
      </c>
      <c r="R30" s="7" t="str">
        <f t="shared" si="10"/>
        <v>MAI</v>
      </c>
      <c r="S30" s="7">
        <f t="shared" si="1"/>
        <v>0</v>
      </c>
      <c r="T30" s="11">
        <f t="shared" si="11"/>
        <v>8</v>
      </c>
      <c r="U30" s="11">
        <f t="shared" si="2"/>
        <v>0</v>
      </c>
      <c r="V30" s="11" t="str">
        <f>VLOOKUP(C30,Referencias!$A$2:$B$33,2,1)</f>
        <v>23 - 24</v>
      </c>
      <c r="W30" s="23" t="str">
        <f t="shared" si="17"/>
        <v/>
      </c>
      <c r="X30" s="11">
        <f t="shared" si="3"/>
        <v>0</v>
      </c>
      <c r="Y30" s="11">
        <f t="shared" si="12"/>
        <v>0</v>
      </c>
      <c r="Z30" s="24">
        <f t="shared" si="13"/>
        <v>0</v>
      </c>
      <c r="AA30" s="25">
        <f t="shared" si="14"/>
        <v>0</v>
      </c>
      <c r="AB30" s="24">
        <f t="shared" si="4"/>
        <v>0</v>
      </c>
      <c r="AC30" s="24">
        <f t="shared" si="5"/>
        <v>0</v>
      </c>
      <c r="AD30" s="24">
        <f t="shared" si="6"/>
        <v>0</v>
      </c>
      <c r="AE30" s="24">
        <f t="shared" si="7"/>
        <v>0</v>
      </c>
      <c r="AF30" s="119" t="str">
        <f>VLOOKUP(P30*1,Referencias!$G:$H,2,0)</f>
        <v>ter</v>
      </c>
      <c r="AH30" s="10" t="s">
        <v>101</v>
      </c>
      <c r="AI30" s="25">
        <f>AI29*26</f>
        <v>553.04820880514774</v>
      </c>
      <c r="AJ30" s="25">
        <f>AJ29*26</f>
        <v>530.68986325871435</v>
      </c>
      <c r="AK30" s="25">
        <f>AK29*26</f>
        <v>750.28177136469901</v>
      </c>
      <c r="AL30" s="25">
        <f>AL29*26</f>
        <v>733.64121212121245</v>
      </c>
      <c r="AM30" s="25"/>
      <c r="AN30" s="25">
        <f>AI21*180</f>
        <v>227.27272727272725</v>
      </c>
      <c r="AO30" s="25">
        <f>AK21*180</f>
        <v>418.00000000000006</v>
      </c>
      <c r="AQ30" s="118">
        <v>43257</v>
      </c>
      <c r="AR30" s="11">
        <v>5</v>
      </c>
      <c r="AS30" s="28">
        <v>18.829999999999998</v>
      </c>
      <c r="AT30" s="29">
        <v>0.15347222222222223</v>
      </c>
      <c r="AU30" s="30">
        <v>27.69</v>
      </c>
      <c r="AV30" s="30">
        <f t="shared" ref="AV30" si="37">86400*(AT30)/360/10</f>
        <v>3.6833333333333336</v>
      </c>
      <c r="AW30" s="30">
        <f t="shared" ref="AW30" si="38">AS30/AV30</f>
        <v>5.1122171945701353</v>
      </c>
      <c r="AX30" s="30">
        <f t="shared" si="16"/>
        <v>3.6269083658184931</v>
      </c>
      <c r="AZ30" s="35" t="s">
        <v>71</v>
      </c>
      <c r="BA30" s="29">
        <v>2.0833333333333332E-2</v>
      </c>
      <c r="BB30" s="30">
        <v>4.47</v>
      </c>
      <c r="BC30" s="30">
        <v>5.65</v>
      </c>
      <c r="BD30" s="31">
        <v>1</v>
      </c>
      <c r="BG30" s="118">
        <v>43235</v>
      </c>
      <c r="BH30" s="28"/>
      <c r="BI30" s="28"/>
      <c r="BJ30" s="28">
        <v>1</v>
      </c>
      <c r="BK30" s="28">
        <v>1</v>
      </c>
      <c r="BL30" s="28">
        <v>0</v>
      </c>
      <c r="BM30" s="28"/>
      <c r="BN30" s="28"/>
      <c r="BO30" s="28"/>
      <c r="BP30" s="28"/>
      <c r="BQ30" s="28">
        <v>2</v>
      </c>
      <c r="BR30" s="28">
        <v>1</v>
      </c>
      <c r="BS30" s="28">
        <v>2</v>
      </c>
      <c r="BT30" s="28">
        <v>2</v>
      </c>
      <c r="BU30" s="28">
        <v>0</v>
      </c>
      <c r="BV30" s="11">
        <f t="shared" si="30"/>
        <v>6</v>
      </c>
      <c r="BW30" s="25">
        <f t="shared" si="32"/>
        <v>5.4</v>
      </c>
      <c r="BX30" s="25">
        <f t="shared" si="31"/>
        <v>0.59999999999999964</v>
      </c>
    </row>
    <row r="31" spans="1:97" x14ac:dyDescent="0.25">
      <c r="A31" s="57" t="s">
        <v>41</v>
      </c>
      <c r="B31" s="57"/>
      <c r="C31" s="58">
        <v>0.9506944444444444</v>
      </c>
      <c r="D31" s="57"/>
      <c r="E31" s="57"/>
      <c r="F31" s="57"/>
      <c r="G31" s="59">
        <v>0.31</v>
      </c>
      <c r="H31" s="60">
        <v>34.97</v>
      </c>
      <c r="I31" s="57"/>
      <c r="J31" s="57"/>
      <c r="K31" s="57"/>
      <c r="L31" s="57"/>
      <c r="M31" s="57"/>
      <c r="N31" s="7" t="str">
        <f t="shared" si="8"/>
        <v>#LIRVJFLLW</v>
      </c>
      <c r="O31" s="7">
        <f t="shared" si="0"/>
        <v>0</v>
      </c>
      <c r="P31" s="21">
        <f t="shared" si="9"/>
        <v>43228</v>
      </c>
      <c r="Q31" s="22">
        <f>VLOOKUP(R31,Referencias!$D$1:$E$13,2,0)</f>
        <v>5</v>
      </c>
      <c r="R31" s="7" t="str">
        <f t="shared" si="10"/>
        <v>MAI</v>
      </c>
      <c r="S31" s="7">
        <f t="shared" si="1"/>
        <v>0</v>
      </c>
      <c r="T31" s="11">
        <f t="shared" si="11"/>
        <v>8</v>
      </c>
      <c r="U31" s="11">
        <f t="shared" si="2"/>
        <v>0</v>
      </c>
      <c r="V31" s="11" t="str">
        <f>VLOOKUP(C31,Referencias!$A$2:$B$33,2,1)</f>
        <v>22 - 23</v>
      </c>
      <c r="W31" s="23" t="str">
        <f t="shared" si="17"/>
        <v/>
      </c>
      <c r="X31" s="11">
        <f t="shared" si="3"/>
        <v>0</v>
      </c>
      <c r="Y31" s="11">
        <f t="shared" si="12"/>
        <v>0</v>
      </c>
      <c r="Z31" s="24">
        <f t="shared" si="13"/>
        <v>0.31</v>
      </c>
      <c r="AA31" s="25">
        <f t="shared" si="14"/>
        <v>0</v>
      </c>
      <c r="AB31" s="24">
        <f t="shared" si="4"/>
        <v>0</v>
      </c>
      <c r="AC31" s="24">
        <f t="shared" si="5"/>
        <v>0.20309594728280861</v>
      </c>
      <c r="AD31" s="24">
        <f t="shared" si="6"/>
        <v>0.24606611014726212</v>
      </c>
      <c r="AE31" s="24">
        <f t="shared" si="7"/>
        <v>0.29174922428518002</v>
      </c>
      <c r="AF31" s="119" t="str">
        <f>VLOOKUP(P31*1,Referencias!$G:$H,2,0)</f>
        <v>ter</v>
      </c>
      <c r="AH31" s="10" t="s">
        <v>240</v>
      </c>
      <c r="AI31" s="25">
        <f>$AI$10-(AI24/$AI$8)</f>
        <v>4.496289976407323</v>
      </c>
      <c r="AJ31" s="25">
        <f>$AI$10-(AJ24/$AI$8)</f>
        <v>4.3145163021255222</v>
      </c>
      <c r="AK31" s="25">
        <f>$AI$10-(AK24/$AI$8)</f>
        <v>6.0998017069010828</v>
      </c>
      <c r="AL31" s="25">
        <f>$AI$10-(AL24/$AI$8)</f>
        <v>5.9645137183730119</v>
      </c>
      <c r="AM31" s="25"/>
      <c r="AN31" s="25">
        <f>(AN29-AN30)/12/33</f>
        <v>2.5826446280991737</v>
      </c>
      <c r="AO31" s="25">
        <f>(AO29-AO30)/12/33</f>
        <v>4.75</v>
      </c>
      <c r="AQ31" s="118">
        <v>43258</v>
      </c>
      <c r="AR31" s="11">
        <v>11</v>
      </c>
      <c r="AS31" s="28">
        <v>58.379999999999995</v>
      </c>
      <c r="AT31" s="29">
        <v>0.33611111111111108</v>
      </c>
      <c r="AU31" s="30">
        <v>84.75</v>
      </c>
      <c r="AV31" s="30">
        <f t="shared" ref="AV31" si="39">86400*(AT31)/360/10</f>
        <v>8.0666666666666664</v>
      </c>
      <c r="AW31" s="30">
        <f t="shared" ref="AW31" si="40">AS31/AV31</f>
        <v>7.237190082644628</v>
      </c>
      <c r="AX31" s="30">
        <f t="shared" si="16"/>
        <v>5.134489450808549</v>
      </c>
      <c r="AZ31" s="35" t="s">
        <v>65</v>
      </c>
      <c r="BA31" s="29">
        <v>2.9166666666666664E-2</v>
      </c>
      <c r="BB31" s="30">
        <v>4.4000000000000004</v>
      </c>
      <c r="BC31" s="30">
        <v>5.84</v>
      </c>
      <c r="BD31" s="31">
        <v>1</v>
      </c>
      <c r="BG31" s="118">
        <v>43236</v>
      </c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>
        <v>2</v>
      </c>
      <c r="BS31" s="28">
        <v>2</v>
      </c>
      <c r="BT31" s="28">
        <v>0</v>
      </c>
      <c r="BU31" s="28"/>
      <c r="BV31" s="11">
        <f t="shared" si="30"/>
        <v>2</v>
      </c>
      <c r="BW31" s="25">
        <f t="shared" si="32"/>
        <v>2.2333333333333334</v>
      </c>
      <c r="BX31" s="25">
        <f t="shared" si="31"/>
        <v>-0.23333333333333339</v>
      </c>
    </row>
    <row r="32" spans="1:97" ht="12.6" thickBot="1" x14ac:dyDescent="0.3">
      <c r="A32" s="40"/>
      <c r="B32" s="40"/>
      <c r="C32" s="40"/>
      <c r="D32" s="40"/>
      <c r="E32" s="40"/>
      <c r="F32" s="40"/>
      <c r="G32" s="40"/>
      <c r="H32" s="40"/>
      <c r="I32" s="40"/>
      <c r="J32" s="41"/>
      <c r="K32" s="41"/>
      <c r="L32" s="41"/>
      <c r="M32" s="41"/>
      <c r="N32" s="7" t="str">
        <f t="shared" si="8"/>
        <v>#LIRVJFLLW</v>
      </c>
      <c r="O32" s="7">
        <f t="shared" si="0"/>
        <v>0</v>
      </c>
      <c r="P32" s="21">
        <f t="shared" si="9"/>
        <v>43228</v>
      </c>
      <c r="Q32" s="22">
        <f>VLOOKUP(R32,Referencias!$D$1:$E$13,2,0)</f>
        <v>5</v>
      </c>
      <c r="R32" s="7" t="str">
        <f t="shared" si="10"/>
        <v>MAI</v>
      </c>
      <c r="S32" s="7">
        <f t="shared" si="1"/>
        <v>0</v>
      </c>
      <c r="T32" s="11">
        <f t="shared" si="11"/>
        <v>8</v>
      </c>
      <c r="U32" s="11">
        <f t="shared" si="2"/>
        <v>0</v>
      </c>
      <c r="V32" s="11" t="e">
        <f>VLOOKUP(C32,Referencias!$A$2:$B$33,2,1)</f>
        <v>#N/A</v>
      </c>
      <c r="W32" s="23" t="str">
        <f t="shared" si="17"/>
        <v/>
      </c>
      <c r="X32" s="11">
        <f t="shared" si="3"/>
        <v>0</v>
      </c>
      <c r="Y32" s="11">
        <f t="shared" si="12"/>
        <v>0</v>
      </c>
      <c r="Z32" s="24">
        <f t="shared" si="13"/>
        <v>0</v>
      </c>
      <c r="AA32" s="25">
        <f t="shared" si="14"/>
        <v>0</v>
      </c>
      <c r="AB32" s="24">
        <f t="shared" si="4"/>
        <v>0</v>
      </c>
      <c r="AC32" s="24">
        <f t="shared" si="5"/>
        <v>0</v>
      </c>
      <c r="AD32" s="24">
        <f t="shared" si="6"/>
        <v>0</v>
      </c>
      <c r="AE32" s="24">
        <f t="shared" si="7"/>
        <v>0</v>
      </c>
      <c r="AF32" s="119" t="str">
        <f>VLOOKUP(P32*1,Referencias!$G:$H,2,0)</f>
        <v>ter</v>
      </c>
      <c r="AH32" s="10" t="s">
        <v>241</v>
      </c>
      <c r="AI32" s="25">
        <f>($AI$9/$AI$14)-(AI24/$AI$14)</f>
        <v>0.26010863736560469</v>
      </c>
      <c r="AJ32" s="25">
        <f>($AI$9/$AI$14)-(AJ24/$AI$14)</f>
        <v>0.24959310056204709</v>
      </c>
      <c r="AK32" s="25">
        <f>($AI$9/$AI$14)-(AK24/$AI$14)</f>
        <v>0.35287117123397421</v>
      </c>
      <c r="AL32" s="25">
        <f>($AI$9/$AI$14)-(AL24/$AI$14)</f>
        <v>0.34504481338503323</v>
      </c>
      <c r="AM32" s="25"/>
      <c r="AN32" s="25"/>
      <c r="AO32" s="25"/>
      <c r="AQ32" s="118">
        <v>43259</v>
      </c>
      <c r="AR32" s="11">
        <v>5</v>
      </c>
      <c r="AS32" s="28">
        <v>15.53</v>
      </c>
      <c r="AT32" s="29">
        <v>0.12986111111111112</v>
      </c>
      <c r="AU32" s="30">
        <v>17.91</v>
      </c>
      <c r="AV32" s="30">
        <f t="shared" ref="AV32" si="41">86400*(AT32)/360/10</f>
        <v>3.1166666666666667</v>
      </c>
      <c r="AW32" s="30">
        <f t="shared" ref="AW32" si="42">AS32/AV32</f>
        <v>4.9828877005347589</v>
      </c>
      <c r="AX32" s="30">
        <f t="shared" si="16"/>
        <v>3.5351543956698479</v>
      </c>
      <c r="AZ32" s="35" t="s">
        <v>68</v>
      </c>
      <c r="BA32" s="29">
        <v>2.0833333333333332E-2</v>
      </c>
      <c r="BB32" s="30">
        <v>2.44</v>
      </c>
      <c r="BC32" s="30">
        <v>2.7</v>
      </c>
      <c r="BD32" s="31">
        <v>1</v>
      </c>
      <c r="BG32" s="118">
        <v>43237</v>
      </c>
      <c r="BH32" s="28"/>
      <c r="BI32" s="28"/>
      <c r="BJ32" s="28">
        <v>1</v>
      </c>
      <c r="BK32" s="28">
        <v>1</v>
      </c>
      <c r="BL32" s="28">
        <v>1</v>
      </c>
      <c r="BM32" s="28">
        <v>0</v>
      </c>
      <c r="BN32" s="28"/>
      <c r="BO32" s="28"/>
      <c r="BP32" s="28"/>
      <c r="BQ32" s="28">
        <v>1</v>
      </c>
      <c r="BR32" s="28">
        <v>1</v>
      </c>
      <c r="BS32" s="28">
        <v>2</v>
      </c>
      <c r="BT32" s="28"/>
      <c r="BU32" s="28">
        <v>0</v>
      </c>
      <c r="BV32" s="11">
        <f t="shared" si="30"/>
        <v>6</v>
      </c>
      <c r="BW32" s="25">
        <f t="shared" si="32"/>
        <v>5.2666666666666666</v>
      </c>
      <c r="BX32" s="25">
        <f t="shared" si="31"/>
        <v>0.73333333333333339</v>
      </c>
    </row>
    <row r="33" spans="1:86" ht="12.6" thickBot="1" x14ac:dyDescent="0.3">
      <c r="A33" s="16">
        <v>9</v>
      </c>
      <c r="B33" s="45" t="s">
        <v>42</v>
      </c>
      <c r="C33" s="18">
        <v>0.48888888888888887</v>
      </c>
      <c r="D33" s="46">
        <v>12.46</v>
      </c>
      <c r="E33" s="46" t="s">
        <v>17</v>
      </c>
      <c r="F33" s="46"/>
      <c r="G33" s="47">
        <v>5.86</v>
      </c>
      <c r="H33" s="48">
        <v>40.83</v>
      </c>
      <c r="I33" s="46"/>
      <c r="J33" s="7"/>
      <c r="K33" s="7"/>
      <c r="L33" s="7"/>
      <c r="M33" s="7"/>
      <c r="N33" s="7" t="str">
        <f t="shared" si="8"/>
        <v>#LILGPHUM5</v>
      </c>
      <c r="O33" s="7" t="str">
        <f t="shared" si="0"/>
        <v>#LILGPHUM5</v>
      </c>
      <c r="P33" s="21">
        <f t="shared" si="9"/>
        <v>43229</v>
      </c>
      <c r="Q33" s="22">
        <f>VLOOKUP(R33,Referencias!$D$1:$E$13,2,0)</f>
        <v>5</v>
      </c>
      <c r="R33" s="7" t="str">
        <f t="shared" si="10"/>
        <v>MAI</v>
      </c>
      <c r="S33" s="7" t="str">
        <f t="shared" si="1"/>
        <v>MAI</v>
      </c>
      <c r="T33" s="11">
        <f t="shared" si="11"/>
        <v>9</v>
      </c>
      <c r="U33" s="11">
        <f t="shared" si="2"/>
        <v>9</v>
      </c>
      <c r="V33" s="11" t="str">
        <f>VLOOKUP(C33,Referencias!$A$2:$B$33,2,1)</f>
        <v>11 - 12</v>
      </c>
      <c r="W33" s="23">
        <f t="shared" si="17"/>
        <v>2.7083333333333404E-2</v>
      </c>
      <c r="X33" s="11">
        <f t="shared" si="3"/>
        <v>12.46</v>
      </c>
      <c r="Y33" s="11">
        <f t="shared" si="12"/>
        <v>22.00352893802394</v>
      </c>
      <c r="Z33" s="24">
        <f t="shared" si="13"/>
        <v>5.86</v>
      </c>
      <c r="AA33" s="25">
        <f t="shared" si="14"/>
        <v>9.015384615384594</v>
      </c>
      <c r="AB33" s="24">
        <f t="shared" si="4"/>
        <v>1</v>
      </c>
      <c r="AC33" s="24">
        <f t="shared" si="5"/>
        <v>3.8391685518621244</v>
      </c>
      <c r="AD33" s="24">
        <f t="shared" si="6"/>
        <v>4.6514432434288908</v>
      </c>
      <c r="AE33" s="24">
        <f t="shared" si="7"/>
        <v>5.5150014655198554</v>
      </c>
      <c r="AF33" s="119" t="str">
        <f>VLOOKUP(P33*1,Referencias!$G:$H,2,0)</f>
        <v>qua</v>
      </c>
      <c r="AI33" s="25"/>
      <c r="AJ33" s="25"/>
      <c r="AK33" s="25"/>
      <c r="AL33" s="25"/>
      <c r="AM33" s="25"/>
      <c r="AN33" s="25"/>
      <c r="AO33" s="25"/>
      <c r="AQ33" s="118">
        <v>43260</v>
      </c>
      <c r="AR33" s="11">
        <v>6</v>
      </c>
      <c r="AS33" s="28">
        <v>27.03</v>
      </c>
      <c r="AT33" s="29">
        <v>0.22291666666666665</v>
      </c>
      <c r="AU33" s="30">
        <v>56.370000000000005</v>
      </c>
      <c r="AV33" s="30">
        <f t="shared" ref="AV33" si="43">86400*(AT33)/360/10</f>
        <v>5.35</v>
      </c>
      <c r="AW33" s="30">
        <f t="shared" ref="AW33" si="44">AS33/AV33</f>
        <v>5.0523364485981315</v>
      </c>
      <c r="AX33" s="30">
        <f t="shared" si="16"/>
        <v>3.5844254332177443</v>
      </c>
      <c r="AZ33" s="35" t="s">
        <v>75</v>
      </c>
      <c r="BA33" s="29">
        <v>1.6666666666666666E-2</v>
      </c>
      <c r="BB33" s="30">
        <v>4.3900000000000006</v>
      </c>
      <c r="BC33" s="30">
        <v>4.49</v>
      </c>
      <c r="BD33" s="31">
        <v>1</v>
      </c>
      <c r="BG33" s="118">
        <v>43238</v>
      </c>
      <c r="BH33" s="28"/>
      <c r="BI33" s="28"/>
      <c r="BJ33" s="28">
        <v>1</v>
      </c>
      <c r="BK33" s="28">
        <v>0</v>
      </c>
      <c r="BL33" s="28"/>
      <c r="BM33" s="28"/>
      <c r="BN33" s="28"/>
      <c r="BO33" s="28"/>
      <c r="BP33" s="28"/>
      <c r="BQ33" s="28"/>
      <c r="BR33" s="28">
        <v>1</v>
      </c>
      <c r="BS33" s="28">
        <v>3</v>
      </c>
      <c r="BT33" s="28">
        <v>1</v>
      </c>
      <c r="BU33" s="28">
        <v>0</v>
      </c>
      <c r="BV33" s="11">
        <f t="shared" si="30"/>
        <v>4</v>
      </c>
      <c r="BW33" s="25">
        <f t="shared" si="32"/>
        <v>3.8166666666666664</v>
      </c>
      <c r="BX33" s="25">
        <f t="shared" si="31"/>
        <v>0.18333333333333357</v>
      </c>
    </row>
    <row r="34" spans="1:86" x14ac:dyDescent="0.25">
      <c r="A34" s="16" t="s">
        <v>19</v>
      </c>
      <c r="B34" s="17"/>
      <c r="C34" s="18">
        <v>0.51597222222222228</v>
      </c>
      <c r="D34" s="7"/>
      <c r="E34" s="7"/>
      <c r="F34" s="7"/>
      <c r="G34" s="19"/>
      <c r="H34" s="20"/>
      <c r="I34" s="7"/>
      <c r="J34" s="7"/>
      <c r="K34" s="7"/>
      <c r="L34" s="7"/>
      <c r="M34" s="7"/>
      <c r="N34" s="7" t="str">
        <f t="shared" si="8"/>
        <v>#LILGPHUM5</v>
      </c>
      <c r="O34" s="7">
        <f t="shared" si="0"/>
        <v>0</v>
      </c>
      <c r="P34" s="21">
        <f t="shared" si="9"/>
        <v>43229</v>
      </c>
      <c r="Q34" s="22">
        <f>VLOOKUP(R34,Referencias!$D$1:$E$13,2,0)</f>
        <v>5</v>
      </c>
      <c r="R34" s="7" t="str">
        <f t="shared" si="10"/>
        <v>MAI</v>
      </c>
      <c r="S34" s="7">
        <f t="shared" si="1"/>
        <v>0</v>
      </c>
      <c r="T34" s="11">
        <f t="shared" si="11"/>
        <v>9</v>
      </c>
      <c r="U34" s="11">
        <f t="shared" si="2"/>
        <v>0</v>
      </c>
      <c r="V34" s="11" t="str">
        <f>VLOOKUP(C34,Referencias!$A$2:$B$33,2,1)</f>
        <v>12 - 13</v>
      </c>
      <c r="W34" s="23" t="str">
        <f t="shared" si="17"/>
        <v/>
      </c>
      <c r="X34" s="11">
        <f t="shared" si="3"/>
        <v>0</v>
      </c>
      <c r="Y34" s="11">
        <f t="shared" si="12"/>
        <v>0</v>
      </c>
      <c r="Z34" s="24">
        <f t="shared" si="13"/>
        <v>0</v>
      </c>
      <c r="AA34" s="25">
        <f t="shared" si="14"/>
        <v>0</v>
      </c>
      <c r="AB34" s="24">
        <f t="shared" si="4"/>
        <v>0</v>
      </c>
      <c r="AC34" s="24">
        <f t="shared" si="5"/>
        <v>0</v>
      </c>
      <c r="AD34" s="24">
        <f t="shared" si="6"/>
        <v>0</v>
      </c>
      <c r="AE34" s="24">
        <f t="shared" si="7"/>
        <v>0</v>
      </c>
      <c r="AF34" s="119" t="str">
        <f>VLOOKUP(P34*1,Referencias!$G:$H,2,0)</f>
        <v>qua</v>
      </c>
      <c r="AH34" s="61" t="s">
        <v>219</v>
      </c>
      <c r="AI34" s="62">
        <f>AI30/$AJ$30-1</f>
        <v>4.2130719077883683E-2</v>
      </c>
      <c r="AJ34" s="63" t="s">
        <v>217</v>
      </c>
      <c r="AK34" s="62">
        <f>AK30/$AJ$30-1</f>
        <v>0.41378575945953644</v>
      </c>
      <c r="AL34" s="64">
        <f>AL30/$AJ$30-1</f>
        <v>0.38242929234839784</v>
      </c>
      <c r="AM34" s="65"/>
      <c r="AN34" s="65"/>
      <c r="AO34" s="65"/>
      <c r="AQ34" s="118">
        <v>43261</v>
      </c>
      <c r="AR34" s="11">
        <v>15</v>
      </c>
      <c r="AS34" s="28">
        <v>65.39</v>
      </c>
      <c r="AT34" s="29">
        <v>0.44930555555555551</v>
      </c>
      <c r="AU34" s="30">
        <v>105.96000000000001</v>
      </c>
      <c r="AV34" s="30">
        <f t="shared" ref="AV34" si="45">86400*(AT34)/360/10</f>
        <v>10.783333333333333</v>
      </c>
      <c r="AW34" s="30">
        <f t="shared" ref="AW34" si="46">AS34/AV34</f>
        <v>6.0639876352395676</v>
      </c>
      <c r="AX34" s="30">
        <f t="shared" ref="AX34" si="47">AW34*$AI$26</f>
        <v>4.3021504461567837</v>
      </c>
      <c r="AZ34" s="35" t="s">
        <v>64</v>
      </c>
      <c r="BA34" s="29">
        <v>2.4999999999999998E-2</v>
      </c>
      <c r="BB34" s="30">
        <v>4.53</v>
      </c>
      <c r="BC34" s="30">
        <v>8.67</v>
      </c>
      <c r="BD34" s="31">
        <v>1</v>
      </c>
      <c r="BG34" s="118">
        <v>43239</v>
      </c>
      <c r="BH34" s="28"/>
      <c r="BI34" s="28"/>
      <c r="BJ34" s="28"/>
      <c r="BK34" s="28"/>
      <c r="BL34" s="28"/>
      <c r="BM34" s="28"/>
      <c r="BN34" s="28"/>
      <c r="BO34" s="28"/>
      <c r="BP34" s="28"/>
      <c r="BQ34" s="28">
        <v>1</v>
      </c>
      <c r="BR34" s="28">
        <v>2</v>
      </c>
      <c r="BS34" s="28">
        <v>1</v>
      </c>
      <c r="BT34" s="28">
        <v>2</v>
      </c>
      <c r="BU34" s="28">
        <v>1</v>
      </c>
      <c r="BV34" s="11">
        <f t="shared" si="30"/>
        <v>5</v>
      </c>
      <c r="BW34" s="25">
        <f t="shared" si="32"/>
        <v>4.3666666666666663</v>
      </c>
      <c r="BX34" s="25">
        <f t="shared" si="31"/>
        <v>0.63333333333333375</v>
      </c>
    </row>
    <row r="35" spans="1:86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7"/>
      <c r="K35" s="37"/>
      <c r="L35" s="37"/>
      <c r="M35" s="37"/>
      <c r="N35" s="7" t="str">
        <f t="shared" si="8"/>
        <v>#LILGPHUM5</v>
      </c>
      <c r="O35" s="7">
        <f t="shared" si="0"/>
        <v>0</v>
      </c>
      <c r="P35" s="21">
        <f t="shared" si="9"/>
        <v>43229</v>
      </c>
      <c r="Q35" s="22">
        <f>VLOOKUP(R35,Referencias!$D$1:$E$13,2,0)</f>
        <v>5</v>
      </c>
      <c r="R35" s="7" t="str">
        <f t="shared" si="10"/>
        <v>MAI</v>
      </c>
      <c r="S35" s="7">
        <f t="shared" si="1"/>
        <v>0</v>
      </c>
      <c r="T35" s="11">
        <f t="shared" si="11"/>
        <v>9</v>
      </c>
      <c r="U35" s="11">
        <f t="shared" si="2"/>
        <v>0</v>
      </c>
      <c r="V35" s="11" t="e">
        <f>VLOOKUP(C35,Referencias!$A$2:$B$33,2,1)</f>
        <v>#N/A</v>
      </c>
      <c r="W35" s="23" t="str">
        <f t="shared" si="17"/>
        <v/>
      </c>
      <c r="X35" s="11">
        <f t="shared" si="3"/>
        <v>0</v>
      </c>
      <c r="Y35" s="11">
        <f t="shared" si="12"/>
        <v>0</v>
      </c>
      <c r="Z35" s="24">
        <f t="shared" si="13"/>
        <v>0</v>
      </c>
      <c r="AA35" s="25">
        <f t="shared" si="14"/>
        <v>0</v>
      </c>
      <c r="AB35" s="24">
        <f t="shared" si="4"/>
        <v>0</v>
      </c>
      <c r="AC35" s="24">
        <f t="shared" si="5"/>
        <v>0</v>
      </c>
      <c r="AD35" s="24">
        <f t="shared" si="6"/>
        <v>0</v>
      </c>
      <c r="AE35" s="24">
        <f t="shared" si="7"/>
        <v>0</v>
      </c>
      <c r="AF35" s="119" t="str">
        <f>VLOOKUP(P35*1,Referencias!$G:$H,2,0)</f>
        <v>qua</v>
      </c>
      <c r="AH35" s="66"/>
      <c r="AI35" s="67" t="s">
        <v>217</v>
      </c>
      <c r="AJ35" s="65">
        <f>AJ30/$AI$30-1</f>
        <v>-4.0427480263860227E-2</v>
      </c>
      <c r="AK35" s="65">
        <f>AK30/$AI$30-1</f>
        <v>0.35662996357165921</v>
      </c>
      <c r="AL35" s="68">
        <f>AL30/$AI$30-1</f>
        <v>0.32654115941580053</v>
      </c>
      <c r="AM35" s="65"/>
      <c r="AN35" s="65"/>
      <c r="AO35" s="65"/>
      <c r="AQ35" s="11" t="s">
        <v>185</v>
      </c>
      <c r="AS35" s="28"/>
      <c r="AT35" s="29"/>
      <c r="AU35" s="30"/>
      <c r="AZ35" s="35" t="s">
        <v>67</v>
      </c>
      <c r="BA35" s="29">
        <v>3.4722222222222224E-2</v>
      </c>
      <c r="BB35" s="30">
        <v>4.8499999999999996</v>
      </c>
      <c r="BC35" s="30">
        <v>9.58</v>
      </c>
      <c r="BD35" s="31">
        <v>1</v>
      </c>
      <c r="BG35" s="118">
        <v>43240</v>
      </c>
      <c r="BH35" s="28"/>
      <c r="BI35" s="28"/>
      <c r="BJ35" s="28">
        <v>1</v>
      </c>
      <c r="BK35" s="28">
        <v>1</v>
      </c>
      <c r="BL35" s="28">
        <v>1</v>
      </c>
      <c r="BM35" s="28">
        <v>0</v>
      </c>
      <c r="BN35" s="28"/>
      <c r="BO35" s="28"/>
      <c r="BP35" s="28"/>
      <c r="BQ35" s="28">
        <v>1</v>
      </c>
      <c r="BR35" s="28">
        <v>2</v>
      </c>
      <c r="BS35" s="28">
        <v>2</v>
      </c>
      <c r="BT35" s="28">
        <v>0</v>
      </c>
      <c r="BU35" s="28"/>
      <c r="BV35" s="11">
        <f t="shared" si="30"/>
        <v>6</v>
      </c>
      <c r="BW35" s="25">
        <f t="shared" si="32"/>
        <v>4.9666666666666677</v>
      </c>
      <c r="BX35" s="25">
        <f t="shared" si="31"/>
        <v>1.0333333333333323</v>
      </c>
    </row>
    <row r="36" spans="1:86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7" t="str">
        <f t="shared" si="8"/>
        <v>#LILGPHUM5</v>
      </c>
      <c r="O36" s="7">
        <f t="shared" si="0"/>
        <v>0</v>
      </c>
      <c r="P36" s="21">
        <f t="shared" si="9"/>
        <v>43229</v>
      </c>
      <c r="Q36" s="22">
        <f>VLOOKUP(R36,Referencias!$D$1:$E$13,2,0)</f>
        <v>5</v>
      </c>
      <c r="R36" s="7" t="str">
        <f t="shared" si="10"/>
        <v>MAI</v>
      </c>
      <c r="S36" s="7">
        <f t="shared" si="1"/>
        <v>0</v>
      </c>
      <c r="T36" s="11">
        <f t="shared" si="11"/>
        <v>9</v>
      </c>
      <c r="U36" s="11">
        <f t="shared" si="2"/>
        <v>0</v>
      </c>
      <c r="V36" s="11" t="e">
        <f>VLOOKUP(C36,Referencias!$A$2:$B$33,2,1)</f>
        <v>#N/A</v>
      </c>
      <c r="W36" s="23" t="str">
        <f t="shared" si="17"/>
        <v/>
      </c>
      <c r="X36" s="11">
        <f t="shared" si="3"/>
        <v>0</v>
      </c>
      <c r="Y36" s="11">
        <f t="shared" si="12"/>
        <v>0</v>
      </c>
      <c r="Z36" s="24">
        <f t="shared" si="13"/>
        <v>0</v>
      </c>
      <c r="AA36" s="25">
        <f t="shared" si="14"/>
        <v>0</v>
      </c>
      <c r="AB36" s="24">
        <f t="shared" si="4"/>
        <v>0</v>
      </c>
      <c r="AC36" s="24">
        <f t="shared" si="5"/>
        <v>0</v>
      </c>
      <c r="AD36" s="24">
        <f t="shared" si="6"/>
        <v>0</v>
      </c>
      <c r="AE36" s="24">
        <f t="shared" si="7"/>
        <v>0</v>
      </c>
      <c r="AF36" s="119" t="str">
        <f>VLOOKUP(P36*1,Referencias!$G:$H,2,0)</f>
        <v>qua</v>
      </c>
      <c r="AH36" s="66"/>
      <c r="AI36" s="65">
        <f>AI30/$AK$30-1</f>
        <v>-0.26287932092605704</v>
      </c>
      <c r="AJ36" s="65">
        <f>AJ30/$AK$30-1</f>
        <v>-0.29267925263140215</v>
      </c>
      <c r="AK36" s="67" t="s">
        <v>217</v>
      </c>
      <c r="AL36" s="68">
        <f>AL30/$AK$30-1</f>
        <v>-2.2179079751889486E-2</v>
      </c>
      <c r="AM36" s="65"/>
      <c r="AN36" s="65"/>
      <c r="AO36" s="65"/>
      <c r="AQ36" s="11" t="s">
        <v>147</v>
      </c>
      <c r="AR36" s="11">
        <v>242</v>
      </c>
      <c r="AS36" s="28">
        <v>989.41</v>
      </c>
      <c r="AT36" s="29">
        <v>6.5048611111111114</v>
      </c>
      <c r="AU36" s="30">
        <v>1528.1800000000003</v>
      </c>
      <c r="AZ36" s="35" t="s">
        <v>63</v>
      </c>
      <c r="BA36" s="29">
        <v>4.2361111111111106E-2</v>
      </c>
      <c r="BB36" s="30">
        <v>6.52</v>
      </c>
      <c r="BC36" s="30">
        <v>14.35</v>
      </c>
      <c r="BD36" s="31">
        <v>1</v>
      </c>
      <c r="BG36" s="118">
        <v>43242</v>
      </c>
      <c r="BH36" s="28"/>
      <c r="BI36" s="28"/>
      <c r="BJ36" s="28">
        <v>1</v>
      </c>
      <c r="BK36" s="28">
        <v>1</v>
      </c>
      <c r="BL36" s="28"/>
      <c r="BM36" s="28"/>
      <c r="BN36" s="28"/>
      <c r="BO36" s="28"/>
      <c r="BP36" s="28"/>
      <c r="BQ36" s="28">
        <v>2</v>
      </c>
      <c r="BR36" s="28">
        <v>1</v>
      </c>
      <c r="BS36" s="28">
        <v>0</v>
      </c>
      <c r="BT36" s="28"/>
      <c r="BU36" s="28"/>
      <c r="BV36" s="11">
        <f t="shared" si="30"/>
        <v>4</v>
      </c>
      <c r="BW36" s="25">
        <f t="shared" si="32"/>
        <v>3.9</v>
      </c>
      <c r="BX36" s="25">
        <f t="shared" si="31"/>
        <v>0.10000000000000009</v>
      </c>
      <c r="CH36" s="10"/>
    </row>
    <row r="37" spans="1:86" ht="12.6" thickBot="1" x14ac:dyDescent="0.3">
      <c r="A37" s="16"/>
      <c r="B37" s="17" t="s">
        <v>43</v>
      </c>
      <c r="C37" s="18">
        <v>0.82430555555555551</v>
      </c>
      <c r="D37" s="7">
        <v>1.94</v>
      </c>
      <c r="E37" s="7" t="s">
        <v>44</v>
      </c>
      <c r="F37" s="7"/>
      <c r="G37" s="19">
        <v>2.17</v>
      </c>
      <c r="H37" s="20">
        <v>43</v>
      </c>
      <c r="I37" s="7"/>
      <c r="J37" s="7"/>
      <c r="K37" s="7"/>
      <c r="L37" s="7"/>
      <c r="M37" s="7"/>
      <c r="N37" s="7" t="str">
        <f t="shared" si="8"/>
        <v>#LIHYJKK5P</v>
      </c>
      <c r="O37" s="7" t="str">
        <f t="shared" si="0"/>
        <v>#LIHYJKK5P</v>
      </c>
      <c r="P37" s="21">
        <f t="shared" si="9"/>
        <v>43229</v>
      </c>
      <c r="Q37" s="22">
        <f>VLOOKUP(R37,Referencias!$D$1:$E$13,2,0)</f>
        <v>5</v>
      </c>
      <c r="R37" s="7" t="str">
        <f t="shared" si="10"/>
        <v>MAI</v>
      </c>
      <c r="S37" s="7">
        <f t="shared" si="1"/>
        <v>0</v>
      </c>
      <c r="T37" s="11">
        <f t="shared" si="11"/>
        <v>9</v>
      </c>
      <c r="U37" s="11">
        <f t="shared" si="2"/>
        <v>0</v>
      </c>
      <c r="V37" s="11" t="str">
        <f>VLOOKUP(C37,Referencias!$A$2:$B$33,2,1)</f>
        <v>19 - 20</v>
      </c>
      <c r="W37" s="23">
        <f t="shared" si="17"/>
        <v>2.430555555555558E-2</v>
      </c>
      <c r="X37" s="11">
        <f t="shared" si="3"/>
        <v>1.94</v>
      </c>
      <c r="Y37" s="11">
        <f t="shared" si="12"/>
        <v>3.425910605117692</v>
      </c>
      <c r="Z37" s="24">
        <f t="shared" si="13"/>
        <v>2.17</v>
      </c>
      <c r="AA37" s="25">
        <f t="shared" si="14"/>
        <v>3.7199999999999962</v>
      </c>
      <c r="AB37" s="24">
        <f t="shared" si="4"/>
        <v>1</v>
      </c>
      <c r="AC37" s="24">
        <f t="shared" si="5"/>
        <v>1.4216716309796602</v>
      </c>
      <c r="AD37" s="24">
        <f t="shared" si="6"/>
        <v>1.7224627710308349</v>
      </c>
      <c r="AE37" s="24">
        <f t="shared" si="7"/>
        <v>2.0422445699962601</v>
      </c>
      <c r="AF37" s="119" t="str">
        <f>VLOOKUP(P37*1,Referencias!$G:$H,2,0)</f>
        <v>qua</v>
      </c>
      <c r="AH37" s="69"/>
      <c r="AI37" s="70">
        <f>AI30/$AL$30-1</f>
        <v>-0.24615983989490908</v>
      </c>
      <c r="AJ37" s="70">
        <f>AJ30/$AL$30-1</f>
        <v>-0.27663569808966293</v>
      </c>
      <c r="AK37" s="70">
        <f>AK30/$AL$30-1</f>
        <v>2.2682148942223312E-2</v>
      </c>
      <c r="AL37" s="71" t="s">
        <v>217</v>
      </c>
      <c r="AM37" s="67"/>
      <c r="AN37" s="67"/>
      <c r="AO37" s="67"/>
      <c r="AZ37" s="35" t="s">
        <v>69</v>
      </c>
      <c r="BA37" s="29">
        <v>2.7083333333333334E-2</v>
      </c>
      <c r="BB37" s="30">
        <v>4.3899999999999997</v>
      </c>
      <c r="BC37" s="30">
        <v>6.17</v>
      </c>
      <c r="BD37" s="31">
        <v>1</v>
      </c>
      <c r="BG37" s="118">
        <v>43243</v>
      </c>
      <c r="BH37" s="28"/>
      <c r="BI37" s="28"/>
      <c r="BJ37" s="28">
        <v>1</v>
      </c>
      <c r="BK37" s="28">
        <v>1</v>
      </c>
      <c r="BL37" s="28"/>
      <c r="BM37" s="28"/>
      <c r="BN37" s="28"/>
      <c r="BO37" s="28"/>
      <c r="BP37" s="28"/>
      <c r="BQ37" s="28">
        <v>1</v>
      </c>
      <c r="BR37" s="28">
        <v>2</v>
      </c>
      <c r="BS37" s="28">
        <v>1</v>
      </c>
      <c r="BT37" s="28">
        <v>1</v>
      </c>
      <c r="BU37" s="28"/>
      <c r="BV37" s="11">
        <f t="shared" si="30"/>
        <v>6</v>
      </c>
      <c r="BW37" s="25">
        <f t="shared" si="32"/>
        <v>4.0000000000000009</v>
      </c>
      <c r="BX37" s="25">
        <f t="shared" si="31"/>
        <v>1.9999999999999991</v>
      </c>
      <c r="CH37" s="10"/>
    </row>
    <row r="38" spans="1:86" ht="14.4" x14ac:dyDescent="0.3">
      <c r="A38" s="16"/>
      <c r="B38" s="17"/>
      <c r="C38" s="18">
        <v>0.84861111111111109</v>
      </c>
      <c r="D38" s="7"/>
      <c r="E38" s="7"/>
      <c r="F38" s="7"/>
      <c r="G38" s="19"/>
      <c r="H38" s="20"/>
      <c r="I38" s="7"/>
      <c r="J38" s="7"/>
      <c r="K38" s="7"/>
      <c r="L38" s="7"/>
      <c r="M38" s="7"/>
      <c r="N38" s="7" t="str">
        <f t="shared" si="8"/>
        <v>#LIHYJKK5P</v>
      </c>
      <c r="O38" s="7">
        <f t="shared" si="0"/>
        <v>0</v>
      </c>
      <c r="P38" s="21">
        <f t="shared" si="9"/>
        <v>43229</v>
      </c>
      <c r="Q38" s="22">
        <f>VLOOKUP(R38,Referencias!$D$1:$E$13,2,0)</f>
        <v>5</v>
      </c>
      <c r="R38" s="7" t="str">
        <f t="shared" si="10"/>
        <v>MAI</v>
      </c>
      <c r="S38" s="7">
        <f t="shared" si="1"/>
        <v>0</v>
      </c>
      <c r="T38" s="11">
        <f t="shared" si="11"/>
        <v>9</v>
      </c>
      <c r="U38" s="11">
        <f t="shared" si="2"/>
        <v>0</v>
      </c>
      <c r="V38" s="11" t="str">
        <f>VLOOKUP(C38,Referencias!$A$2:$B$33,2,1)</f>
        <v>20 - 21</v>
      </c>
      <c r="W38" s="23" t="str">
        <f t="shared" si="17"/>
        <v/>
      </c>
      <c r="X38" s="11">
        <f t="shared" si="3"/>
        <v>0</v>
      </c>
      <c r="Y38" s="11">
        <f t="shared" si="12"/>
        <v>0</v>
      </c>
      <c r="Z38" s="24">
        <f t="shared" si="13"/>
        <v>0</v>
      </c>
      <c r="AA38" s="25">
        <f t="shared" si="14"/>
        <v>0</v>
      </c>
      <c r="AB38" s="24">
        <f t="shared" si="4"/>
        <v>0</v>
      </c>
      <c r="AC38" s="24">
        <f t="shared" si="5"/>
        <v>0</v>
      </c>
      <c r="AD38" s="24">
        <f t="shared" si="6"/>
        <v>0</v>
      </c>
      <c r="AE38" s="24">
        <f t="shared" si="7"/>
        <v>0</v>
      </c>
      <c r="AF38" s="119" t="str">
        <f>VLOOKUP(P38*1,Referencias!$G:$H,2,0)</f>
        <v>qua</v>
      </c>
      <c r="AK38" s="44"/>
      <c r="AZ38" s="35" t="s">
        <v>73</v>
      </c>
      <c r="BA38" s="29">
        <v>3.0555555555555555E-2</v>
      </c>
      <c r="BB38" s="30">
        <v>4.47</v>
      </c>
      <c r="BC38" s="30">
        <v>7.2</v>
      </c>
      <c r="BD38" s="31">
        <v>1</v>
      </c>
      <c r="BG38" s="118">
        <v>43244</v>
      </c>
      <c r="BH38" s="28"/>
      <c r="BI38" s="28"/>
      <c r="BJ38" s="28"/>
      <c r="BK38" s="28">
        <v>1</v>
      </c>
      <c r="BL38" s="28">
        <v>1</v>
      </c>
      <c r="BM38" s="28">
        <v>0</v>
      </c>
      <c r="BN38" s="28"/>
      <c r="BO38" s="28"/>
      <c r="BP38" s="28"/>
      <c r="BQ38" s="28">
        <v>1</v>
      </c>
      <c r="BR38" s="28">
        <v>1</v>
      </c>
      <c r="BS38" s="28">
        <v>1</v>
      </c>
      <c r="BT38" s="28"/>
      <c r="BU38" s="28"/>
      <c r="BV38" s="11">
        <f t="shared" si="30"/>
        <v>5</v>
      </c>
      <c r="BW38" s="25">
        <f t="shared" si="32"/>
        <v>4.0333333333333332</v>
      </c>
      <c r="BX38" s="25">
        <f t="shared" si="31"/>
        <v>0.96666666666666679</v>
      </c>
      <c r="BZ38" s="112"/>
      <c r="CA38" s="10"/>
      <c r="CB38" s="10"/>
      <c r="CC38" s="10"/>
      <c r="CD38" s="10"/>
      <c r="CE38" s="10"/>
      <c r="CF38" s="10"/>
      <c r="CG38" s="109"/>
      <c r="CH38" s="10"/>
    </row>
    <row r="39" spans="1:86" ht="14.4" x14ac:dyDescent="0.3">
      <c r="A39" s="36"/>
      <c r="B39" s="36"/>
      <c r="C39" s="36"/>
      <c r="D39" s="36"/>
      <c r="E39" s="36"/>
      <c r="F39" s="36"/>
      <c r="G39" s="36"/>
      <c r="H39" s="36"/>
      <c r="I39" s="36"/>
      <c r="J39" s="37"/>
      <c r="K39" s="37"/>
      <c r="L39" s="37"/>
      <c r="M39" s="37"/>
      <c r="N39" s="7" t="str">
        <f t="shared" si="8"/>
        <v>#LIHYJKK5P</v>
      </c>
      <c r="O39" s="7">
        <f t="shared" si="0"/>
        <v>0</v>
      </c>
      <c r="P39" s="21">
        <f t="shared" si="9"/>
        <v>43229</v>
      </c>
      <c r="Q39" s="22">
        <f>VLOOKUP(R39,Referencias!$D$1:$E$13,2,0)</f>
        <v>5</v>
      </c>
      <c r="R39" s="7" t="str">
        <f t="shared" si="10"/>
        <v>MAI</v>
      </c>
      <c r="S39" s="7">
        <f t="shared" si="1"/>
        <v>0</v>
      </c>
      <c r="T39" s="11">
        <f t="shared" si="11"/>
        <v>9</v>
      </c>
      <c r="U39" s="11">
        <f t="shared" si="2"/>
        <v>0</v>
      </c>
      <c r="V39" s="11" t="e">
        <f>VLOOKUP(C39,Referencias!$A$2:$B$33,2,1)</f>
        <v>#N/A</v>
      </c>
      <c r="W39" s="23" t="str">
        <f t="shared" si="17"/>
        <v/>
      </c>
      <c r="X39" s="11">
        <f t="shared" si="3"/>
        <v>0</v>
      </c>
      <c r="Y39" s="11">
        <f t="shared" si="12"/>
        <v>0</v>
      </c>
      <c r="Z39" s="24">
        <f t="shared" si="13"/>
        <v>0</v>
      </c>
      <c r="AA39" s="25">
        <f t="shared" si="14"/>
        <v>0</v>
      </c>
      <c r="AB39" s="24">
        <f t="shared" si="4"/>
        <v>0</v>
      </c>
      <c r="AC39" s="24">
        <f t="shared" si="5"/>
        <v>0</v>
      </c>
      <c r="AD39" s="24">
        <f t="shared" si="6"/>
        <v>0</v>
      </c>
      <c r="AE39" s="24">
        <f t="shared" si="7"/>
        <v>0</v>
      </c>
      <c r="AF39" s="119" t="str">
        <f>VLOOKUP(P39*1,Referencias!$G:$H,2,0)</f>
        <v>qua</v>
      </c>
      <c r="AZ39" s="118">
        <v>43233</v>
      </c>
      <c r="BA39" s="29">
        <v>0.18888888888888888</v>
      </c>
      <c r="BB39" s="30">
        <v>31.060000000000002</v>
      </c>
      <c r="BC39" s="30">
        <v>50.58</v>
      </c>
      <c r="BD39" s="31">
        <v>8</v>
      </c>
      <c r="BG39" s="118">
        <v>43245</v>
      </c>
      <c r="BH39" s="28"/>
      <c r="BI39" s="28"/>
      <c r="BJ39" s="28"/>
      <c r="BK39" s="28">
        <v>1</v>
      </c>
      <c r="BL39" s="28">
        <v>0</v>
      </c>
      <c r="BM39" s="28"/>
      <c r="BN39" s="28"/>
      <c r="BO39" s="28"/>
      <c r="BP39" s="28"/>
      <c r="BQ39" s="28">
        <v>1</v>
      </c>
      <c r="BR39" s="28">
        <v>1</v>
      </c>
      <c r="BS39" s="28">
        <v>2</v>
      </c>
      <c r="BT39" s="28">
        <v>1</v>
      </c>
      <c r="BU39" s="28"/>
      <c r="BV39" s="11">
        <f t="shared" si="30"/>
        <v>5</v>
      </c>
      <c r="BW39" s="25">
        <f t="shared" si="32"/>
        <v>3.75</v>
      </c>
      <c r="BX39" s="25">
        <f t="shared" si="31"/>
        <v>1.25</v>
      </c>
      <c r="BZ39" s="112"/>
      <c r="CA39" s="112"/>
      <c r="CB39" s="112"/>
      <c r="CC39" s="112"/>
      <c r="CD39" s="112"/>
    </row>
    <row r="40" spans="1:86" ht="14.4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7" t="str">
        <f t="shared" si="8"/>
        <v>#LIHYJKK5P</v>
      </c>
      <c r="O40" s="7">
        <f t="shared" si="0"/>
        <v>0</v>
      </c>
      <c r="P40" s="21">
        <f t="shared" si="9"/>
        <v>43229</v>
      </c>
      <c r="Q40" s="22">
        <f>VLOOKUP(R40,Referencias!$D$1:$E$13,2,0)</f>
        <v>5</v>
      </c>
      <c r="R40" s="7" t="str">
        <f t="shared" si="10"/>
        <v>MAI</v>
      </c>
      <c r="S40" s="7">
        <f t="shared" si="1"/>
        <v>0</v>
      </c>
      <c r="T40" s="11">
        <f t="shared" si="11"/>
        <v>9</v>
      </c>
      <c r="U40" s="11">
        <f t="shared" si="2"/>
        <v>0</v>
      </c>
      <c r="V40" s="11" t="e">
        <f>VLOOKUP(C40,Referencias!$A$2:$B$33,2,1)</f>
        <v>#N/A</v>
      </c>
      <c r="W40" s="23" t="str">
        <f t="shared" si="17"/>
        <v/>
      </c>
      <c r="X40" s="11">
        <f t="shared" si="3"/>
        <v>0</v>
      </c>
      <c r="Y40" s="11">
        <f t="shared" si="12"/>
        <v>0</v>
      </c>
      <c r="Z40" s="24">
        <f t="shared" si="13"/>
        <v>0</v>
      </c>
      <c r="AA40" s="25">
        <f t="shared" si="14"/>
        <v>0</v>
      </c>
      <c r="AB40" s="24">
        <f t="shared" si="4"/>
        <v>0</v>
      </c>
      <c r="AC40" s="24">
        <f t="shared" si="5"/>
        <v>0</v>
      </c>
      <c r="AD40" s="24">
        <f t="shared" si="6"/>
        <v>0</v>
      </c>
      <c r="AE40" s="24">
        <f t="shared" si="7"/>
        <v>0</v>
      </c>
      <c r="AF40" s="119" t="str">
        <f>VLOOKUP(P40*1,Referencias!$G:$H,2,0)</f>
        <v>qua</v>
      </c>
      <c r="AP40" s="11"/>
      <c r="AZ40" s="35" t="s">
        <v>83</v>
      </c>
      <c r="BA40" s="29">
        <v>2.0833333333333332E-2</v>
      </c>
      <c r="BB40" s="30">
        <v>3.91</v>
      </c>
      <c r="BC40" s="30">
        <v>6.9</v>
      </c>
      <c r="BD40" s="31">
        <v>1</v>
      </c>
      <c r="BG40" s="118">
        <v>43246</v>
      </c>
      <c r="BH40" s="28"/>
      <c r="BI40" s="28"/>
      <c r="BJ40" s="28">
        <v>1</v>
      </c>
      <c r="BK40" s="28"/>
      <c r="BL40" s="28"/>
      <c r="BM40" s="28"/>
      <c r="BN40" s="28"/>
      <c r="BO40" s="28"/>
      <c r="BP40" s="28"/>
      <c r="BQ40" s="28"/>
      <c r="BR40" s="28">
        <v>1</v>
      </c>
      <c r="BS40" s="28">
        <v>0</v>
      </c>
      <c r="BT40" s="28"/>
      <c r="BU40" s="28"/>
      <c r="BV40" s="11">
        <f t="shared" si="30"/>
        <v>2</v>
      </c>
      <c r="BW40" s="25">
        <f t="shared" si="32"/>
        <v>2.3666666666666667</v>
      </c>
      <c r="BX40" s="25">
        <f t="shared" si="31"/>
        <v>-0.3666666666666667</v>
      </c>
      <c r="BZ40" s="112"/>
      <c r="CA40" s="112"/>
      <c r="CB40" s="112"/>
      <c r="CC40" s="112"/>
      <c r="CD40" s="112"/>
      <c r="CG40" s="109"/>
      <c r="CH40" s="109"/>
    </row>
    <row r="41" spans="1:86" ht="14.4" x14ac:dyDescent="0.3">
      <c r="A41" s="16"/>
      <c r="B41" s="17" t="s">
        <v>45</v>
      </c>
      <c r="C41" s="18">
        <v>0.84861111111111109</v>
      </c>
      <c r="D41" s="7">
        <v>4.68</v>
      </c>
      <c r="E41" s="7" t="s">
        <v>17</v>
      </c>
      <c r="F41" s="7"/>
      <c r="G41" s="19">
        <v>3.13</v>
      </c>
      <c r="H41" s="20">
        <v>46.13</v>
      </c>
      <c r="I41" s="7"/>
      <c r="J41" s="7"/>
      <c r="K41" s="7"/>
      <c r="L41" s="7"/>
      <c r="M41" s="7"/>
      <c r="N41" s="7" t="str">
        <f t="shared" si="8"/>
        <v>#LIFWMQBHA</v>
      </c>
      <c r="O41" s="7" t="str">
        <f t="shared" si="0"/>
        <v>#LIFWMQBHA</v>
      </c>
      <c r="P41" s="21">
        <f t="shared" si="9"/>
        <v>43229</v>
      </c>
      <c r="Q41" s="22">
        <f>VLOOKUP(R41,Referencias!$D$1:$E$13,2,0)</f>
        <v>5</v>
      </c>
      <c r="R41" s="7" t="str">
        <f t="shared" si="10"/>
        <v>MAI</v>
      </c>
      <c r="S41" s="7">
        <f t="shared" si="1"/>
        <v>0</v>
      </c>
      <c r="T41" s="11">
        <f t="shared" si="11"/>
        <v>9</v>
      </c>
      <c r="U41" s="11">
        <f t="shared" si="2"/>
        <v>0</v>
      </c>
      <c r="V41" s="11" t="str">
        <f>VLOOKUP(C41,Referencias!$A$2:$B$33,2,1)</f>
        <v>20 - 21</v>
      </c>
      <c r="W41" s="23">
        <f t="shared" si="17"/>
        <v>2.0138888888888928E-2</v>
      </c>
      <c r="X41" s="11">
        <f t="shared" si="3"/>
        <v>4.68</v>
      </c>
      <c r="Y41" s="11">
        <f t="shared" si="12"/>
        <v>8.2645678515210292</v>
      </c>
      <c r="Z41" s="24">
        <f t="shared" si="13"/>
        <v>3.13</v>
      </c>
      <c r="AA41" s="25">
        <f t="shared" si="14"/>
        <v>6.4758620689655046</v>
      </c>
      <c r="AB41" s="24">
        <f t="shared" si="4"/>
        <v>1</v>
      </c>
      <c r="AC41" s="24">
        <f t="shared" si="5"/>
        <v>2.0506139193393254</v>
      </c>
      <c r="AD41" s="24">
        <f t="shared" si="6"/>
        <v>2.4844739508417111</v>
      </c>
      <c r="AE41" s="24">
        <f t="shared" si="7"/>
        <v>2.9457260387503661</v>
      </c>
      <c r="AF41" s="119" t="str">
        <f>VLOOKUP(P41*1,Referencias!$G:$H,2,0)</f>
        <v>qua</v>
      </c>
      <c r="AP41" s="11"/>
      <c r="AQ41" s="118"/>
      <c r="AZ41" s="35" t="s">
        <v>80</v>
      </c>
      <c r="BA41" s="29">
        <v>1.5972222222222224E-2</v>
      </c>
      <c r="BB41" s="30">
        <v>2.6</v>
      </c>
      <c r="BC41" s="30">
        <v>3.17</v>
      </c>
      <c r="BD41" s="31">
        <v>1</v>
      </c>
      <c r="BG41" s="118">
        <v>43247</v>
      </c>
      <c r="BH41" s="28">
        <v>1</v>
      </c>
      <c r="BI41" s="28">
        <v>2</v>
      </c>
      <c r="BJ41" s="28">
        <v>1</v>
      </c>
      <c r="BK41" s="28">
        <v>2</v>
      </c>
      <c r="BL41" s="28">
        <v>1</v>
      </c>
      <c r="BM41" s="28">
        <v>1</v>
      </c>
      <c r="BN41" s="28">
        <v>2</v>
      </c>
      <c r="BO41" s="28"/>
      <c r="BP41" s="28"/>
      <c r="BQ41" s="28"/>
      <c r="BR41" s="28">
        <v>2</v>
      </c>
      <c r="BS41" s="28">
        <v>3</v>
      </c>
      <c r="BT41" s="28">
        <v>0</v>
      </c>
      <c r="BU41" s="28"/>
      <c r="BV41" s="11">
        <f t="shared" si="30"/>
        <v>9</v>
      </c>
      <c r="BW41" s="25">
        <f t="shared" si="32"/>
        <v>9.1833333333333336</v>
      </c>
      <c r="BX41" s="25">
        <f t="shared" si="31"/>
        <v>-0.18333333333333357</v>
      </c>
      <c r="BZ41" s="112"/>
      <c r="CA41" s="112"/>
      <c r="CB41" s="112"/>
      <c r="CC41" s="112"/>
      <c r="CD41" s="112"/>
    </row>
    <row r="42" spans="1:86" ht="14.4" x14ac:dyDescent="0.3">
      <c r="A42" s="16"/>
      <c r="B42" s="17"/>
      <c r="C42" s="18">
        <v>0.86875000000000002</v>
      </c>
      <c r="D42" s="7"/>
      <c r="E42" s="7"/>
      <c r="F42" s="7"/>
      <c r="G42" s="19"/>
      <c r="H42" s="20"/>
      <c r="I42" s="7"/>
      <c r="J42" s="7"/>
      <c r="K42" s="7"/>
      <c r="L42" s="7"/>
      <c r="M42" s="7"/>
      <c r="N42" s="7" t="str">
        <f t="shared" si="8"/>
        <v>#LIFWMQBHA</v>
      </c>
      <c r="O42" s="7">
        <f t="shared" si="0"/>
        <v>0</v>
      </c>
      <c r="P42" s="21">
        <f t="shared" si="9"/>
        <v>43229</v>
      </c>
      <c r="Q42" s="22">
        <f>VLOOKUP(R42,Referencias!$D$1:$E$13,2,0)</f>
        <v>5</v>
      </c>
      <c r="R42" s="7" t="str">
        <f t="shared" si="10"/>
        <v>MAI</v>
      </c>
      <c r="S42" s="7">
        <f t="shared" si="1"/>
        <v>0</v>
      </c>
      <c r="T42" s="11">
        <f t="shared" si="11"/>
        <v>9</v>
      </c>
      <c r="U42" s="11">
        <f t="shared" si="2"/>
        <v>0</v>
      </c>
      <c r="V42" s="11" t="str">
        <f>VLOOKUP(C42,Referencias!$A$2:$B$33,2,1)</f>
        <v>20 - 21</v>
      </c>
      <c r="W42" s="23" t="str">
        <f t="shared" si="17"/>
        <v/>
      </c>
      <c r="X42" s="11">
        <f t="shared" si="3"/>
        <v>0</v>
      </c>
      <c r="Y42" s="11">
        <f t="shared" si="12"/>
        <v>0</v>
      </c>
      <c r="Z42" s="24">
        <f t="shared" si="13"/>
        <v>0</v>
      </c>
      <c r="AA42" s="25">
        <f t="shared" si="14"/>
        <v>0</v>
      </c>
      <c r="AB42" s="24">
        <f t="shared" si="4"/>
        <v>0</v>
      </c>
      <c r="AC42" s="24">
        <f t="shared" si="5"/>
        <v>0</v>
      </c>
      <c r="AD42" s="24">
        <f t="shared" si="6"/>
        <v>0</v>
      </c>
      <c r="AE42" s="24">
        <f t="shared" si="7"/>
        <v>0</v>
      </c>
      <c r="AF42" s="119" t="str">
        <f>VLOOKUP(P42*1,Referencias!$G:$H,2,0)</f>
        <v>qua</v>
      </c>
      <c r="AP42" s="118"/>
      <c r="AQ42" s="118"/>
      <c r="AZ42" s="35" t="s">
        <v>84</v>
      </c>
      <c r="BA42" s="29">
        <v>2.361111111111111E-2</v>
      </c>
      <c r="BB42" s="30">
        <v>3.33</v>
      </c>
      <c r="BC42" s="30">
        <v>5.21</v>
      </c>
      <c r="BD42" s="31">
        <v>1</v>
      </c>
      <c r="BG42" s="118">
        <v>43248</v>
      </c>
      <c r="BH42" s="28"/>
      <c r="BI42" s="28"/>
      <c r="BJ42" s="28"/>
      <c r="BK42" s="28">
        <v>1</v>
      </c>
      <c r="BL42" s="28">
        <v>0</v>
      </c>
      <c r="BM42" s="28"/>
      <c r="BN42" s="28"/>
      <c r="BO42" s="28">
        <v>1</v>
      </c>
      <c r="BP42" s="28">
        <v>1</v>
      </c>
      <c r="BQ42" s="28">
        <v>2</v>
      </c>
      <c r="BR42" s="28">
        <v>2</v>
      </c>
      <c r="BS42" s="28">
        <v>1</v>
      </c>
      <c r="BT42" s="28">
        <v>1</v>
      </c>
      <c r="BU42" s="28"/>
      <c r="BV42" s="11">
        <f t="shared" si="30"/>
        <v>7</v>
      </c>
      <c r="BW42" s="25">
        <f t="shared" si="32"/>
        <v>5.133333333333332</v>
      </c>
      <c r="BX42" s="25">
        <f t="shared" si="31"/>
        <v>1.866666666666668</v>
      </c>
      <c r="BZ42" s="112"/>
      <c r="CA42" s="112"/>
      <c r="CB42" s="112"/>
      <c r="CC42" s="112"/>
      <c r="CD42" s="112"/>
    </row>
    <row r="43" spans="1:86" ht="14.4" x14ac:dyDescent="0.3">
      <c r="A43" s="36"/>
      <c r="B43" s="36"/>
      <c r="C43" s="36"/>
      <c r="D43" s="36"/>
      <c r="E43" s="36"/>
      <c r="F43" s="36"/>
      <c r="G43" s="36"/>
      <c r="H43" s="36"/>
      <c r="I43" s="36"/>
      <c r="J43" s="37"/>
      <c r="K43" s="37"/>
      <c r="L43" s="37"/>
      <c r="M43" s="37"/>
      <c r="N43" s="7" t="str">
        <f t="shared" si="8"/>
        <v>#LIFWMQBHA</v>
      </c>
      <c r="O43" s="7">
        <f t="shared" si="0"/>
        <v>0</v>
      </c>
      <c r="P43" s="21">
        <f t="shared" si="9"/>
        <v>43229</v>
      </c>
      <c r="Q43" s="22">
        <f>VLOOKUP(R43,Referencias!$D$1:$E$13,2,0)</f>
        <v>5</v>
      </c>
      <c r="R43" s="7" t="str">
        <f t="shared" si="10"/>
        <v>MAI</v>
      </c>
      <c r="S43" s="7">
        <f t="shared" si="1"/>
        <v>0</v>
      </c>
      <c r="T43" s="11">
        <f t="shared" si="11"/>
        <v>9</v>
      </c>
      <c r="U43" s="11">
        <f t="shared" si="2"/>
        <v>0</v>
      </c>
      <c r="V43" s="11" t="e">
        <f>VLOOKUP(C43,Referencias!$A$2:$B$33,2,1)</f>
        <v>#N/A</v>
      </c>
      <c r="W43" s="23" t="str">
        <f t="shared" si="17"/>
        <v/>
      </c>
      <c r="X43" s="11">
        <f t="shared" si="3"/>
        <v>0</v>
      </c>
      <c r="Y43" s="11">
        <f t="shared" si="12"/>
        <v>0</v>
      </c>
      <c r="Z43" s="24">
        <f t="shared" si="13"/>
        <v>0</v>
      </c>
      <c r="AA43" s="25">
        <f t="shared" si="14"/>
        <v>0</v>
      </c>
      <c r="AB43" s="24">
        <f t="shared" si="4"/>
        <v>0</v>
      </c>
      <c r="AC43" s="24">
        <f t="shared" si="5"/>
        <v>0</v>
      </c>
      <c r="AD43" s="24">
        <f t="shared" si="6"/>
        <v>0</v>
      </c>
      <c r="AE43" s="24">
        <f t="shared" si="7"/>
        <v>0</v>
      </c>
      <c r="AF43" s="119" t="str">
        <f>VLOOKUP(P43*1,Referencias!$G:$H,2,0)</f>
        <v>qua</v>
      </c>
      <c r="AP43" s="118"/>
      <c r="AQ43" s="118"/>
      <c r="AZ43" s="35" t="s">
        <v>81</v>
      </c>
      <c r="BA43" s="29">
        <v>2.9166666666666664E-2</v>
      </c>
      <c r="BB43" s="30">
        <v>5.21</v>
      </c>
      <c r="BC43" s="30">
        <v>10.6</v>
      </c>
      <c r="BD43" s="31">
        <v>1</v>
      </c>
      <c r="BG43" s="118">
        <v>43249</v>
      </c>
      <c r="BH43" s="28"/>
      <c r="BI43" s="28"/>
      <c r="BJ43" s="28">
        <v>2</v>
      </c>
      <c r="BK43" s="28">
        <v>1</v>
      </c>
      <c r="BL43" s="28"/>
      <c r="BM43" s="28"/>
      <c r="BN43" s="28"/>
      <c r="BO43" s="28"/>
      <c r="BP43" s="28"/>
      <c r="BQ43" s="28">
        <v>1</v>
      </c>
      <c r="BR43" s="28">
        <v>1</v>
      </c>
      <c r="BS43" s="28">
        <v>1</v>
      </c>
      <c r="BT43" s="28">
        <v>0</v>
      </c>
      <c r="BU43" s="28"/>
      <c r="BV43" s="11">
        <f t="shared" si="30"/>
        <v>5</v>
      </c>
      <c r="BW43" s="25">
        <f t="shared" si="32"/>
        <v>3.5833333333333335</v>
      </c>
      <c r="BX43" s="25">
        <f t="shared" si="31"/>
        <v>1.4166666666666665</v>
      </c>
      <c r="BZ43" s="112"/>
      <c r="CA43" s="112"/>
      <c r="CB43" s="112"/>
      <c r="CC43" s="112"/>
      <c r="CD43" s="112"/>
    </row>
    <row r="44" spans="1:86" ht="14.4" x14ac:dyDescent="0.3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7" t="str">
        <f t="shared" si="8"/>
        <v>#LIFWMQBHA</v>
      </c>
      <c r="O44" s="7">
        <f t="shared" si="0"/>
        <v>0</v>
      </c>
      <c r="P44" s="21">
        <f t="shared" si="9"/>
        <v>43229</v>
      </c>
      <c r="Q44" s="22">
        <f>VLOOKUP(R44,Referencias!$D$1:$E$13,2,0)</f>
        <v>5</v>
      </c>
      <c r="R44" s="7" t="str">
        <f t="shared" si="10"/>
        <v>MAI</v>
      </c>
      <c r="S44" s="7">
        <f t="shared" si="1"/>
        <v>0</v>
      </c>
      <c r="T44" s="11">
        <f t="shared" si="11"/>
        <v>9</v>
      </c>
      <c r="U44" s="11">
        <f t="shared" si="2"/>
        <v>0</v>
      </c>
      <c r="V44" s="11" t="e">
        <f>VLOOKUP(C44,Referencias!$A$2:$B$33,2,1)</f>
        <v>#N/A</v>
      </c>
      <c r="W44" s="23" t="str">
        <f t="shared" si="17"/>
        <v/>
      </c>
      <c r="X44" s="11">
        <f t="shared" si="3"/>
        <v>0</v>
      </c>
      <c r="Y44" s="11">
        <f t="shared" si="12"/>
        <v>0</v>
      </c>
      <c r="Z44" s="24">
        <f t="shared" si="13"/>
        <v>0</v>
      </c>
      <c r="AA44" s="25">
        <f t="shared" si="14"/>
        <v>0</v>
      </c>
      <c r="AB44" s="24">
        <f t="shared" si="4"/>
        <v>0</v>
      </c>
      <c r="AC44" s="24">
        <f t="shared" si="5"/>
        <v>0</v>
      </c>
      <c r="AD44" s="24">
        <f t="shared" si="6"/>
        <v>0</v>
      </c>
      <c r="AE44" s="24">
        <f t="shared" si="7"/>
        <v>0</v>
      </c>
      <c r="AF44" s="119" t="str">
        <f>VLOOKUP(P44*1,Referencias!$G:$H,2,0)</f>
        <v>qua</v>
      </c>
      <c r="AP44" s="118"/>
      <c r="AQ44" s="118"/>
      <c r="AZ44" s="35" t="s">
        <v>82</v>
      </c>
      <c r="BA44" s="29">
        <v>1.8749999999999999E-2</v>
      </c>
      <c r="BB44" s="30">
        <v>4.03</v>
      </c>
      <c r="BC44" s="30">
        <v>5.18</v>
      </c>
      <c r="BD44" s="31">
        <v>1</v>
      </c>
      <c r="BG44" s="118">
        <v>43250</v>
      </c>
      <c r="BH44" s="28"/>
      <c r="BI44" s="28"/>
      <c r="BJ44" s="28">
        <v>2</v>
      </c>
      <c r="BK44" s="28">
        <v>2</v>
      </c>
      <c r="BL44" s="28">
        <v>1</v>
      </c>
      <c r="BM44" s="28"/>
      <c r="BN44" s="28"/>
      <c r="BO44" s="28"/>
      <c r="BP44" s="28"/>
      <c r="BQ44" s="28">
        <v>2</v>
      </c>
      <c r="BR44" s="28">
        <v>1</v>
      </c>
      <c r="BS44" s="28">
        <v>0</v>
      </c>
      <c r="BT44" s="28">
        <v>3</v>
      </c>
      <c r="BU44" s="28">
        <v>0</v>
      </c>
      <c r="BV44" s="11">
        <f t="shared" si="30"/>
        <v>6</v>
      </c>
      <c r="BW44" s="25">
        <f t="shared" si="32"/>
        <v>6.1333333333333346</v>
      </c>
      <c r="BX44" s="25">
        <f t="shared" si="31"/>
        <v>-0.13333333333333464</v>
      </c>
      <c r="BZ44" s="112"/>
      <c r="CA44" s="112"/>
      <c r="CB44" s="112"/>
      <c r="CC44" s="112"/>
      <c r="CD44" s="112"/>
    </row>
    <row r="45" spans="1:86" ht="14.4" x14ac:dyDescent="0.3">
      <c r="A45" s="16"/>
      <c r="B45" s="17" t="s">
        <v>46</v>
      </c>
      <c r="C45" s="18">
        <v>0.88194444444444442</v>
      </c>
      <c r="D45" s="7">
        <v>5.76</v>
      </c>
      <c r="E45" s="7" t="s">
        <v>36</v>
      </c>
      <c r="F45" s="7"/>
      <c r="G45" s="19">
        <v>3.51</v>
      </c>
      <c r="H45" s="20">
        <v>49.64</v>
      </c>
      <c r="I45" s="7"/>
      <c r="J45" s="7"/>
      <c r="K45" s="7"/>
      <c r="L45" s="7"/>
      <c r="M45" s="7"/>
      <c r="N45" s="7" t="str">
        <f t="shared" si="8"/>
        <v>#LIL6LXRH8</v>
      </c>
      <c r="O45" s="7" t="str">
        <f t="shared" si="0"/>
        <v>#LIL6LXRH8</v>
      </c>
      <c r="P45" s="21">
        <f t="shared" si="9"/>
        <v>43229</v>
      </c>
      <c r="Q45" s="22">
        <f>VLOOKUP(R45,Referencias!$D$1:$E$13,2,0)</f>
        <v>5</v>
      </c>
      <c r="R45" s="7" t="str">
        <f t="shared" si="10"/>
        <v>MAI</v>
      </c>
      <c r="S45" s="7">
        <f t="shared" si="1"/>
        <v>0</v>
      </c>
      <c r="T45" s="11">
        <f t="shared" si="11"/>
        <v>9</v>
      </c>
      <c r="U45" s="11">
        <f t="shared" si="2"/>
        <v>0</v>
      </c>
      <c r="V45" s="11" t="str">
        <f>VLOOKUP(C45,Referencias!$A$2:$B$33,2,1)</f>
        <v>21 - 22</v>
      </c>
      <c r="W45" s="23">
        <f t="shared" si="17"/>
        <v>1.6666666666666718E-2</v>
      </c>
      <c r="X45" s="11">
        <f t="shared" si="3"/>
        <v>5.76</v>
      </c>
      <c r="Y45" s="11">
        <f t="shared" si="12"/>
        <v>10.171775817256652</v>
      </c>
      <c r="Z45" s="24">
        <f t="shared" si="13"/>
        <v>3.51</v>
      </c>
      <c r="AA45" s="25">
        <f t="shared" si="14"/>
        <v>8.7749999999999719</v>
      </c>
      <c r="AB45" s="24">
        <f t="shared" si="4"/>
        <v>1</v>
      </c>
      <c r="AC45" s="24">
        <f t="shared" si="5"/>
        <v>2.2995702418150263</v>
      </c>
      <c r="AD45" s="24">
        <f t="shared" si="6"/>
        <v>2.7861033761835161</v>
      </c>
      <c r="AE45" s="24">
        <f t="shared" si="7"/>
        <v>3.3033541201321999</v>
      </c>
      <c r="AF45" s="119" t="str">
        <f>VLOOKUP(P45*1,Referencias!$G:$H,2,0)</f>
        <v>qua</v>
      </c>
      <c r="AP45" s="118"/>
      <c r="AQ45" s="118"/>
      <c r="AZ45" s="35" t="s">
        <v>79</v>
      </c>
      <c r="BA45" s="29">
        <v>2.9861111111111113E-2</v>
      </c>
      <c r="BB45" s="30">
        <v>4.6100000000000003</v>
      </c>
      <c r="BC45" s="30">
        <v>8.85</v>
      </c>
      <c r="BD45" s="31">
        <v>1</v>
      </c>
      <c r="BG45" s="118">
        <v>43252</v>
      </c>
      <c r="BH45" s="28">
        <v>1</v>
      </c>
      <c r="BI45" s="28"/>
      <c r="BJ45" s="28">
        <v>2</v>
      </c>
      <c r="BK45" s="28">
        <v>1</v>
      </c>
      <c r="BL45" s="28">
        <v>2</v>
      </c>
      <c r="BM45" s="28">
        <v>0</v>
      </c>
      <c r="BN45" s="28"/>
      <c r="BO45" s="28"/>
      <c r="BP45" s="28"/>
      <c r="BQ45" s="28">
        <v>1</v>
      </c>
      <c r="BR45" s="28">
        <v>1</v>
      </c>
      <c r="BS45" s="28">
        <v>2</v>
      </c>
      <c r="BT45" s="28">
        <v>1</v>
      </c>
      <c r="BU45" s="28">
        <v>1</v>
      </c>
      <c r="BV45" s="11">
        <f t="shared" si="30"/>
        <v>9</v>
      </c>
      <c r="BW45" s="25">
        <f t="shared" si="32"/>
        <v>7.25</v>
      </c>
      <c r="BX45" s="25">
        <f t="shared" si="31"/>
        <v>1.75</v>
      </c>
      <c r="BZ45" s="112"/>
      <c r="CA45" s="112"/>
      <c r="CB45" s="112"/>
      <c r="CC45" s="112"/>
      <c r="CD45" s="112"/>
    </row>
    <row r="46" spans="1:86" ht="14.4" x14ac:dyDescent="0.3">
      <c r="A46" s="16"/>
      <c r="B46" s="17"/>
      <c r="C46" s="18">
        <v>0.89861111111111114</v>
      </c>
      <c r="D46" s="7"/>
      <c r="E46" s="7"/>
      <c r="F46" s="7"/>
      <c r="G46" s="19"/>
      <c r="H46" s="20"/>
      <c r="I46" s="7"/>
      <c r="J46" s="7"/>
      <c r="K46" s="7"/>
      <c r="L46" s="7"/>
      <c r="M46" s="7"/>
      <c r="N46" s="7" t="str">
        <f t="shared" si="8"/>
        <v>#LIL6LXRH8</v>
      </c>
      <c r="O46" s="7">
        <f t="shared" si="0"/>
        <v>0</v>
      </c>
      <c r="P46" s="21">
        <f t="shared" si="9"/>
        <v>43229</v>
      </c>
      <c r="Q46" s="22">
        <f>VLOOKUP(R46,Referencias!$D$1:$E$13,2,0)</f>
        <v>5</v>
      </c>
      <c r="R46" s="7" t="str">
        <f t="shared" si="10"/>
        <v>MAI</v>
      </c>
      <c r="S46" s="7">
        <f t="shared" si="1"/>
        <v>0</v>
      </c>
      <c r="T46" s="11">
        <f t="shared" si="11"/>
        <v>9</v>
      </c>
      <c r="U46" s="11">
        <f t="shared" si="2"/>
        <v>0</v>
      </c>
      <c r="V46" s="11" t="str">
        <f>VLOOKUP(C46,Referencias!$A$2:$B$33,2,1)</f>
        <v>21 - 22</v>
      </c>
      <c r="W46" s="23" t="str">
        <f t="shared" si="17"/>
        <v/>
      </c>
      <c r="X46" s="11">
        <f t="shared" si="3"/>
        <v>0</v>
      </c>
      <c r="Y46" s="11">
        <f t="shared" si="12"/>
        <v>0</v>
      </c>
      <c r="Z46" s="24">
        <f t="shared" si="13"/>
        <v>0</v>
      </c>
      <c r="AA46" s="25">
        <f t="shared" si="14"/>
        <v>0</v>
      </c>
      <c r="AB46" s="24">
        <f t="shared" si="4"/>
        <v>0</v>
      </c>
      <c r="AC46" s="24">
        <f t="shared" si="5"/>
        <v>0</v>
      </c>
      <c r="AD46" s="24">
        <f t="shared" si="6"/>
        <v>0</v>
      </c>
      <c r="AE46" s="24">
        <f t="shared" si="7"/>
        <v>0</v>
      </c>
      <c r="AF46" s="119" t="str">
        <f>VLOOKUP(P46*1,Referencias!$G:$H,2,0)</f>
        <v>qua</v>
      </c>
      <c r="AP46" s="118"/>
      <c r="AQ46" s="118"/>
      <c r="AZ46" s="35" t="s">
        <v>78</v>
      </c>
      <c r="BA46" s="29">
        <v>1.0416666666666666E-2</v>
      </c>
      <c r="BB46" s="30">
        <v>3.01</v>
      </c>
      <c r="BC46" s="30">
        <v>4.34</v>
      </c>
      <c r="BD46" s="31">
        <v>1</v>
      </c>
      <c r="BG46" s="118">
        <v>43253</v>
      </c>
      <c r="BH46" s="28"/>
      <c r="BI46" s="28">
        <v>2</v>
      </c>
      <c r="BJ46" s="28">
        <v>1</v>
      </c>
      <c r="BK46" s="28">
        <v>2</v>
      </c>
      <c r="BL46" s="28">
        <v>1</v>
      </c>
      <c r="BM46" s="28">
        <v>0</v>
      </c>
      <c r="BN46" s="28"/>
      <c r="BO46" s="28">
        <v>1</v>
      </c>
      <c r="BP46" s="28">
        <v>0</v>
      </c>
      <c r="BQ46" s="28"/>
      <c r="BR46" s="28">
        <v>1</v>
      </c>
      <c r="BS46" s="28">
        <v>1</v>
      </c>
      <c r="BT46" s="28">
        <v>0</v>
      </c>
      <c r="BU46" s="28"/>
      <c r="BV46" s="11">
        <f t="shared" si="30"/>
        <v>7</v>
      </c>
      <c r="BW46" s="25">
        <f t="shared" si="32"/>
        <v>6.3333333333333339</v>
      </c>
      <c r="BX46" s="25">
        <f t="shared" si="31"/>
        <v>0.66666666666666607</v>
      </c>
      <c r="BZ46" s="112"/>
      <c r="CA46" s="112"/>
      <c r="CB46" s="112"/>
      <c r="CC46" s="112"/>
      <c r="CD46" s="112"/>
    </row>
    <row r="47" spans="1:86" ht="14.4" x14ac:dyDescent="0.3">
      <c r="A47" s="57" t="s">
        <v>41</v>
      </c>
      <c r="B47" s="57"/>
      <c r="C47" s="58">
        <v>0.88194444444444453</v>
      </c>
      <c r="D47" s="57"/>
      <c r="E47" s="57"/>
      <c r="F47" s="57"/>
      <c r="G47" s="59">
        <v>1.72</v>
      </c>
      <c r="H47" s="60">
        <v>51.36</v>
      </c>
      <c r="I47" s="57"/>
      <c r="J47" s="57"/>
      <c r="K47" s="57"/>
      <c r="L47" s="57"/>
      <c r="M47" s="57"/>
      <c r="N47" s="7" t="str">
        <f t="shared" si="8"/>
        <v>#LIL6LXRH8</v>
      </c>
      <c r="O47" s="7">
        <f t="shared" si="0"/>
        <v>0</v>
      </c>
      <c r="P47" s="21">
        <f t="shared" si="9"/>
        <v>43229</v>
      </c>
      <c r="Q47" s="22">
        <f>VLOOKUP(R47,Referencias!$D$1:$E$13,2,0)</f>
        <v>5</v>
      </c>
      <c r="R47" s="7" t="str">
        <f t="shared" si="10"/>
        <v>MAI</v>
      </c>
      <c r="S47" s="7">
        <f t="shared" si="1"/>
        <v>0</v>
      </c>
      <c r="T47" s="11">
        <f t="shared" si="11"/>
        <v>9</v>
      </c>
      <c r="U47" s="11">
        <f t="shared" si="2"/>
        <v>0</v>
      </c>
      <c r="V47" s="11" t="str">
        <f>VLOOKUP(C47,Referencias!$A$2:$B$33,2,1)</f>
        <v>21 - 22</v>
      </c>
      <c r="W47" s="23" t="str">
        <f t="shared" si="17"/>
        <v/>
      </c>
      <c r="X47" s="11">
        <f t="shared" si="3"/>
        <v>0</v>
      </c>
      <c r="Y47" s="11">
        <f t="shared" si="12"/>
        <v>0</v>
      </c>
      <c r="Z47" s="24">
        <f t="shared" si="13"/>
        <v>1.72</v>
      </c>
      <c r="AA47" s="25">
        <f t="shared" si="14"/>
        <v>0</v>
      </c>
      <c r="AB47" s="24">
        <f t="shared" si="4"/>
        <v>0</v>
      </c>
      <c r="AC47" s="24">
        <f t="shared" si="5"/>
        <v>1.1268549333110671</v>
      </c>
      <c r="AD47" s="24">
        <f t="shared" si="6"/>
        <v>1.3652700304944867</v>
      </c>
      <c r="AE47" s="24">
        <f t="shared" si="7"/>
        <v>1.6187376315177731</v>
      </c>
      <c r="AF47" s="119" t="str">
        <f>VLOOKUP(P47*1,Referencias!$G:$H,2,0)</f>
        <v>qua</v>
      </c>
      <c r="AP47" s="118"/>
      <c r="AQ47" s="118"/>
      <c r="AZ47" s="35" t="s">
        <v>76</v>
      </c>
      <c r="BA47" s="29">
        <v>4.027777777777778E-2</v>
      </c>
      <c r="BB47" s="30">
        <v>4.3600000000000003</v>
      </c>
      <c r="BC47" s="30">
        <v>6.33</v>
      </c>
      <c r="BD47" s="31">
        <v>1</v>
      </c>
      <c r="BG47" s="118">
        <v>43254</v>
      </c>
      <c r="BH47" s="28"/>
      <c r="BI47" s="28">
        <v>2</v>
      </c>
      <c r="BJ47" s="28">
        <v>1</v>
      </c>
      <c r="BK47" s="28">
        <v>2</v>
      </c>
      <c r="BL47" s="28">
        <v>2</v>
      </c>
      <c r="BM47" s="28">
        <v>1</v>
      </c>
      <c r="BN47" s="28">
        <v>0</v>
      </c>
      <c r="BO47" s="28"/>
      <c r="BP47" s="28">
        <v>2</v>
      </c>
      <c r="BQ47" s="28">
        <v>1</v>
      </c>
      <c r="BR47" s="28">
        <v>1</v>
      </c>
      <c r="BS47" s="28">
        <v>0</v>
      </c>
      <c r="BT47" s="28"/>
      <c r="BU47" s="28"/>
      <c r="BV47" s="11">
        <f t="shared" si="30"/>
        <v>8</v>
      </c>
      <c r="BW47" s="25">
        <f t="shared" si="32"/>
        <v>7.2</v>
      </c>
      <c r="BX47" s="25">
        <f t="shared" si="31"/>
        <v>0.79999999999999982</v>
      </c>
      <c r="BZ47" s="112"/>
      <c r="CA47" s="112"/>
      <c r="CB47" s="112"/>
      <c r="CC47" s="112"/>
      <c r="CD47" s="112"/>
    </row>
    <row r="48" spans="1:86" ht="15" thickBot="1" x14ac:dyDescent="0.35">
      <c r="A48" s="40"/>
      <c r="B48" s="40"/>
      <c r="C48" s="40"/>
      <c r="D48" s="40"/>
      <c r="E48" s="40"/>
      <c r="F48" s="40"/>
      <c r="G48" s="40"/>
      <c r="H48" s="40"/>
      <c r="I48" s="40"/>
      <c r="J48" s="41"/>
      <c r="K48" s="41"/>
      <c r="L48" s="41"/>
      <c r="M48" s="41"/>
      <c r="N48" s="7" t="str">
        <f t="shared" si="8"/>
        <v>#LIL6LXRH8</v>
      </c>
      <c r="O48" s="7">
        <f t="shared" si="0"/>
        <v>0</v>
      </c>
      <c r="P48" s="21">
        <f t="shared" si="9"/>
        <v>43229</v>
      </c>
      <c r="Q48" s="22">
        <f>VLOOKUP(R48,Referencias!$D$1:$E$13,2,0)</f>
        <v>5</v>
      </c>
      <c r="R48" s="7" t="str">
        <f t="shared" si="10"/>
        <v>MAI</v>
      </c>
      <c r="S48" s="7">
        <f t="shared" si="1"/>
        <v>0</v>
      </c>
      <c r="T48" s="11">
        <f t="shared" si="11"/>
        <v>9</v>
      </c>
      <c r="U48" s="11">
        <f t="shared" si="2"/>
        <v>0</v>
      </c>
      <c r="V48" s="11" t="e">
        <f>VLOOKUP(C48,Referencias!$A$2:$B$33,2,1)</f>
        <v>#N/A</v>
      </c>
      <c r="W48" s="23" t="str">
        <f t="shared" si="17"/>
        <v/>
      </c>
      <c r="X48" s="11">
        <f t="shared" si="3"/>
        <v>0</v>
      </c>
      <c r="Y48" s="11">
        <f t="shared" si="12"/>
        <v>0</v>
      </c>
      <c r="Z48" s="24">
        <f t="shared" si="13"/>
        <v>0</v>
      </c>
      <c r="AA48" s="25">
        <f t="shared" si="14"/>
        <v>0</v>
      </c>
      <c r="AB48" s="24">
        <f t="shared" si="4"/>
        <v>0</v>
      </c>
      <c r="AC48" s="24">
        <f t="shared" si="5"/>
        <v>0</v>
      </c>
      <c r="AD48" s="24">
        <f t="shared" si="6"/>
        <v>0</v>
      </c>
      <c r="AE48" s="24">
        <f t="shared" si="7"/>
        <v>0</v>
      </c>
      <c r="AF48" s="119" t="str">
        <f>VLOOKUP(P48*1,Referencias!$G:$H,2,0)</f>
        <v>qua</v>
      </c>
      <c r="AP48" s="118"/>
      <c r="AQ48" s="118"/>
      <c r="AZ48" s="118">
        <v>43234</v>
      </c>
      <c r="BA48" s="29">
        <v>0.13472222222222222</v>
      </c>
      <c r="BB48" s="30">
        <v>17.68</v>
      </c>
      <c r="BC48" s="30">
        <v>20.41</v>
      </c>
      <c r="BD48" s="31">
        <v>7</v>
      </c>
      <c r="BG48" s="118">
        <v>43255</v>
      </c>
      <c r="BH48" s="28"/>
      <c r="BI48" s="28"/>
      <c r="BJ48" s="28">
        <v>1</v>
      </c>
      <c r="BK48" s="28">
        <v>2</v>
      </c>
      <c r="BL48" s="28">
        <v>1</v>
      </c>
      <c r="BM48" s="28"/>
      <c r="BN48" s="28"/>
      <c r="BO48" s="28"/>
      <c r="BP48" s="28"/>
      <c r="BQ48" s="28">
        <v>1</v>
      </c>
      <c r="BR48" s="28">
        <v>1</v>
      </c>
      <c r="BS48" s="28">
        <v>1</v>
      </c>
      <c r="BT48" s="28">
        <v>1</v>
      </c>
      <c r="BU48" s="28">
        <v>0</v>
      </c>
      <c r="BV48" s="11">
        <f t="shared" ref="BV48:BV50" si="48">COUNTIF(BH48:BU48,"&gt;0")</f>
        <v>7</v>
      </c>
      <c r="BW48" s="25">
        <f t="shared" ref="BW48:BW50" si="49">VLOOKUP(BG48,$AQ:$AV,6,0)</f>
        <v>5.15</v>
      </c>
      <c r="BX48" s="25">
        <f t="shared" ref="BX48:BX50" si="50">BV48-BW48</f>
        <v>1.8499999999999996</v>
      </c>
      <c r="BZ48" s="112"/>
      <c r="CA48" s="112"/>
      <c r="CB48" s="112"/>
      <c r="CC48" s="112"/>
      <c r="CD48" s="112"/>
    </row>
    <row r="49" spans="1:82" ht="14.4" x14ac:dyDescent="0.3">
      <c r="A49" s="16">
        <v>10</v>
      </c>
      <c r="B49" s="45" t="s">
        <v>47</v>
      </c>
      <c r="C49" s="18">
        <v>0.52222222222222225</v>
      </c>
      <c r="D49" s="46">
        <v>3.99</v>
      </c>
      <c r="E49" s="46" t="s">
        <v>48</v>
      </c>
      <c r="F49" s="46"/>
      <c r="G49" s="47">
        <v>2.96</v>
      </c>
      <c r="H49" s="48">
        <v>54.32</v>
      </c>
      <c r="I49" s="46"/>
      <c r="J49" s="7"/>
      <c r="K49" s="7"/>
      <c r="L49" s="7"/>
      <c r="M49" s="7"/>
      <c r="N49" s="7" t="str">
        <f t="shared" si="8"/>
        <v>#LIDXWRDWZ</v>
      </c>
      <c r="O49" s="7" t="str">
        <f t="shared" si="0"/>
        <v>#LIDXWRDWZ</v>
      </c>
      <c r="P49" s="21">
        <f t="shared" si="9"/>
        <v>43230</v>
      </c>
      <c r="Q49" s="22">
        <f>VLOOKUP(R49,Referencias!$D$1:$E$13,2,0)</f>
        <v>5</v>
      </c>
      <c r="R49" s="7" t="str">
        <f t="shared" si="10"/>
        <v>MAI</v>
      </c>
      <c r="S49" s="7" t="str">
        <f t="shared" si="1"/>
        <v>MAI</v>
      </c>
      <c r="T49" s="11">
        <f t="shared" si="11"/>
        <v>10</v>
      </c>
      <c r="U49" s="11">
        <f t="shared" si="2"/>
        <v>10</v>
      </c>
      <c r="V49" s="11" t="str">
        <f>VLOOKUP(C49,Referencias!$A$2:$B$33,2,1)</f>
        <v>12 - 13</v>
      </c>
      <c r="W49" s="23">
        <f t="shared" si="17"/>
        <v>2.6388888888888795E-2</v>
      </c>
      <c r="X49" s="11">
        <f t="shared" si="3"/>
        <v>3.99</v>
      </c>
      <c r="Y49" s="11">
        <f t="shared" si="12"/>
        <v>7.0460738734121611</v>
      </c>
      <c r="Z49" s="24">
        <f t="shared" si="13"/>
        <v>2.96</v>
      </c>
      <c r="AA49" s="25">
        <f t="shared" si="14"/>
        <v>4.6736842105263321</v>
      </c>
      <c r="AB49" s="24">
        <f t="shared" si="4"/>
        <v>1</v>
      </c>
      <c r="AC49" s="24">
        <f t="shared" si="5"/>
        <v>1.9392387224423016</v>
      </c>
      <c r="AD49" s="24">
        <f t="shared" si="6"/>
        <v>2.3495344710835351</v>
      </c>
      <c r="AE49" s="24">
        <f t="shared" si="7"/>
        <v>2.7857345286584931</v>
      </c>
      <c r="AF49" s="119" t="str">
        <f>VLOOKUP(P49*1,Referencias!$G:$H,2,0)</f>
        <v>qui</v>
      </c>
      <c r="AP49" s="118"/>
      <c r="AQ49" s="118"/>
      <c r="AZ49" s="35" t="s">
        <v>109</v>
      </c>
      <c r="BA49" s="29">
        <v>1.9444444444444445E-2</v>
      </c>
      <c r="BB49" s="30">
        <v>1.5</v>
      </c>
      <c r="BC49" s="30">
        <v>5.42</v>
      </c>
      <c r="BD49" s="31">
        <v>1</v>
      </c>
      <c r="BF49"/>
      <c r="BG49" s="118">
        <v>43256</v>
      </c>
      <c r="BH49" s="28"/>
      <c r="BI49" s="28"/>
      <c r="BJ49" s="28">
        <v>1</v>
      </c>
      <c r="BK49" s="28">
        <v>1</v>
      </c>
      <c r="BL49" s="28">
        <v>1</v>
      </c>
      <c r="BM49" s="28"/>
      <c r="BN49" s="28"/>
      <c r="BO49" s="28"/>
      <c r="BP49" s="28"/>
      <c r="BQ49" s="28">
        <v>1</v>
      </c>
      <c r="BR49" s="28">
        <v>2</v>
      </c>
      <c r="BS49" s="28">
        <v>0</v>
      </c>
      <c r="BT49" s="28"/>
      <c r="BU49" s="28"/>
      <c r="BV49" s="11">
        <f t="shared" si="48"/>
        <v>5</v>
      </c>
      <c r="BW49" s="25">
        <f t="shared" si="49"/>
        <v>3.9666666666666663</v>
      </c>
      <c r="BX49" s="25">
        <f t="shared" si="50"/>
        <v>1.0333333333333337</v>
      </c>
      <c r="BZ49" s="112"/>
      <c r="CA49" s="112"/>
      <c r="CB49" s="112"/>
      <c r="CC49" s="112"/>
      <c r="CD49" s="112"/>
    </row>
    <row r="50" spans="1:82" ht="14.4" x14ac:dyDescent="0.3">
      <c r="A50" s="16" t="s">
        <v>19</v>
      </c>
      <c r="B50" s="17"/>
      <c r="C50" s="18">
        <v>0.54861111111111105</v>
      </c>
      <c r="D50" s="7"/>
      <c r="E50" s="7"/>
      <c r="F50" s="7"/>
      <c r="G50" s="19"/>
      <c r="H50" s="20"/>
      <c r="I50" s="7"/>
      <c r="J50" s="7"/>
      <c r="K50" s="7"/>
      <c r="L50" s="7"/>
      <c r="M50" s="7"/>
      <c r="N50" s="7" t="str">
        <f t="shared" si="8"/>
        <v>#LIDXWRDWZ</v>
      </c>
      <c r="O50" s="7">
        <f t="shared" si="0"/>
        <v>0</v>
      </c>
      <c r="P50" s="21">
        <f t="shared" si="9"/>
        <v>43230</v>
      </c>
      <c r="Q50" s="22">
        <f>VLOOKUP(R50,Referencias!$D$1:$E$13,2,0)</f>
        <v>5</v>
      </c>
      <c r="R50" s="7" t="str">
        <f t="shared" si="10"/>
        <v>MAI</v>
      </c>
      <c r="S50" s="7">
        <f t="shared" si="1"/>
        <v>0</v>
      </c>
      <c r="T50" s="11">
        <f t="shared" si="11"/>
        <v>10</v>
      </c>
      <c r="U50" s="11">
        <f t="shared" si="2"/>
        <v>0</v>
      </c>
      <c r="V50" s="11" t="str">
        <f>VLOOKUP(C50,Referencias!$A$2:$B$33,2,1)</f>
        <v>13 - 14</v>
      </c>
      <c r="W50" s="23" t="str">
        <f t="shared" si="17"/>
        <v/>
      </c>
      <c r="X50" s="11">
        <f t="shared" si="3"/>
        <v>0</v>
      </c>
      <c r="Y50" s="11">
        <f t="shared" si="12"/>
        <v>0</v>
      </c>
      <c r="Z50" s="24">
        <f t="shared" si="13"/>
        <v>0</v>
      </c>
      <c r="AA50" s="25">
        <f t="shared" si="14"/>
        <v>0</v>
      </c>
      <c r="AB50" s="24">
        <f t="shared" si="4"/>
        <v>0</v>
      </c>
      <c r="AC50" s="24">
        <f t="shared" si="5"/>
        <v>0</v>
      </c>
      <c r="AD50" s="24">
        <f t="shared" si="6"/>
        <v>0</v>
      </c>
      <c r="AE50" s="24">
        <f t="shared" si="7"/>
        <v>0</v>
      </c>
      <c r="AF50" s="119" t="str">
        <f>VLOOKUP(P50*1,Referencias!$G:$H,2,0)</f>
        <v>qui</v>
      </c>
      <c r="AP50" s="118"/>
      <c r="AQ50" s="118"/>
      <c r="AZ50" s="35" t="s">
        <v>106</v>
      </c>
      <c r="BA50" s="29">
        <v>1.4583333333333332E-2</v>
      </c>
      <c r="BB50" s="30">
        <v>2.2799999999999998</v>
      </c>
      <c r="BC50" s="30">
        <v>1.6</v>
      </c>
      <c r="BD50" s="31">
        <v>1</v>
      </c>
      <c r="BF50"/>
      <c r="BG50" s="118">
        <v>43257</v>
      </c>
      <c r="BH50" s="28"/>
      <c r="BI50" s="28"/>
      <c r="BJ50" s="28">
        <v>1</v>
      </c>
      <c r="BK50" s="28">
        <v>0</v>
      </c>
      <c r="BL50" s="28"/>
      <c r="BM50" s="28"/>
      <c r="BN50" s="28"/>
      <c r="BO50" s="28"/>
      <c r="BP50" s="28"/>
      <c r="BQ50" s="28">
        <v>1</v>
      </c>
      <c r="BR50" s="28">
        <v>1</v>
      </c>
      <c r="BS50" s="28">
        <v>2</v>
      </c>
      <c r="BT50" s="28">
        <v>0</v>
      </c>
      <c r="BU50" s="28"/>
      <c r="BV50" s="11">
        <f t="shared" si="48"/>
        <v>4</v>
      </c>
      <c r="BW50" s="25">
        <f t="shared" si="49"/>
        <v>3.6833333333333336</v>
      </c>
      <c r="BX50" s="25">
        <f t="shared" si="50"/>
        <v>0.31666666666666643</v>
      </c>
      <c r="BZ50" s="112"/>
      <c r="CA50" s="112"/>
      <c r="CB50" s="112"/>
      <c r="CC50" s="112"/>
      <c r="CD50" s="112"/>
    </row>
    <row r="51" spans="1:82" ht="14.4" x14ac:dyDescent="0.3">
      <c r="A51" s="36"/>
      <c r="B51" s="36"/>
      <c r="C51" s="36"/>
      <c r="D51" s="36"/>
      <c r="E51" s="36"/>
      <c r="F51" s="36"/>
      <c r="G51" s="36"/>
      <c r="H51" s="36"/>
      <c r="I51" s="36"/>
      <c r="J51" s="37"/>
      <c r="K51" s="37"/>
      <c r="L51" s="37"/>
      <c r="M51" s="37"/>
      <c r="N51" s="7" t="str">
        <f t="shared" si="8"/>
        <v>#LIDXWRDWZ</v>
      </c>
      <c r="O51" s="7">
        <f t="shared" si="0"/>
        <v>0</v>
      </c>
      <c r="P51" s="21">
        <f t="shared" si="9"/>
        <v>43230</v>
      </c>
      <c r="Q51" s="22">
        <f>VLOOKUP(R51,Referencias!$D$1:$E$13,2,0)</f>
        <v>5</v>
      </c>
      <c r="R51" s="7" t="str">
        <f t="shared" si="10"/>
        <v>MAI</v>
      </c>
      <c r="S51" s="7">
        <f t="shared" si="1"/>
        <v>0</v>
      </c>
      <c r="T51" s="11">
        <f t="shared" si="11"/>
        <v>10</v>
      </c>
      <c r="U51" s="11">
        <f t="shared" si="2"/>
        <v>0</v>
      </c>
      <c r="V51" s="11" t="e">
        <f>VLOOKUP(C51,Referencias!$A$2:$B$33,2,1)</f>
        <v>#N/A</v>
      </c>
      <c r="W51" s="23" t="str">
        <f t="shared" si="17"/>
        <v/>
      </c>
      <c r="X51" s="11">
        <f t="shared" si="3"/>
        <v>0</v>
      </c>
      <c r="Y51" s="11">
        <f t="shared" si="12"/>
        <v>0</v>
      </c>
      <c r="Z51" s="24">
        <f t="shared" si="13"/>
        <v>0</v>
      </c>
      <c r="AA51" s="25">
        <f t="shared" si="14"/>
        <v>0</v>
      </c>
      <c r="AB51" s="24">
        <f t="shared" si="4"/>
        <v>0</v>
      </c>
      <c r="AC51" s="24">
        <f t="shared" si="5"/>
        <v>0</v>
      </c>
      <c r="AD51" s="24">
        <f t="shared" si="6"/>
        <v>0</v>
      </c>
      <c r="AE51" s="24">
        <f t="shared" si="7"/>
        <v>0</v>
      </c>
      <c r="AF51" s="119" t="str">
        <f>VLOOKUP(P51*1,Referencias!$G:$H,2,0)</f>
        <v>qui</v>
      </c>
      <c r="AP51" s="118"/>
      <c r="AQ51" s="118"/>
      <c r="AZ51" s="35" t="s">
        <v>105</v>
      </c>
      <c r="BA51" s="29">
        <v>1.6666666666666666E-2</v>
      </c>
      <c r="BB51" s="30">
        <v>3.06</v>
      </c>
      <c r="BC51" s="30">
        <v>3.94</v>
      </c>
      <c r="BD51" s="31">
        <v>1</v>
      </c>
      <c r="BF51"/>
      <c r="BG51" s="118">
        <v>43258</v>
      </c>
      <c r="BH51" s="28"/>
      <c r="BI51" s="28"/>
      <c r="BJ51" s="28">
        <v>1</v>
      </c>
      <c r="BK51" s="28">
        <v>1</v>
      </c>
      <c r="BL51" s="28"/>
      <c r="BM51" s="28"/>
      <c r="BN51" s="28"/>
      <c r="BO51" s="28"/>
      <c r="BP51" s="28"/>
      <c r="BQ51" s="28">
        <v>1</v>
      </c>
      <c r="BR51" s="28">
        <v>2</v>
      </c>
      <c r="BS51" s="28">
        <v>2</v>
      </c>
      <c r="BT51" s="28">
        <v>2</v>
      </c>
      <c r="BU51" s="28">
        <v>1</v>
      </c>
      <c r="BV51" s="11">
        <f t="shared" ref="BV51" si="51">COUNTIF(BH51:BU51,"&gt;0")</f>
        <v>7</v>
      </c>
      <c r="BW51" s="25">
        <f t="shared" ref="BW51" si="52">VLOOKUP(BG51,$AQ:$AV,6,0)</f>
        <v>8.0666666666666664</v>
      </c>
      <c r="BX51" s="25">
        <f t="shared" ref="BX51" si="53">BV51-BW51</f>
        <v>-1.0666666666666664</v>
      </c>
      <c r="BZ51" s="112"/>
      <c r="CA51" s="112"/>
      <c r="CB51" s="112"/>
      <c r="CC51" s="112"/>
      <c r="CD51" s="112"/>
    </row>
    <row r="52" spans="1:82" ht="14.4" x14ac:dyDescent="0.3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7" t="str">
        <f t="shared" si="8"/>
        <v>#LIDXWRDWZ</v>
      </c>
      <c r="O52" s="7">
        <f t="shared" si="0"/>
        <v>0</v>
      </c>
      <c r="P52" s="21">
        <f t="shared" si="9"/>
        <v>43230</v>
      </c>
      <c r="Q52" s="22">
        <f>VLOOKUP(R52,Referencias!$D$1:$E$13,2,0)</f>
        <v>5</v>
      </c>
      <c r="R52" s="7" t="str">
        <f t="shared" si="10"/>
        <v>MAI</v>
      </c>
      <c r="S52" s="7">
        <f t="shared" si="1"/>
        <v>0</v>
      </c>
      <c r="T52" s="11">
        <f t="shared" si="11"/>
        <v>10</v>
      </c>
      <c r="U52" s="11">
        <f t="shared" si="2"/>
        <v>0</v>
      </c>
      <c r="V52" s="11" t="e">
        <f>VLOOKUP(C52,Referencias!$A$2:$B$33,2,1)</f>
        <v>#N/A</v>
      </c>
      <c r="W52" s="23" t="str">
        <f t="shared" si="17"/>
        <v/>
      </c>
      <c r="X52" s="11">
        <f t="shared" si="3"/>
        <v>0</v>
      </c>
      <c r="Y52" s="11">
        <f t="shared" si="12"/>
        <v>0</v>
      </c>
      <c r="Z52" s="24">
        <f t="shared" si="13"/>
        <v>0</v>
      </c>
      <c r="AA52" s="25">
        <f t="shared" si="14"/>
        <v>0</v>
      </c>
      <c r="AB52" s="24">
        <f t="shared" si="4"/>
        <v>0</v>
      </c>
      <c r="AC52" s="24">
        <f t="shared" si="5"/>
        <v>0</v>
      </c>
      <c r="AD52" s="24">
        <f t="shared" si="6"/>
        <v>0</v>
      </c>
      <c r="AE52" s="24">
        <f t="shared" si="7"/>
        <v>0</v>
      </c>
      <c r="AF52" s="119" t="str">
        <f>VLOOKUP(P52*1,Referencias!$G:$H,2,0)</f>
        <v>qui</v>
      </c>
      <c r="AP52" s="118"/>
      <c r="AQ52" s="118"/>
      <c r="AZ52" s="35" t="s">
        <v>103</v>
      </c>
      <c r="BA52" s="29">
        <v>1.9444444444444445E-2</v>
      </c>
      <c r="BB52" s="30">
        <v>2.2799999999999998</v>
      </c>
      <c r="BC52" s="30">
        <v>2.25</v>
      </c>
      <c r="BD52" s="31">
        <v>1</v>
      </c>
      <c r="BF52"/>
      <c r="BG52" s="118">
        <v>43259</v>
      </c>
      <c r="BH52" s="28"/>
      <c r="BI52" s="28"/>
      <c r="BJ52" s="28"/>
      <c r="BK52" s="28"/>
      <c r="BL52" s="28"/>
      <c r="BM52" s="28"/>
      <c r="BN52" s="28"/>
      <c r="BO52" s="28"/>
      <c r="BP52" s="28"/>
      <c r="BQ52" s="28">
        <v>1</v>
      </c>
      <c r="BR52" s="28">
        <v>1</v>
      </c>
      <c r="BS52" s="28">
        <v>2</v>
      </c>
      <c r="BT52" s="28">
        <v>1</v>
      </c>
      <c r="BU52" s="28">
        <v>0</v>
      </c>
      <c r="BV52" s="11">
        <f t="shared" ref="BV52" si="54">COUNTIF(BH52:BU52,"&gt;0")</f>
        <v>4</v>
      </c>
      <c r="BW52" s="25">
        <f t="shared" ref="BW52" si="55">VLOOKUP(BG52,$AQ:$AV,6,0)</f>
        <v>3.1166666666666667</v>
      </c>
      <c r="BX52" s="25">
        <f t="shared" ref="BX52" si="56">BV52-BW52</f>
        <v>0.8833333333333333</v>
      </c>
      <c r="BZ52" s="112"/>
      <c r="CA52" s="112"/>
      <c r="CB52" s="112"/>
      <c r="CC52" s="112"/>
      <c r="CD52" s="112"/>
    </row>
    <row r="53" spans="1:82" ht="14.4" x14ac:dyDescent="0.3">
      <c r="A53" s="16"/>
      <c r="B53" s="17" t="s">
        <v>49</v>
      </c>
      <c r="C53" s="18">
        <v>0.87013888888888891</v>
      </c>
      <c r="D53" s="7">
        <v>4.66</v>
      </c>
      <c r="E53" s="7" t="s">
        <v>50</v>
      </c>
      <c r="F53" s="7"/>
      <c r="G53" s="19">
        <v>4.07</v>
      </c>
      <c r="H53" s="20">
        <v>58.39</v>
      </c>
      <c r="I53" s="7"/>
      <c r="J53" s="7"/>
      <c r="K53" s="7"/>
      <c r="L53" s="7"/>
      <c r="M53" s="7"/>
      <c r="N53" s="7" t="str">
        <f t="shared" si="8"/>
        <v>#LITKZZ6CP</v>
      </c>
      <c r="O53" s="7" t="str">
        <f t="shared" si="0"/>
        <v>#LITKZZ6CP</v>
      </c>
      <c r="P53" s="21">
        <f t="shared" si="9"/>
        <v>43230</v>
      </c>
      <c r="Q53" s="22">
        <f>VLOOKUP(R53,Referencias!$D$1:$E$13,2,0)</f>
        <v>5</v>
      </c>
      <c r="R53" s="7" t="str">
        <f t="shared" si="10"/>
        <v>MAI</v>
      </c>
      <c r="S53" s="7">
        <f t="shared" si="1"/>
        <v>0</v>
      </c>
      <c r="T53" s="11">
        <f t="shared" si="11"/>
        <v>10</v>
      </c>
      <c r="U53" s="11">
        <f t="shared" si="2"/>
        <v>0</v>
      </c>
      <c r="V53" s="11" t="str">
        <f>VLOOKUP(C53,Referencias!$A$2:$B$33,2,1)</f>
        <v>20 - 21</v>
      </c>
      <c r="W53" s="23">
        <f t="shared" si="17"/>
        <v>3.1944444444444442E-2</v>
      </c>
      <c r="X53" s="11">
        <f t="shared" si="3"/>
        <v>4.66</v>
      </c>
      <c r="Y53" s="11">
        <f t="shared" si="12"/>
        <v>8.2292491854888894</v>
      </c>
      <c r="Z53" s="24">
        <f t="shared" si="13"/>
        <v>4.07</v>
      </c>
      <c r="AA53" s="25">
        <f t="shared" si="14"/>
        <v>5.3086956521739133</v>
      </c>
      <c r="AB53" s="24">
        <f t="shared" si="4"/>
        <v>1</v>
      </c>
      <c r="AC53" s="24">
        <f t="shared" si="5"/>
        <v>2.6664532433581649</v>
      </c>
      <c r="AD53" s="24">
        <f t="shared" si="6"/>
        <v>3.230609897739861</v>
      </c>
      <c r="AE53" s="24">
        <f t="shared" si="7"/>
        <v>3.8303849769054286</v>
      </c>
      <c r="AF53" s="119" t="str">
        <f>VLOOKUP(P53*1,Referencias!$G:$H,2,0)</f>
        <v>qui</v>
      </c>
      <c r="AP53" s="118"/>
      <c r="AQ53" s="118"/>
      <c r="AZ53" s="35" t="s">
        <v>104</v>
      </c>
      <c r="BA53" s="29">
        <v>2.8472222222222222E-2</v>
      </c>
      <c r="BB53" s="30">
        <v>3.63</v>
      </c>
      <c r="BC53" s="30">
        <v>4.6500000000000004</v>
      </c>
      <c r="BD53" s="31">
        <v>1</v>
      </c>
      <c r="BF53"/>
      <c r="BG53" s="118">
        <v>43260</v>
      </c>
      <c r="BH53" s="28"/>
      <c r="BI53" s="28"/>
      <c r="BJ53" s="28"/>
      <c r="BK53" s="28"/>
      <c r="BL53" s="28"/>
      <c r="BM53" s="28"/>
      <c r="BN53" s="28"/>
      <c r="BO53" s="28">
        <v>1</v>
      </c>
      <c r="BP53" s="28"/>
      <c r="BQ53" s="28">
        <v>0</v>
      </c>
      <c r="BR53" s="28">
        <v>1</v>
      </c>
      <c r="BS53" s="28">
        <v>2</v>
      </c>
      <c r="BT53" s="28">
        <v>1</v>
      </c>
      <c r="BU53" s="28">
        <v>1</v>
      </c>
      <c r="BV53" s="11">
        <f t="shared" ref="BV53:BV54" si="57">COUNTIF(BH53:BU53,"&gt;0")</f>
        <v>5</v>
      </c>
      <c r="BW53" s="25">
        <f t="shared" ref="BW53:BW54" si="58">VLOOKUP(BG53,$AQ:$AV,6,0)</f>
        <v>5.35</v>
      </c>
      <c r="BX53" s="25">
        <f t="shared" ref="BX53:BX54" si="59">BV53-BW53</f>
        <v>-0.34999999999999964</v>
      </c>
      <c r="BZ53" s="112"/>
      <c r="CA53" s="112"/>
      <c r="CB53" s="112"/>
      <c r="CC53" s="112"/>
      <c r="CD53" s="112"/>
    </row>
    <row r="54" spans="1:82" ht="14.4" x14ac:dyDescent="0.3">
      <c r="A54" s="16"/>
      <c r="B54" s="17"/>
      <c r="C54" s="18">
        <v>0.90208333333333335</v>
      </c>
      <c r="D54" s="7"/>
      <c r="E54" s="7"/>
      <c r="F54" s="7"/>
      <c r="G54" s="19"/>
      <c r="H54" s="20"/>
      <c r="I54" s="7"/>
      <c r="J54" s="7"/>
      <c r="K54" s="7"/>
      <c r="L54" s="7"/>
      <c r="M54" s="7"/>
      <c r="N54" s="7" t="str">
        <f t="shared" si="8"/>
        <v>#LITKZZ6CP</v>
      </c>
      <c r="O54" s="7">
        <f t="shared" si="0"/>
        <v>0</v>
      </c>
      <c r="P54" s="21">
        <f t="shared" si="9"/>
        <v>43230</v>
      </c>
      <c r="Q54" s="22">
        <f>VLOOKUP(R54,Referencias!$D$1:$E$13,2,0)</f>
        <v>5</v>
      </c>
      <c r="R54" s="7" t="str">
        <f t="shared" si="10"/>
        <v>MAI</v>
      </c>
      <c r="S54" s="7">
        <f t="shared" si="1"/>
        <v>0</v>
      </c>
      <c r="T54" s="11">
        <f t="shared" si="11"/>
        <v>10</v>
      </c>
      <c r="U54" s="11">
        <f t="shared" si="2"/>
        <v>0</v>
      </c>
      <c r="V54" s="11" t="str">
        <f>VLOOKUP(C54,Referencias!$A$2:$B$33,2,1)</f>
        <v>21 - 22</v>
      </c>
      <c r="W54" s="23" t="str">
        <f t="shared" si="17"/>
        <v/>
      </c>
      <c r="X54" s="11">
        <f t="shared" si="3"/>
        <v>0</v>
      </c>
      <c r="Y54" s="11">
        <f t="shared" si="12"/>
        <v>0</v>
      </c>
      <c r="Z54" s="24">
        <f t="shared" si="13"/>
        <v>0</v>
      </c>
      <c r="AA54" s="25">
        <f t="shared" si="14"/>
        <v>0</v>
      </c>
      <c r="AB54" s="24">
        <f t="shared" si="4"/>
        <v>0</v>
      </c>
      <c r="AC54" s="24">
        <f t="shared" si="5"/>
        <v>0</v>
      </c>
      <c r="AD54" s="24">
        <f t="shared" si="6"/>
        <v>0</v>
      </c>
      <c r="AE54" s="24">
        <f t="shared" si="7"/>
        <v>0</v>
      </c>
      <c r="AF54" s="119" t="str">
        <f>VLOOKUP(P54*1,Referencias!$G:$H,2,0)</f>
        <v>qui</v>
      </c>
      <c r="AP54" s="118"/>
      <c r="AQ54" s="118"/>
      <c r="AZ54" s="35" t="s">
        <v>107</v>
      </c>
      <c r="BA54" s="29">
        <v>1.8055555555555557E-2</v>
      </c>
      <c r="BB54" s="30">
        <v>2.29</v>
      </c>
      <c r="BC54" s="30">
        <v>0.95</v>
      </c>
      <c r="BD54" s="31">
        <v>1</v>
      </c>
      <c r="BF54"/>
      <c r="BG54" s="118">
        <v>43261</v>
      </c>
      <c r="BH54" s="28">
        <v>2</v>
      </c>
      <c r="BI54" s="28">
        <v>1</v>
      </c>
      <c r="BJ54" s="28">
        <v>1</v>
      </c>
      <c r="BK54" s="28">
        <v>2</v>
      </c>
      <c r="BL54" s="28">
        <v>1</v>
      </c>
      <c r="BM54" s="28">
        <v>1</v>
      </c>
      <c r="BN54" s="28">
        <v>1</v>
      </c>
      <c r="BO54" s="28">
        <v>1</v>
      </c>
      <c r="BP54" s="28">
        <v>0</v>
      </c>
      <c r="BQ54" s="28">
        <v>1</v>
      </c>
      <c r="BR54" s="28">
        <v>1</v>
      </c>
      <c r="BS54" s="28">
        <v>2</v>
      </c>
      <c r="BT54" s="28">
        <v>1</v>
      </c>
      <c r="BU54" s="28"/>
      <c r="BV54" s="11">
        <f t="shared" si="57"/>
        <v>12</v>
      </c>
      <c r="BW54" s="25">
        <f t="shared" si="58"/>
        <v>10.783333333333333</v>
      </c>
      <c r="BX54" s="25">
        <f t="shared" si="59"/>
        <v>1.2166666666666668</v>
      </c>
      <c r="BZ54" s="112"/>
      <c r="CA54" s="112"/>
      <c r="CB54" s="112"/>
      <c r="CC54" s="112"/>
      <c r="CD54" s="112"/>
    </row>
    <row r="55" spans="1:82" ht="14.4" x14ac:dyDescent="0.3">
      <c r="A55" s="36"/>
      <c r="B55" s="36"/>
      <c r="C55" s="36"/>
      <c r="D55" s="36"/>
      <c r="E55" s="36"/>
      <c r="F55" s="36"/>
      <c r="G55" s="36"/>
      <c r="H55" s="36"/>
      <c r="I55" s="36"/>
      <c r="J55" s="37"/>
      <c r="K55" s="37"/>
      <c r="L55" s="37"/>
      <c r="M55" s="37"/>
      <c r="N55" s="7" t="str">
        <f t="shared" si="8"/>
        <v>#LITKZZ6CP</v>
      </c>
      <c r="O55" s="7">
        <f t="shared" si="0"/>
        <v>0</v>
      </c>
      <c r="P55" s="21">
        <f t="shared" si="9"/>
        <v>43230</v>
      </c>
      <c r="Q55" s="22">
        <f>VLOOKUP(R55,Referencias!$D$1:$E$13,2,0)</f>
        <v>5</v>
      </c>
      <c r="R55" s="7" t="str">
        <f t="shared" si="10"/>
        <v>MAI</v>
      </c>
      <c r="S55" s="7">
        <f t="shared" si="1"/>
        <v>0</v>
      </c>
      <c r="T55" s="11">
        <f t="shared" si="11"/>
        <v>10</v>
      </c>
      <c r="U55" s="11">
        <f t="shared" si="2"/>
        <v>0</v>
      </c>
      <c r="V55" s="11" t="e">
        <f>VLOOKUP(C55,Referencias!$A$2:$B$33,2,1)</f>
        <v>#N/A</v>
      </c>
      <c r="W55" s="23" t="str">
        <f t="shared" si="17"/>
        <v/>
      </c>
      <c r="X55" s="11">
        <f t="shared" si="3"/>
        <v>0</v>
      </c>
      <c r="Y55" s="11">
        <f t="shared" si="12"/>
        <v>0</v>
      </c>
      <c r="Z55" s="24">
        <f t="shared" si="13"/>
        <v>0</v>
      </c>
      <c r="AA55" s="25">
        <f t="shared" si="14"/>
        <v>0</v>
      </c>
      <c r="AB55" s="24">
        <f t="shared" si="4"/>
        <v>0</v>
      </c>
      <c r="AC55" s="24">
        <f t="shared" si="5"/>
        <v>0</v>
      </c>
      <c r="AD55" s="24">
        <f t="shared" si="6"/>
        <v>0</v>
      </c>
      <c r="AE55" s="24">
        <f t="shared" si="7"/>
        <v>0</v>
      </c>
      <c r="AF55" s="119" t="str">
        <f>VLOOKUP(P55*1,Referencias!$G:$H,2,0)</f>
        <v>qui</v>
      </c>
      <c r="AP55" s="118"/>
      <c r="AQ55" s="118"/>
      <c r="AZ55" s="35" t="s">
        <v>108</v>
      </c>
      <c r="BA55" s="29">
        <v>1.8055555555555557E-2</v>
      </c>
      <c r="BB55" s="30">
        <v>2.64</v>
      </c>
      <c r="BC55" s="30">
        <v>1.6</v>
      </c>
      <c r="BD55" s="31">
        <v>1</v>
      </c>
      <c r="BF55"/>
      <c r="BG55"/>
      <c r="BH55"/>
      <c r="BI55"/>
      <c r="BR55" s="10"/>
      <c r="BS55" s="10"/>
      <c r="BW55" s="25"/>
      <c r="BX55" s="25"/>
      <c r="BZ55" s="112"/>
      <c r="CA55" s="112"/>
      <c r="CB55" s="112"/>
      <c r="CC55" s="112"/>
      <c r="CD55" s="112"/>
    </row>
    <row r="56" spans="1:82" ht="14.4" x14ac:dyDescent="0.3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7" t="str">
        <f t="shared" si="8"/>
        <v>#LITKZZ6CP</v>
      </c>
      <c r="O56" s="7">
        <f t="shared" si="0"/>
        <v>0</v>
      </c>
      <c r="P56" s="21">
        <f t="shared" si="9"/>
        <v>43230</v>
      </c>
      <c r="Q56" s="22">
        <f>VLOOKUP(R56,Referencias!$D$1:$E$13,2,0)</f>
        <v>5</v>
      </c>
      <c r="R56" s="7" t="str">
        <f t="shared" si="10"/>
        <v>MAI</v>
      </c>
      <c r="S56" s="7">
        <f t="shared" si="1"/>
        <v>0</v>
      </c>
      <c r="T56" s="11">
        <f t="shared" si="11"/>
        <v>10</v>
      </c>
      <c r="U56" s="11">
        <f t="shared" si="2"/>
        <v>0</v>
      </c>
      <c r="V56" s="11" t="e">
        <f>VLOOKUP(C56,Referencias!$A$2:$B$33,2,1)</f>
        <v>#N/A</v>
      </c>
      <c r="W56" s="23" t="str">
        <f t="shared" si="17"/>
        <v/>
      </c>
      <c r="X56" s="11">
        <f t="shared" si="3"/>
        <v>0</v>
      </c>
      <c r="Y56" s="11">
        <f t="shared" si="12"/>
        <v>0</v>
      </c>
      <c r="Z56" s="24">
        <f t="shared" si="13"/>
        <v>0</v>
      </c>
      <c r="AA56" s="25">
        <f t="shared" si="14"/>
        <v>0</v>
      </c>
      <c r="AB56" s="24">
        <f t="shared" si="4"/>
        <v>0</v>
      </c>
      <c r="AC56" s="24">
        <f t="shared" si="5"/>
        <v>0</v>
      </c>
      <c r="AD56" s="24">
        <f t="shared" si="6"/>
        <v>0</v>
      </c>
      <c r="AE56" s="24">
        <f t="shared" si="7"/>
        <v>0</v>
      </c>
      <c r="AF56" s="119" t="str">
        <f>VLOOKUP(P56*1,Referencias!$G:$H,2,0)</f>
        <v>qui</v>
      </c>
      <c r="AP56" s="118"/>
      <c r="AZ56" s="118">
        <v>43235</v>
      </c>
      <c r="BA56" s="29">
        <v>0.22499999999999998</v>
      </c>
      <c r="BB56" s="30">
        <v>34.130000000000003</v>
      </c>
      <c r="BC56" s="30">
        <v>52.97</v>
      </c>
      <c r="BD56" s="31">
        <v>9</v>
      </c>
      <c r="BF56"/>
      <c r="BG56"/>
      <c r="BH56"/>
      <c r="BI56"/>
      <c r="BR56" s="10"/>
      <c r="BS56" s="10"/>
      <c r="BW56" s="25"/>
      <c r="BX56" s="25"/>
      <c r="BZ56" s="112"/>
      <c r="CA56" s="112"/>
      <c r="CB56" s="112"/>
      <c r="CC56" s="112"/>
      <c r="CD56" s="112"/>
    </row>
    <row r="57" spans="1:82" ht="14.4" x14ac:dyDescent="0.3">
      <c r="A57" s="16"/>
      <c r="B57" s="17" t="s">
        <v>51</v>
      </c>
      <c r="C57" s="18">
        <v>0.89027777777777772</v>
      </c>
      <c r="D57" s="7">
        <v>4.4000000000000004</v>
      </c>
      <c r="E57" s="7" t="s">
        <v>17</v>
      </c>
      <c r="F57" s="7"/>
      <c r="G57" s="19">
        <v>3.04</v>
      </c>
      <c r="H57" s="20">
        <v>61.43</v>
      </c>
      <c r="I57" s="7"/>
      <c r="J57" s="7"/>
      <c r="K57" s="7"/>
      <c r="L57" s="7"/>
      <c r="M57" s="7"/>
      <c r="N57" s="7" t="str">
        <f t="shared" si="8"/>
        <v>#LIBE1R3U1</v>
      </c>
      <c r="O57" s="7" t="str">
        <f t="shared" si="0"/>
        <v>#LIBE1R3U1</v>
      </c>
      <c r="P57" s="21">
        <f t="shared" si="9"/>
        <v>43230</v>
      </c>
      <c r="Q57" s="22">
        <f>VLOOKUP(R57,Referencias!$D$1:$E$13,2,0)</f>
        <v>5</v>
      </c>
      <c r="R57" s="7" t="str">
        <f t="shared" si="10"/>
        <v>MAI</v>
      </c>
      <c r="S57" s="7">
        <f t="shared" si="1"/>
        <v>0</v>
      </c>
      <c r="T57" s="11">
        <f t="shared" si="11"/>
        <v>10</v>
      </c>
      <c r="U57" s="11">
        <f t="shared" si="2"/>
        <v>0</v>
      </c>
      <c r="V57" s="11" t="str">
        <f>VLOOKUP(C57,Referencias!$A$2:$B$33,2,1)</f>
        <v>21 - 22</v>
      </c>
      <c r="W57" s="23">
        <f t="shared" si="17"/>
        <v>3.819444444444442E-2</v>
      </c>
      <c r="X57" s="11">
        <f t="shared" si="3"/>
        <v>4.4000000000000004</v>
      </c>
      <c r="Y57" s="11">
        <f t="shared" si="12"/>
        <v>7.7701065270710545</v>
      </c>
      <c r="Z57" s="24">
        <f t="shared" si="13"/>
        <v>3.04</v>
      </c>
      <c r="AA57" s="25">
        <f t="shared" si="14"/>
        <v>3.3163636363636386</v>
      </c>
      <c r="AB57" s="24">
        <f t="shared" si="4"/>
        <v>1</v>
      </c>
      <c r="AC57" s="24">
        <f t="shared" si="5"/>
        <v>1.991650579805607</v>
      </c>
      <c r="AD57" s="24">
        <f t="shared" si="6"/>
        <v>2.4130354027344416</v>
      </c>
      <c r="AE57" s="24">
        <f t="shared" si="7"/>
        <v>2.8610246510546689</v>
      </c>
      <c r="AF57" s="119" t="str">
        <f>VLOOKUP(P57*1,Referencias!$G:$H,2,0)</f>
        <v>qui</v>
      </c>
      <c r="AZ57" s="35" t="s">
        <v>112</v>
      </c>
      <c r="BA57" s="29">
        <v>1.9444444444444445E-2</v>
      </c>
      <c r="BB57" s="30">
        <v>2.52</v>
      </c>
      <c r="BC57" s="30">
        <v>2.94</v>
      </c>
      <c r="BD57" s="31">
        <v>1</v>
      </c>
      <c r="BF57"/>
      <c r="BG57"/>
      <c r="BH57"/>
      <c r="BI57"/>
      <c r="BR57" s="10"/>
      <c r="BS57" s="10"/>
      <c r="BW57" s="25"/>
      <c r="BX57" s="25"/>
      <c r="BZ57" s="112"/>
      <c r="CA57" s="112"/>
      <c r="CB57" s="112"/>
      <c r="CC57" s="112"/>
      <c r="CD57" s="112"/>
    </row>
    <row r="58" spans="1:82" ht="14.4" x14ac:dyDescent="0.3">
      <c r="A58" s="16"/>
      <c r="B58" s="17"/>
      <c r="C58" s="18">
        <v>0.92847222222222214</v>
      </c>
      <c r="D58" s="7"/>
      <c r="E58" s="7"/>
      <c r="F58" s="7"/>
      <c r="G58" s="19"/>
      <c r="H58" s="20"/>
      <c r="I58" s="7"/>
      <c r="J58" s="7"/>
      <c r="K58" s="7"/>
      <c r="L58" s="7"/>
      <c r="M58" s="7"/>
      <c r="N58" s="7" t="str">
        <f t="shared" si="8"/>
        <v>#LIBE1R3U1</v>
      </c>
      <c r="O58" s="7">
        <f t="shared" si="0"/>
        <v>0</v>
      </c>
      <c r="P58" s="21">
        <f t="shared" si="9"/>
        <v>43230</v>
      </c>
      <c r="Q58" s="22">
        <f>VLOOKUP(R58,Referencias!$D$1:$E$13,2,0)</f>
        <v>5</v>
      </c>
      <c r="R58" s="7" t="str">
        <f t="shared" si="10"/>
        <v>MAI</v>
      </c>
      <c r="S58" s="7">
        <f t="shared" si="1"/>
        <v>0</v>
      </c>
      <c r="T58" s="11">
        <f t="shared" si="11"/>
        <v>10</v>
      </c>
      <c r="U58" s="11">
        <f t="shared" si="2"/>
        <v>0</v>
      </c>
      <c r="V58" s="11" t="str">
        <f>VLOOKUP(C58,Referencias!$A$2:$B$33,2,1)</f>
        <v>22 - 23</v>
      </c>
      <c r="W58" s="23" t="str">
        <f t="shared" si="17"/>
        <v/>
      </c>
      <c r="X58" s="11">
        <f t="shared" si="3"/>
        <v>0</v>
      </c>
      <c r="Y58" s="11">
        <f t="shared" si="12"/>
        <v>0</v>
      </c>
      <c r="Z58" s="24">
        <f t="shared" si="13"/>
        <v>0</v>
      </c>
      <c r="AA58" s="25">
        <f t="shared" si="14"/>
        <v>0</v>
      </c>
      <c r="AB58" s="24">
        <f t="shared" si="4"/>
        <v>0</v>
      </c>
      <c r="AC58" s="24">
        <f t="shared" si="5"/>
        <v>0</v>
      </c>
      <c r="AD58" s="24">
        <f t="shared" si="6"/>
        <v>0</v>
      </c>
      <c r="AE58" s="24">
        <f t="shared" si="7"/>
        <v>0</v>
      </c>
      <c r="AF58" s="119" t="str">
        <f>VLOOKUP(P58*1,Referencias!$G:$H,2,0)</f>
        <v>qui</v>
      </c>
      <c r="AZ58" s="35" t="s">
        <v>118</v>
      </c>
      <c r="BA58" s="29">
        <v>2.5694444444444447E-2</v>
      </c>
      <c r="BB58" s="30">
        <v>4.8499999999999996</v>
      </c>
      <c r="BC58" s="30">
        <v>8.66</v>
      </c>
      <c r="BD58" s="31">
        <v>1</v>
      </c>
      <c r="BF58"/>
      <c r="BG58"/>
      <c r="BH58"/>
      <c r="BI58"/>
      <c r="BR58" s="10"/>
      <c r="BS58" s="10"/>
      <c r="BW58" s="25"/>
      <c r="BX58" s="25"/>
      <c r="BZ58" s="112"/>
      <c r="CA58" s="112"/>
      <c r="CB58" s="112"/>
      <c r="CC58" s="112"/>
      <c r="CD58" s="112"/>
    </row>
    <row r="59" spans="1:82" ht="14.4" x14ac:dyDescent="0.3">
      <c r="A59" s="36"/>
      <c r="B59" s="36"/>
      <c r="C59" s="36"/>
      <c r="D59" s="36"/>
      <c r="E59" s="36"/>
      <c r="F59" s="36"/>
      <c r="G59" s="36"/>
      <c r="H59" s="36"/>
      <c r="I59" s="36"/>
      <c r="J59" s="37"/>
      <c r="K59" s="37"/>
      <c r="L59" s="37"/>
      <c r="M59" s="37"/>
      <c r="N59" s="7" t="str">
        <f t="shared" si="8"/>
        <v>#LIBE1R3U1</v>
      </c>
      <c r="O59" s="7">
        <f t="shared" si="0"/>
        <v>0</v>
      </c>
      <c r="P59" s="21">
        <f t="shared" si="9"/>
        <v>43230</v>
      </c>
      <c r="Q59" s="22">
        <f>VLOOKUP(R59,Referencias!$D$1:$E$13,2,0)</f>
        <v>5</v>
      </c>
      <c r="R59" s="7" t="str">
        <f t="shared" si="10"/>
        <v>MAI</v>
      </c>
      <c r="S59" s="7">
        <f t="shared" si="1"/>
        <v>0</v>
      </c>
      <c r="T59" s="11">
        <f t="shared" si="11"/>
        <v>10</v>
      </c>
      <c r="U59" s="11">
        <f t="shared" si="2"/>
        <v>0</v>
      </c>
      <c r="V59" s="11" t="e">
        <f>VLOOKUP(C59,Referencias!$A$2:$B$33,2,1)</f>
        <v>#N/A</v>
      </c>
      <c r="W59" s="23" t="str">
        <f t="shared" si="17"/>
        <v/>
      </c>
      <c r="X59" s="11">
        <f t="shared" si="3"/>
        <v>0</v>
      </c>
      <c r="Y59" s="11">
        <f t="shared" si="12"/>
        <v>0</v>
      </c>
      <c r="Z59" s="24">
        <f t="shared" si="13"/>
        <v>0</v>
      </c>
      <c r="AA59" s="25">
        <f t="shared" si="14"/>
        <v>0</v>
      </c>
      <c r="AB59" s="24">
        <f t="shared" si="4"/>
        <v>0</v>
      </c>
      <c r="AC59" s="24">
        <f t="shared" si="5"/>
        <v>0</v>
      </c>
      <c r="AD59" s="24">
        <f t="shared" si="6"/>
        <v>0</v>
      </c>
      <c r="AE59" s="24">
        <f t="shared" si="7"/>
        <v>0</v>
      </c>
      <c r="AF59" s="119" t="str">
        <f>VLOOKUP(P59*1,Referencias!$G:$H,2,0)</f>
        <v>qui</v>
      </c>
      <c r="AZ59" s="35" t="s">
        <v>111</v>
      </c>
      <c r="BA59" s="29">
        <v>2.2916666666666669E-2</v>
      </c>
      <c r="BB59" s="30">
        <v>3.2</v>
      </c>
      <c r="BC59" s="30">
        <v>4.29</v>
      </c>
      <c r="BD59" s="31">
        <v>1</v>
      </c>
      <c r="BF59"/>
      <c r="BG59"/>
      <c r="BH59"/>
      <c r="BI59"/>
      <c r="BR59" s="10"/>
      <c r="BS59" s="10"/>
      <c r="BW59" s="25"/>
      <c r="BX59" s="25"/>
      <c r="BZ59" s="112"/>
      <c r="CA59" s="112"/>
      <c r="CB59" s="112"/>
      <c r="CC59" s="112"/>
      <c r="CD59" s="112"/>
    </row>
    <row r="60" spans="1:82" ht="14.4" x14ac:dyDescent="0.3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7" t="str">
        <f t="shared" si="8"/>
        <v>#LIBE1R3U1</v>
      </c>
      <c r="O60" s="7">
        <f t="shared" si="0"/>
        <v>0</v>
      </c>
      <c r="P60" s="21">
        <f t="shared" si="9"/>
        <v>43230</v>
      </c>
      <c r="Q60" s="22">
        <f>VLOOKUP(R60,Referencias!$D$1:$E$13,2,0)</f>
        <v>5</v>
      </c>
      <c r="R60" s="7" t="str">
        <f t="shared" si="10"/>
        <v>MAI</v>
      </c>
      <c r="S60" s="7">
        <f t="shared" si="1"/>
        <v>0</v>
      </c>
      <c r="T60" s="11">
        <f t="shared" si="11"/>
        <v>10</v>
      </c>
      <c r="U60" s="11">
        <f t="shared" si="2"/>
        <v>0</v>
      </c>
      <c r="V60" s="11" t="e">
        <f>VLOOKUP(C60,Referencias!$A$2:$B$33,2,1)</f>
        <v>#N/A</v>
      </c>
      <c r="W60" s="23" t="str">
        <f t="shared" si="17"/>
        <v/>
      </c>
      <c r="X60" s="11">
        <f t="shared" si="3"/>
        <v>0</v>
      </c>
      <c r="Y60" s="11">
        <f t="shared" si="12"/>
        <v>0</v>
      </c>
      <c r="Z60" s="24">
        <f t="shared" si="13"/>
        <v>0</v>
      </c>
      <c r="AA60" s="25">
        <f t="shared" si="14"/>
        <v>0</v>
      </c>
      <c r="AB60" s="24">
        <f t="shared" si="4"/>
        <v>0</v>
      </c>
      <c r="AC60" s="24">
        <f t="shared" si="5"/>
        <v>0</v>
      </c>
      <c r="AD60" s="24">
        <f t="shared" si="6"/>
        <v>0</v>
      </c>
      <c r="AE60" s="24">
        <f t="shared" si="7"/>
        <v>0</v>
      </c>
      <c r="AF60" s="119" t="str">
        <f>VLOOKUP(P60*1,Referencias!$G:$H,2,0)</f>
        <v>qui</v>
      </c>
      <c r="AK60" s="11"/>
      <c r="AM60" s="118"/>
      <c r="AZ60" s="35" t="s">
        <v>110</v>
      </c>
      <c r="BA60" s="29">
        <v>4.2361111111111106E-2</v>
      </c>
      <c r="BB60" s="30">
        <v>3.44</v>
      </c>
      <c r="BC60" s="30">
        <v>3.13</v>
      </c>
      <c r="BD60" s="31">
        <v>1</v>
      </c>
      <c r="BF60"/>
      <c r="BG60"/>
      <c r="BH60"/>
      <c r="BI60"/>
      <c r="BR60" s="10"/>
      <c r="BS60" s="10"/>
      <c r="BW60" s="25"/>
      <c r="BX60" s="25"/>
      <c r="BZ60" s="112"/>
      <c r="CA60" s="112"/>
      <c r="CB60" s="112"/>
      <c r="CC60" s="112"/>
      <c r="CD60" s="112"/>
    </row>
    <row r="61" spans="1:82" ht="14.4" x14ac:dyDescent="0.3">
      <c r="A61" s="16"/>
      <c r="B61" s="17" t="s">
        <v>52</v>
      </c>
      <c r="C61" s="18">
        <v>0.93055555555555547</v>
      </c>
      <c r="D61" s="7">
        <v>5.32</v>
      </c>
      <c r="E61" s="7" t="s">
        <v>53</v>
      </c>
      <c r="F61" s="7"/>
      <c r="G61" s="19">
        <v>3.36</v>
      </c>
      <c r="H61" s="20">
        <v>64.790000000000006</v>
      </c>
      <c r="I61" s="7"/>
      <c r="J61" s="7"/>
      <c r="K61" s="7"/>
      <c r="L61" s="7"/>
      <c r="M61" s="7"/>
      <c r="N61" s="7" t="str">
        <f t="shared" si="8"/>
        <v>#LI4JL72LL</v>
      </c>
      <c r="O61" s="7" t="str">
        <f t="shared" si="0"/>
        <v>#LI4JL72LL</v>
      </c>
      <c r="P61" s="21">
        <f t="shared" si="9"/>
        <v>43230</v>
      </c>
      <c r="Q61" s="22">
        <f>VLOOKUP(R61,Referencias!$D$1:$E$13,2,0)</f>
        <v>5</v>
      </c>
      <c r="R61" s="7" t="str">
        <f t="shared" si="10"/>
        <v>MAI</v>
      </c>
      <c r="S61" s="7">
        <f t="shared" si="1"/>
        <v>0</v>
      </c>
      <c r="T61" s="11">
        <f t="shared" si="11"/>
        <v>10</v>
      </c>
      <c r="U61" s="11">
        <f t="shared" si="2"/>
        <v>0</v>
      </c>
      <c r="V61" s="11" t="str">
        <f>VLOOKUP(C61,Referencias!$A$2:$B$33,2,1)</f>
        <v>22 - 23</v>
      </c>
      <c r="W61" s="23">
        <f t="shared" si="17"/>
        <v>2.2916666666666696E-2</v>
      </c>
      <c r="X61" s="11">
        <f t="shared" si="3"/>
        <v>5.32</v>
      </c>
      <c r="Y61" s="11">
        <f t="shared" si="12"/>
        <v>9.3947651645495469</v>
      </c>
      <c r="Z61" s="24">
        <f t="shared" si="13"/>
        <v>3.36</v>
      </c>
      <c r="AA61" s="25">
        <f t="shared" si="14"/>
        <v>6.1090909090909014</v>
      </c>
      <c r="AB61" s="24">
        <f t="shared" si="4"/>
        <v>1</v>
      </c>
      <c r="AC61" s="24">
        <f t="shared" si="5"/>
        <v>2.2012980092588288</v>
      </c>
      <c r="AD61" s="24">
        <f t="shared" si="6"/>
        <v>2.6670391293380669</v>
      </c>
      <c r="AE61" s="24">
        <f t="shared" si="7"/>
        <v>3.1621851406393708</v>
      </c>
      <c r="AF61" s="119" t="str">
        <f>VLOOKUP(P61*1,Referencias!$G:$H,2,0)</f>
        <v>qui</v>
      </c>
      <c r="AJ61" s="11"/>
      <c r="AK61" s="11"/>
      <c r="AM61" s="118"/>
      <c r="AZ61" s="35" t="s">
        <v>114</v>
      </c>
      <c r="BA61" s="29">
        <v>2.4305555555555556E-2</v>
      </c>
      <c r="BB61" s="30">
        <v>2.4700000000000002</v>
      </c>
      <c r="BC61" s="30">
        <v>2.69</v>
      </c>
      <c r="BD61" s="31">
        <v>1</v>
      </c>
      <c r="BF61"/>
      <c r="BG61"/>
      <c r="BH61"/>
      <c r="BI61"/>
      <c r="BR61" s="10"/>
      <c r="BS61" s="10"/>
      <c r="BW61" s="25"/>
      <c r="BX61" s="25"/>
      <c r="BZ61" s="112"/>
      <c r="CA61" s="112"/>
      <c r="CB61" s="112"/>
      <c r="CC61" s="112"/>
      <c r="CD61" s="112"/>
    </row>
    <row r="62" spans="1:82" ht="14.4" x14ac:dyDescent="0.3">
      <c r="A62" s="16"/>
      <c r="B62" s="17"/>
      <c r="C62" s="18">
        <v>0.95347222222222217</v>
      </c>
      <c r="D62" s="7"/>
      <c r="E62" s="7"/>
      <c r="F62" s="7"/>
      <c r="G62" s="19"/>
      <c r="H62" s="20"/>
      <c r="I62" s="7"/>
      <c r="J62" s="7"/>
      <c r="K62" s="7"/>
      <c r="L62" s="7"/>
      <c r="M62" s="7"/>
      <c r="N62" s="7" t="str">
        <f t="shared" si="8"/>
        <v>#LI4JL72LL</v>
      </c>
      <c r="O62" s="7">
        <f t="shared" si="0"/>
        <v>0</v>
      </c>
      <c r="P62" s="21">
        <f t="shared" si="9"/>
        <v>43230</v>
      </c>
      <c r="Q62" s="22">
        <f>VLOOKUP(R62,Referencias!$D$1:$E$13,2,0)</f>
        <v>5</v>
      </c>
      <c r="R62" s="7" t="str">
        <f t="shared" si="10"/>
        <v>MAI</v>
      </c>
      <c r="S62" s="7">
        <f t="shared" si="1"/>
        <v>0</v>
      </c>
      <c r="T62" s="11">
        <f t="shared" si="11"/>
        <v>10</v>
      </c>
      <c r="U62" s="11">
        <f t="shared" si="2"/>
        <v>0</v>
      </c>
      <c r="V62" s="11" t="str">
        <f>VLOOKUP(C62,Referencias!$A$2:$B$33,2,1)</f>
        <v>22 - 23</v>
      </c>
      <c r="W62" s="23" t="str">
        <f t="shared" si="17"/>
        <v/>
      </c>
      <c r="X62" s="11">
        <f t="shared" si="3"/>
        <v>0</v>
      </c>
      <c r="Y62" s="11">
        <f t="shared" si="12"/>
        <v>0</v>
      </c>
      <c r="Z62" s="24">
        <f t="shared" si="13"/>
        <v>0</v>
      </c>
      <c r="AA62" s="25">
        <f t="shared" si="14"/>
        <v>0</v>
      </c>
      <c r="AB62" s="24">
        <f t="shared" si="4"/>
        <v>0</v>
      </c>
      <c r="AC62" s="24">
        <f t="shared" si="5"/>
        <v>0</v>
      </c>
      <c r="AD62" s="24">
        <f t="shared" si="6"/>
        <v>0</v>
      </c>
      <c r="AE62" s="24">
        <f t="shared" si="7"/>
        <v>0</v>
      </c>
      <c r="AF62" s="119" t="str">
        <f>VLOOKUP(P62*1,Referencias!$G:$H,2,0)</f>
        <v>qui</v>
      </c>
      <c r="AM62" s="118"/>
      <c r="AZ62" s="35" t="s">
        <v>113</v>
      </c>
      <c r="BA62" s="29">
        <v>2.4999999999999998E-2</v>
      </c>
      <c r="BB62" s="30">
        <v>5.37</v>
      </c>
      <c r="BC62" s="30">
        <v>9.74</v>
      </c>
      <c r="BD62" s="31">
        <v>1</v>
      </c>
      <c r="BF62"/>
      <c r="BG62"/>
      <c r="BH62"/>
      <c r="BI62"/>
      <c r="BR62" s="10"/>
      <c r="BS62" s="10"/>
      <c r="BW62" s="25"/>
      <c r="BX62" s="25"/>
      <c r="BZ62" s="112"/>
      <c r="CA62" s="112"/>
      <c r="CB62" s="112"/>
      <c r="CC62" s="112"/>
      <c r="CD62" s="112"/>
    </row>
    <row r="63" spans="1:82" ht="15" thickBot="1" x14ac:dyDescent="0.35">
      <c r="A63" s="40"/>
      <c r="B63" s="40"/>
      <c r="C63" s="40"/>
      <c r="D63" s="40"/>
      <c r="E63" s="40"/>
      <c r="F63" s="40"/>
      <c r="G63" s="40"/>
      <c r="H63" s="40"/>
      <c r="I63" s="40"/>
      <c r="J63" s="41"/>
      <c r="K63" s="41"/>
      <c r="L63" s="41"/>
      <c r="M63" s="41"/>
      <c r="N63" s="7" t="str">
        <f t="shared" si="8"/>
        <v>#LI4JL72LL</v>
      </c>
      <c r="O63" s="7">
        <f t="shared" si="0"/>
        <v>0</v>
      </c>
      <c r="P63" s="21">
        <f t="shared" si="9"/>
        <v>43230</v>
      </c>
      <c r="Q63" s="22">
        <f>VLOOKUP(R63,Referencias!$D$1:$E$13,2,0)</f>
        <v>5</v>
      </c>
      <c r="R63" s="7" t="str">
        <f t="shared" si="10"/>
        <v>MAI</v>
      </c>
      <c r="S63" s="7">
        <f t="shared" si="1"/>
        <v>0</v>
      </c>
      <c r="T63" s="11">
        <f t="shared" si="11"/>
        <v>10</v>
      </c>
      <c r="U63" s="11">
        <f t="shared" si="2"/>
        <v>0</v>
      </c>
      <c r="V63" s="11" t="e">
        <f>VLOOKUP(C63,Referencias!$A$2:$B$33,2,1)</f>
        <v>#N/A</v>
      </c>
      <c r="W63" s="23" t="str">
        <f t="shared" si="17"/>
        <v/>
      </c>
      <c r="X63" s="11">
        <f t="shared" si="3"/>
        <v>0</v>
      </c>
      <c r="Y63" s="11">
        <f t="shared" si="12"/>
        <v>0</v>
      </c>
      <c r="Z63" s="24">
        <f t="shared" si="13"/>
        <v>0</v>
      </c>
      <c r="AA63" s="25">
        <f t="shared" si="14"/>
        <v>0</v>
      </c>
      <c r="AB63" s="24">
        <f t="shared" si="4"/>
        <v>0</v>
      </c>
      <c r="AC63" s="24">
        <f t="shared" si="5"/>
        <v>0</v>
      </c>
      <c r="AD63" s="24">
        <f t="shared" si="6"/>
        <v>0</v>
      </c>
      <c r="AE63" s="24">
        <f t="shared" si="7"/>
        <v>0</v>
      </c>
      <c r="AF63" s="119" t="str">
        <f>VLOOKUP(P63*1,Referencias!$G:$H,2,0)</f>
        <v>qui</v>
      </c>
      <c r="AZ63" s="35" t="s">
        <v>115</v>
      </c>
      <c r="BA63" s="29">
        <v>1.3888888888888888E-2</v>
      </c>
      <c r="BB63" s="30">
        <v>2.73</v>
      </c>
      <c r="BC63" s="30">
        <v>3.52</v>
      </c>
      <c r="BD63" s="31">
        <v>1</v>
      </c>
      <c r="BF63"/>
      <c r="BG63"/>
      <c r="BH63"/>
      <c r="BI63"/>
      <c r="BR63" s="10"/>
      <c r="BS63" s="10"/>
      <c r="BW63" s="25"/>
      <c r="BX63" s="25"/>
      <c r="BZ63" s="112"/>
      <c r="CA63" s="112"/>
      <c r="CB63" s="112"/>
      <c r="CC63" s="112"/>
      <c r="CD63" s="112"/>
    </row>
    <row r="64" spans="1:82" ht="14.4" x14ac:dyDescent="0.3">
      <c r="A64" s="16">
        <v>11</v>
      </c>
      <c r="B64" s="45" t="s">
        <v>54</v>
      </c>
      <c r="C64" s="18">
        <v>0.52708333333333335</v>
      </c>
      <c r="D64" s="46">
        <v>4.17</v>
      </c>
      <c r="E64" s="46" t="s">
        <v>55</v>
      </c>
      <c r="F64" s="46"/>
      <c r="G64" s="47">
        <v>2.95</v>
      </c>
      <c r="H64" s="48">
        <v>67.739999999999995</v>
      </c>
      <c r="I64" s="46"/>
      <c r="J64" s="7"/>
      <c r="K64" s="7"/>
      <c r="L64" s="7"/>
      <c r="M64" s="7"/>
      <c r="N64" s="7" t="str">
        <f t="shared" si="8"/>
        <v>#LIFU82JHE</v>
      </c>
      <c r="O64" s="7" t="str">
        <f t="shared" si="0"/>
        <v>#LIFU82JHE</v>
      </c>
      <c r="P64" s="21">
        <f t="shared" si="9"/>
        <v>43231</v>
      </c>
      <c r="Q64" s="22">
        <f>VLOOKUP(R64,Referencias!$D$1:$E$13,2,0)</f>
        <v>5</v>
      </c>
      <c r="R64" s="7" t="str">
        <f t="shared" si="10"/>
        <v>MAI</v>
      </c>
      <c r="S64" s="7" t="str">
        <f t="shared" si="1"/>
        <v>MAI</v>
      </c>
      <c r="T64" s="11">
        <f t="shared" si="11"/>
        <v>11</v>
      </c>
      <c r="U64" s="11">
        <f t="shared" si="2"/>
        <v>11</v>
      </c>
      <c r="V64" s="11" t="str">
        <f>VLOOKUP(C64,Referencias!$A$2:$B$33,2,1)</f>
        <v>12 - 13</v>
      </c>
      <c r="W64" s="23">
        <f t="shared" si="17"/>
        <v>2.0138888888888817E-2</v>
      </c>
      <c r="X64" s="11">
        <f t="shared" si="3"/>
        <v>4.17</v>
      </c>
      <c r="Y64" s="11">
        <f t="shared" si="12"/>
        <v>7.3639418677014303</v>
      </c>
      <c r="Z64" s="24">
        <f t="shared" si="13"/>
        <v>2.95</v>
      </c>
      <c r="AA64" s="25">
        <f t="shared" si="14"/>
        <v>6.1034482758620907</v>
      </c>
      <c r="AB64" s="24">
        <f t="shared" si="4"/>
        <v>1</v>
      </c>
      <c r="AC64" s="24">
        <f t="shared" si="5"/>
        <v>1.9326872402718884</v>
      </c>
      <c r="AD64" s="24">
        <f t="shared" si="6"/>
        <v>2.3415968546271722</v>
      </c>
      <c r="AE64" s="24">
        <f t="shared" si="7"/>
        <v>2.7763232633589716</v>
      </c>
      <c r="AF64" s="119" t="str">
        <f>VLOOKUP(P64*1,Referencias!$G:$H,2,0)</f>
        <v>sex</v>
      </c>
      <c r="AZ64" s="35" t="s">
        <v>116</v>
      </c>
      <c r="BA64" s="29">
        <v>2.361111111111111E-2</v>
      </c>
      <c r="BB64" s="30">
        <v>3.8</v>
      </c>
      <c r="BC64" s="30">
        <v>5.84</v>
      </c>
      <c r="BD64" s="31">
        <v>1</v>
      </c>
      <c r="BF64"/>
      <c r="BG64"/>
      <c r="BH64"/>
      <c r="BI64"/>
      <c r="BR64" s="10"/>
      <c r="BS64" s="10"/>
      <c r="BW64" s="25"/>
      <c r="BX64" s="25"/>
      <c r="BZ64" s="112"/>
      <c r="CA64" s="112"/>
      <c r="CB64" s="112"/>
      <c r="CC64" s="112"/>
      <c r="CD64" s="112"/>
    </row>
    <row r="65" spans="1:82" ht="14.4" x14ac:dyDescent="0.3">
      <c r="A65" s="16" t="s">
        <v>19</v>
      </c>
      <c r="B65" s="17"/>
      <c r="C65" s="18">
        <v>0.54722222222222217</v>
      </c>
      <c r="D65" s="7"/>
      <c r="E65" s="7"/>
      <c r="F65" s="7"/>
      <c r="G65" s="19"/>
      <c r="H65" s="20"/>
      <c r="I65" s="7"/>
      <c r="J65" s="7"/>
      <c r="K65" s="7"/>
      <c r="L65" s="7"/>
      <c r="M65" s="7"/>
      <c r="N65" s="7" t="str">
        <f t="shared" si="8"/>
        <v>#LIFU82JHE</v>
      </c>
      <c r="O65" s="7">
        <f t="shared" si="0"/>
        <v>0</v>
      </c>
      <c r="P65" s="21">
        <f t="shared" si="9"/>
        <v>43231</v>
      </c>
      <c r="Q65" s="22">
        <f>VLOOKUP(R65,Referencias!$D$1:$E$13,2,0)</f>
        <v>5</v>
      </c>
      <c r="R65" s="7" t="str">
        <f t="shared" si="10"/>
        <v>MAI</v>
      </c>
      <c r="S65" s="7">
        <f t="shared" si="1"/>
        <v>0</v>
      </c>
      <c r="T65" s="11">
        <f t="shared" si="11"/>
        <v>11</v>
      </c>
      <c r="U65" s="11">
        <f t="shared" si="2"/>
        <v>0</v>
      </c>
      <c r="V65" s="11" t="str">
        <f>VLOOKUP(C65,Referencias!$A$2:$B$33,2,1)</f>
        <v>13 - 14</v>
      </c>
      <c r="W65" s="23" t="str">
        <f t="shared" si="17"/>
        <v/>
      </c>
      <c r="X65" s="11">
        <f t="shared" si="3"/>
        <v>0</v>
      </c>
      <c r="Y65" s="11">
        <f t="shared" si="12"/>
        <v>0</v>
      </c>
      <c r="Z65" s="24">
        <f t="shared" si="13"/>
        <v>0</v>
      </c>
      <c r="AA65" s="25">
        <f t="shared" si="14"/>
        <v>0</v>
      </c>
      <c r="AB65" s="24">
        <f t="shared" si="4"/>
        <v>0</v>
      </c>
      <c r="AC65" s="24">
        <f t="shared" si="5"/>
        <v>0</v>
      </c>
      <c r="AD65" s="24">
        <f t="shared" si="6"/>
        <v>0</v>
      </c>
      <c r="AE65" s="24">
        <f t="shared" si="7"/>
        <v>0</v>
      </c>
      <c r="AF65" s="119" t="str">
        <f>VLOOKUP(P65*1,Referencias!$G:$H,2,0)</f>
        <v>sex</v>
      </c>
      <c r="AZ65" s="35" t="s">
        <v>117</v>
      </c>
      <c r="BA65" s="29">
        <v>2.7777777777777776E-2</v>
      </c>
      <c r="BB65" s="30">
        <v>5.75</v>
      </c>
      <c r="BC65" s="30">
        <v>12.16</v>
      </c>
      <c r="BD65" s="31">
        <v>1</v>
      </c>
      <c r="BF65"/>
      <c r="BG65"/>
      <c r="BH65"/>
      <c r="BI65"/>
      <c r="BR65" s="10"/>
      <c r="BS65" s="10"/>
      <c r="BW65" s="25"/>
      <c r="BX65" s="25"/>
      <c r="BZ65" s="112"/>
      <c r="CA65" s="112"/>
      <c r="CB65" s="112"/>
      <c r="CC65" s="112"/>
      <c r="CD65" s="112"/>
    </row>
    <row r="66" spans="1:82" ht="14.4" x14ac:dyDescent="0.3">
      <c r="A66" s="36"/>
      <c r="B66" s="36"/>
      <c r="C66" s="36"/>
      <c r="D66" s="36"/>
      <c r="E66" s="36"/>
      <c r="F66" s="36"/>
      <c r="G66" s="36"/>
      <c r="H66" s="36"/>
      <c r="I66" s="36"/>
      <c r="J66" s="37"/>
      <c r="K66" s="37"/>
      <c r="L66" s="37"/>
      <c r="M66" s="37"/>
      <c r="N66" s="7" t="str">
        <f t="shared" si="8"/>
        <v>#LIFU82JHE</v>
      </c>
      <c r="O66" s="7">
        <f t="shared" ref="O66:O129" si="60">IF(X66&gt;0,B66,0)</f>
        <v>0</v>
      </c>
      <c r="P66" s="21">
        <f t="shared" si="9"/>
        <v>43231</v>
      </c>
      <c r="Q66" s="22">
        <f>VLOOKUP(R66,Referencias!$D$1:$E$13,2,0)</f>
        <v>5</v>
      </c>
      <c r="R66" s="7" t="str">
        <f t="shared" si="10"/>
        <v>MAI</v>
      </c>
      <c r="S66" s="7">
        <f t="shared" ref="S66:S129" si="61">IF(X66&gt;0,A67,0)</f>
        <v>0</v>
      </c>
      <c r="T66" s="11">
        <f t="shared" si="11"/>
        <v>11</v>
      </c>
      <c r="U66" s="11">
        <f t="shared" ref="U66:U129" si="62">IF(X66&gt;0,A66,0)</f>
        <v>0</v>
      </c>
      <c r="V66" s="11" t="e">
        <f>VLOOKUP(C66,Referencias!$A$2:$B$33,2,1)</f>
        <v>#N/A</v>
      </c>
      <c r="W66" s="23" t="str">
        <f t="shared" si="17"/>
        <v/>
      </c>
      <c r="X66" s="11">
        <f t="shared" ref="X66:X129" si="63">D66*1</f>
        <v>0</v>
      </c>
      <c r="Y66" s="11">
        <f t="shared" si="12"/>
        <v>0</v>
      </c>
      <c r="Z66" s="24">
        <f t="shared" si="13"/>
        <v>0</v>
      </c>
      <c r="AA66" s="25">
        <f t="shared" si="14"/>
        <v>0</v>
      </c>
      <c r="AB66" s="24">
        <f t="shared" ref="AB66:AB129" si="64">IF(O66&gt;0,1,0)</f>
        <v>0</v>
      </c>
      <c r="AC66" s="24">
        <f t="shared" ref="AC66:AC129" si="65">Z66*$AL$14</f>
        <v>0</v>
      </c>
      <c r="AD66" s="24">
        <f t="shared" ref="AD66:AD129" si="66">Z66*$AN$14</f>
        <v>0</v>
      </c>
      <c r="AE66" s="24">
        <f t="shared" ref="AE66:AE129" si="67">Z66*$AL$26</f>
        <v>0</v>
      </c>
      <c r="AF66" s="119" t="str">
        <f>VLOOKUP(P66*1,Referencias!$G:$H,2,0)</f>
        <v>sex</v>
      </c>
      <c r="AZ66" s="118">
        <v>43236</v>
      </c>
      <c r="BA66" s="29">
        <v>9.3055555555555558E-2</v>
      </c>
      <c r="BB66" s="30">
        <v>13.64</v>
      </c>
      <c r="BC66" s="30">
        <v>20.200000000000003</v>
      </c>
      <c r="BD66" s="31">
        <v>4</v>
      </c>
      <c r="BF66"/>
      <c r="BG66"/>
      <c r="BH66"/>
      <c r="BI66"/>
      <c r="BR66" s="10"/>
      <c r="BS66" s="10"/>
      <c r="BW66" s="25"/>
      <c r="BX66" s="25"/>
      <c r="BZ66" s="112"/>
      <c r="CA66" s="112"/>
      <c r="CB66" s="112"/>
      <c r="CC66" s="112"/>
      <c r="CD66" s="112"/>
    </row>
    <row r="67" spans="1:82" ht="14.4" x14ac:dyDescent="0.3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7" t="str">
        <f t="shared" ref="N67:N130" si="68">IF(O67&lt;&gt;0,O67,N66)</f>
        <v>#LIFU82JHE</v>
      </c>
      <c r="O67" s="7">
        <f t="shared" si="60"/>
        <v>0</v>
      </c>
      <c r="P67" s="21">
        <f t="shared" ref="P67:P130" si="69">(T67&amp;"/"&amp;Q67&amp;"/2018")*1</f>
        <v>43231</v>
      </c>
      <c r="Q67" s="22">
        <f>VLOOKUP(R67,Referencias!$D$1:$E$13,2,0)</f>
        <v>5</v>
      </c>
      <c r="R67" s="7" t="str">
        <f t="shared" ref="R67:R130" si="70">IF(S67="ganhos garantidos",R66,IF(S67&lt;&gt;0,S67,R66))</f>
        <v>MAI</v>
      </c>
      <c r="S67" s="7">
        <f t="shared" si="61"/>
        <v>0</v>
      </c>
      <c r="T67" s="11">
        <f t="shared" ref="T67:T130" si="71">IF(U67&lt;&gt;0,U67,T66)</f>
        <v>11</v>
      </c>
      <c r="U67" s="11">
        <f t="shared" si="62"/>
        <v>0</v>
      </c>
      <c r="V67" s="11" t="e">
        <f>VLOOKUP(C67,Referencias!$A$2:$B$33,2,1)</f>
        <v>#N/A</v>
      </c>
      <c r="W67" s="23" t="str">
        <f t="shared" si="17"/>
        <v/>
      </c>
      <c r="X67" s="11">
        <f t="shared" si="63"/>
        <v>0</v>
      </c>
      <c r="Y67" s="11">
        <f t="shared" ref="Y67:Y130" si="72">X67*$AK$2</f>
        <v>0</v>
      </c>
      <c r="Z67" s="24">
        <f t="shared" ref="Z67:Z130" si="73">IF(A67="Ganhos Garantidos",G67,IF(X67&gt;0,G67*1,0))</f>
        <v>0</v>
      </c>
      <c r="AA67" s="25">
        <f t="shared" ref="AA67:AA130" si="74">IFERROR(Z67/(86400*(W67)/360/10),0)</f>
        <v>0</v>
      </c>
      <c r="AB67" s="24">
        <f t="shared" si="64"/>
        <v>0</v>
      </c>
      <c r="AC67" s="24">
        <f t="shared" si="65"/>
        <v>0</v>
      </c>
      <c r="AD67" s="24">
        <f t="shared" si="66"/>
        <v>0</v>
      </c>
      <c r="AE67" s="24">
        <f t="shared" si="67"/>
        <v>0</v>
      </c>
      <c r="AF67" s="119" t="str">
        <f>VLOOKUP(P67*1,Referencias!$G:$H,2,0)</f>
        <v>sex</v>
      </c>
      <c r="AZ67" s="35" t="s">
        <v>120</v>
      </c>
      <c r="BA67" s="29">
        <v>2.0833333333333332E-2</v>
      </c>
      <c r="BB67" s="30">
        <v>2.89</v>
      </c>
      <c r="BC67" s="30">
        <v>2.31</v>
      </c>
      <c r="BD67" s="31">
        <v>1</v>
      </c>
      <c r="BF67"/>
      <c r="BG67"/>
      <c r="BH67"/>
      <c r="BI67"/>
      <c r="BR67" s="10"/>
      <c r="BS67" s="10"/>
      <c r="BW67" s="25"/>
      <c r="BX67" s="25"/>
      <c r="BZ67" s="112"/>
      <c r="CA67" s="112"/>
      <c r="CB67" s="112"/>
      <c r="CC67" s="112"/>
      <c r="CD67" s="112"/>
    </row>
    <row r="68" spans="1:82" ht="14.4" x14ac:dyDescent="0.3">
      <c r="A68" s="16"/>
      <c r="B68" s="17" t="s">
        <v>56</v>
      </c>
      <c r="C68" s="18">
        <v>0.83888888888888891</v>
      </c>
      <c r="D68" s="7">
        <v>7.89</v>
      </c>
      <c r="E68" s="7" t="s">
        <v>48</v>
      </c>
      <c r="F68" s="7"/>
      <c r="G68" s="19">
        <v>4.37</v>
      </c>
      <c r="H68" s="20">
        <v>72.11</v>
      </c>
      <c r="I68" s="7"/>
      <c r="J68" s="7"/>
      <c r="K68" s="7"/>
      <c r="L68" s="7"/>
      <c r="M68" s="7"/>
      <c r="N68" s="7" t="str">
        <f t="shared" si="68"/>
        <v>#LIP8HH7LC</v>
      </c>
      <c r="O68" s="7" t="str">
        <f t="shared" si="60"/>
        <v>#LIP8HH7LC</v>
      </c>
      <c r="P68" s="21">
        <f t="shared" si="69"/>
        <v>43231</v>
      </c>
      <c r="Q68" s="22">
        <f>VLOOKUP(R68,Referencias!$D$1:$E$13,2,0)</f>
        <v>5</v>
      </c>
      <c r="R68" s="7" t="str">
        <f t="shared" si="70"/>
        <v>MAI</v>
      </c>
      <c r="S68" s="7">
        <f t="shared" si="61"/>
        <v>0</v>
      </c>
      <c r="T68" s="11">
        <f t="shared" si="71"/>
        <v>11</v>
      </c>
      <c r="U68" s="11">
        <f t="shared" si="62"/>
        <v>0</v>
      </c>
      <c r="V68" s="11" t="str">
        <f>VLOOKUP(C68,Referencias!$A$2:$B$33,2,1)</f>
        <v>20 - 21</v>
      </c>
      <c r="W68" s="23">
        <f t="shared" ref="W68:W131" si="75">IF(X68&gt;0,C69-C68,"")</f>
        <v>3.0555555555555558E-2</v>
      </c>
      <c r="X68" s="11">
        <f t="shared" si="63"/>
        <v>7.89</v>
      </c>
      <c r="Y68" s="11">
        <f t="shared" si="72"/>
        <v>13.933213749679686</v>
      </c>
      <c r="Z68" s="24">
        <f t="shared" si="73"/>
        <v>4.37</v>
      </c>
      <c r="AA68" s="25">
        <f t="shared" si="74"/>
        <v>5.9590909090909099</v>
      </c>
      <c r="AB68" s="24">
        <f t="shared" si="64"/>
        <v>1</v>
      </c>
      <c r="AC68" s="24">
        <f t="shared" si="65"/>
        <v>2.86299770847056</v>
      </c>
      <c r="AD68" s="24">
        <f t="shared" si="66"/>
        <v>3.4687383914307599</v>
      </c>
      <c r="AE68" s="24">
        <f t="shared" si="67"/>
        <v>4.1127229358910862</v>
      </c>
      <c r="AF68" s="119" t="str">
        <f>VLOOKUP(P68*1,Referencias!$G:$H,2,0)</f>
        <v>sex</v>
      </c>
      <c r="AZ68" s="35" t="s">
        <v>122</v>
      </c>
      <c r="BA68" s="29">
        <v>2.4999999999999998E-2</v>
      </c>
      <c r="BB68" s="30">
        <v>4.4000000000000004</v>
      </c>
      <c r="BC68" s="30">
        <v>8.3000000000000007</v>
      </c>
      <c r="BD68" s="31">
        <v>1</v>
      </c>
      <c r="BF68"/>
      <c r="BG68"/>
      <c r="BH68"/>
      <c r="BI68"/>
      <c r="BR68" s="10"/>
      <c r="BS68" s="10"/>
      <c r="BW68" s="25"/>
      <c r="BX68" s="25"/>
      <c r="BZ68" s="112"/>
      <c r="CA68" s="112"/>
      <c r="CB68" s="112"/>
      <c r="CC68" s="112"/>
      <c r="CD68" s="112"/>
    </row>
    <row r="69" spans="1:82" ht="14.4" x14ac:dyDescent="0.3">
      <c r="A69" s="16"/>
      <c r="B69" s="17"/>
      <c r="C69" s="18">
        <v>0.86944444444444446</v>
      </c>
      <c r="D69" s="7"/>
      <c r="E69" s="7"/>
      <c r="F69" s="7"/>
      <c r="G69" s="19"/>
      <c r="H69" s="20"/>
      <c r="I69" s="7"/>
      <c r="J69" s="7"/>
      <c r="K69" s="7"/>
      <c r="L69" s="7"/>
      <c r="M69" s="7"/>
      <c r="N69" s="7" t="str">
        <f t="shared" si="68"/>
        <v>#LIP8HH7LC</v>
      </c>
      <c r="O69" s="7">
        <f t="shared" si="60"/>
        <v>0</v>
      </c>
      <c r="P69" s="21">
        <f t="shared" si="69"/>
        <v>43231</v>
      </c>
      <c r="Q69" s="22">
        <f>VLOOKUP(R69,Referencias!$D$1:$E$13,2,0)</f>
        <v>5</v>
      </c>
      <c r="R69" s="7" t="str">
        <f t="shared" si="70"/>
        <v>MAI</v>
      </c>
      <c r="S69" s="7">
        <f t="shared" si="61"/>
        <v>0</v>
      </c>
      <c r="T69" s="11">
        <f t="shared" si="71"/>
        <v>11</v>
      </c>
      <c r="U69" s="11">
        <f t="shared" si="62"/>
        <v>0</v>
      </c>
      <c r="V69" s="11" t="str">
        <f>VLOOKUP(C69,Referencias!$A$2:$B$33,2,1)</f>
        <v>20 - 21</v>
      </c>
      <c r="W69" s="23" t="str">
        <f t="shared" si="75"/>
        <v/>
      </c>
      <c r="X69" s="11">
        <f t="shared" si="63"/>
        <v>0</v>
      </c>
      <c r="Y69" s="11">
        <f t="shared" si="72"/>
        <v>0</v>
      </c>
      <c r="Z69" s="24">
        <f t="shared" si="73"/>
        <v>0</v>
      </c>
      <c r="AA69" s="25">
        <f t="shared" si="74"/>
        <v>0</v>
      </c>
      <c r="AB69" s="24">
        <f t="shared" si="64"/>
        <v>0</v>
      </c>
      <c r="AC69" s="24">
        <f t="shared" si="65"/>
        <v>0</v>
      </c>
      <c r="AD69" s="24">
        <f t="shared" si="66"/>
        <v>0</v>
      </c>
      <c r="AE69" s="24">
        <f t="shared" si="67"/>
        <v>0</v>
      </c>
      <c r="AF69" s="119" t="str">
        <f>VLOOKUP(P69*1,Referencias!$G:$H,2,0)</f>
        <v>sex</v>
      </c>
      <c r="AZ69" s="35" t="s">
        <v>121</v>
      </c>
      <c r="BA69" s="29">
        <v>2.2916666666666669E-2</v>
      </c>
      <c r="BB69" s="30">
        <v>4.12</v>
      </c>
      <c r="BC69" s="30">
        <v>7.49</v>
      </c>
      <c r="BD69" s="31">
        <v>1</v>
      </c>
      <c r="BF69"/>
      <c r="BG69"/>
      <c r="BH69"/>
      <c r="BI69"/>
      <c r="BR69" s="10"/>
      <c r="BS69" s="10"/>
      <c r="BW69" s="25"/>
      <c r="BX69" s="25"/>
      <c r="BZ69" s="112"/>
      <c r="CA69" s="112"/>
      <c r="CB69" s="112"/>
      <c r="CC69" s="112"/>
      <c r="CD69" s="112"/>
    </row>
    <row r="70" spans="1:82" ht="14.4" x14ac:dyDescent="0.3">
      <c r="A70" s="36"/>
      <c r="B70" s="36"/>
      <c r="C70" s="36"/>
      <c r="D70" s="36"/>
      <c r="E70" s="36"/>
      <c r="F70" s="36"/>
      <c r="G70" s="36"/>
      <c r="H70" s="36"/>
      <c r="I70" s="36"/>
      <c r="J70" s="37"/>
      <c r="K70" s="37"/>
      <c r="L70" s="37"/>
      <c r="M70" s="37"/>
      <c r="N70" s="7" t="str">
        <f t="shared" si="68"/>
        <v>#LIP8HH7LC</v>
      </c>
      <c r="O70" s="7">
        <f t="shared" si="60"/>
        <v>0</v>
      </c>
      <c r="P70" s="21">
        <f t="shared" si="69"/>
        <v>43231</v>
      </c>
      <c r="Q70" s="22">
        <f>VLOOKUP(R70,Referencias!$D$1:$E$13,2,0)</f>
        <v>5</v>
      </c>
      <c r="R70" s="7" t="str">
        <f t="shared" si="70"/>
        <v>MAI</v>
      </c>
      <c r="S70" s="7">
        <f t="shared" si="61"/>
        <v>0</v>
      </c>
      <c r="T70" s="11">
        <f t="shared" si="71"/>
        <v>11</v>
      </c>
      <c r="U70" s="11">
        <f t="shared" si="62"/>
        <v>0</v>
      </c>
      <c r="V70" s="11" t="e">
        <f>VLOOKUP(C70,Referencias!$A$2:$B$33,2,1)</f>
        <v>#N/A</v>
      </c>
      <c r="W70" s="23" t="str">
        <f t="shared" si="75"/>
        <v/>
      </c>
      <c r="X70" s="11">
        <f t="shared" si="63"/>
        <v>0</v>
      </c>
      <c r="Y70" s="11">
        <f t="shared" si="72"/>
        <v>0</v>
      </c>
      <c r="Z70" s="24">
        <f t="shared" si="73"/>
        <v>0</v>
      </c>
      <c r="AA70" s="25">
        <f t="shared" si="74"/>
        <v>0</v>
      </c>
      <c r="AB70" s="24">
        <f t="shared" si="64"/>
        <v>0</v>
      </c>
      <c r="AC70" s="24">
        <f t="shared" si="65"/>
        <v>0</v>
      </c>
      <c r="AD70" s="24">
        <f t="shared" si="66"/>
        <v>0</v>
      </c>
      <c r="AE70" s="24">
        <f t="shared" si="67"/>
        <v>0</v>
      </c>
      <c r="AF70" s="119" t="str">
        <f>VLOOKUP(P70*1,Referencias!$G:$H,2,0)</f>
        <v>sex</v>
      </c>
      <c r="AZ70" s="35" t="s">
        <v>119</v>
      </c>
      <c r="BA70" s="29">
        <v>2.4305555555555556E-2</v>
      </c>
      <c r="BB70" s="30">
        <v>2.23</v>
      </c>
      <c r="BC70" s="30">
        <v>2.1</v>
      </c>
      <c r="BD70" s="31">
        <v>1</v>
      </c>
      <c r="BF70"/>
      <c r="BG70"/>
      <c r="BH70"/>
      <c r="BI70"/>
      <c r="BR70" s="10"/>
      <c r="BS70" s="10"/>
      <c r="BW70" s="25"/>
      <c r="BX70" s="25"/>
      <c r="BZ70" s="112"/>
      <c r="CA70" s="112"/>
      <c r="CB70" s="112"/>
      <c r="CC70" s="112"/>
      <c r="CD70" s="112"/>
    </row>
    <row r="71" spans="1:82" ht="14.4" x14ac:dyDescent="0.3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7" t="str">
        <f t="shared" si="68"/>
        <v>#LIP8HH7LC</v>
      </c>
      <c r="O71" s="7">
        <f t="shared" si="60"/>
        <v>0</v>
      </c>
      <c r="P71" s="21">
        <f t="shared" si="69"/>
        <v>43231</v>
      </c>
      <c r="Q71" s="22">
        <f>VLOOKUP(R71,Referencias!$D$1:$E$13,2,0)</f>
        <v>5</v>
      </c>
      <c r="R71" s="7" t="str">
        <f t="shared" si="70"/>
        <v>MAI</v>
      </c>
      <c r="S71" s="7">
        <f t="shared" si="61"/>
        <v>0</v>
      </c>
      <c r="T71" s="11">
        <f t="shared" si="71"/>
        <v>11</v>
      </c>
      <c r="U71" s="11">
        <f t="shared" si="62"/>
        <v>0</v>
      </c>
      <c r="V71" s="11" t="e">
        <f>VLOOKUP(C71,Referencias!$A$2:$B$33,2,1)</f>
        <v>#N/A</v>
      </c>
      <c r="W71" s="23" t="str">
        <f t="shared" si="75"/>
        <v/>
      </c>
      <c r="X71" s="11">
        <f t="shared" si="63"/>
        <v>0</v>
      </c>
      <c r="Y71" s="11">
        <f t="shared" si="72"/>
        <v>0</v>
      </c>
      <c r="Z71" s="24">
        <f t="shared" si="73"/>
        <v>0</v>
      </c>
      <c r="AA71" s="25">
        <f t="shared" si="74"/>
        <v>0</v>
      </c>
      <c r="AB71" s="24">
        <f t="shared" si="64"/>
        <v>0</v>
      </c>
      <c r="AC71" s="24">
        <f t="shared" si="65"/>
        <v>0</v>
      </c>
      <c r="AD71" s="24">
        <f t="shared" si="66"/>
        <v>0</v>
      </c>
      <c r="AE71" s="24">
        <f t="shared" si="67"/>
        <v>0</v>
      </c>
      <c r="AF71" s="119" t="str">
        <f>VLOOKUP(P71*1,Referencias!$G:$H,2,0)</f>
        <v>sex</v>
      </c>
      <c r="AZ71" s="118">
        <v>43237</v>
      </c>
      <c r="BA71" s="29">
        <v>0.21944444444444444</v>
      </c>
      <c r="BB71" s="30">
        <v>27.640000000000004</v>
      </c>
      <c r="BC71" s="30">
        <v>38.69</v>
      </c>
      <c r="BD71" s="31">
        <v>7</v>
      </c>
      <c r="BF71"/>
      <c r="BG71"/>
      <c r="BH71"/>
      <c r="BI71"/>
      <c r="BR71" s="10"/>
      <c r="BS71" s="10"/>
      <c r="BW71" s="25"/>
      <c r="BX71" s="25"/>
      <c r="BZ71" s="112"/>
      <c r="CA71" s="112"/>
      <c r="CB71" s="112"/>
      <c r="CC71" s="112"/>
      <c r="CD71" s="112"/>
    </row>
    <row r="72" spans="1:82" ht="14.4" x14ac:dyDescent="0.3">
      <c r="A72" s="16"/>
      <c r="B72" s="17" t="s">
        <v>57</v>
      </c>
      <c r="C72" s="18">
        <v>0.87152777777777779</v>
      </c>
      <c r="D72" s="7">
        <v>4.78</v>
      </c>
      <c r="E72" s="7" t="s">
        <v>17</v>
      </c>
      <c r="F72" s="7"/>
      <c r="G72" s="19">
        <v>3.17</v>
      </c>
      <c r="H72" s="20">
        <v>75.28</v>
      </c>
      <c r="I72" s="7"/>
      <c r="J72" s="7"/>
      <c r="K72" s="7"/>
      <c r="L72" s="7"/>
      <c r="M72" s="7"/>
      <c r="N72" s="7" t="str">
        <f t="shared" si="68"/>
        <v>#LI8JFZ1EN</v>
      </c>
      <c r="O72" s="7" t="str">
        <f t="shared" si="60"/>
        <v>#LI8JFZ1EN</v>
      </c>
      <c r="P72" s="21">
        <f t="shared" si="69"/>
        <v>43231</v>
      </c>
      <c r="Q72" s="22">
        <f>VLOOKUP(R72,Referencias!$D$1:$E$13,2,0)</f>
        <v>5</v>
      </c>
      <c r="R72" s="7" t="str">
        <f t="shared" si="70"/>
        <v>MAI</v>
      </c>
      <c r="S72" s="7">
        <f t="shared" si="61"/>
        <v>0</v>
      </c>
      <c r="T72" s="11">
        <f t="shared" si="71"/>
        <v>11</v>
      </c>
      <c r="U72" s="11">
        <f t="shared" si="62"/>
        <v>0</v>
      </c>
      <c r="V72" s="11" t="str">
        <f>VLOOKUP(C72,Referencias!$A$2:$B$33,2,1)</f>
        <v>20 - 21</v>
      </c>
      <c r="W72" s="23">
        <f t="shared" si="75"/>
        <v>1.8749999999999933E-2</v>
      </c>
      <c r="X72" s="11">
        <f t="shared" si="63"/>
        <v>4.78</v>
      </c>
      <c r="Y72" s="11">
        <f t="shared" si="72"/>
        <v>8.4411611816817373</v>
      </c>
      <c r="Z72" s="24">
        <f t="shared" si="73"/>
        <v>3.17</v>
      </c>
      <c r="AA72" s="25">
        <f t="shared" si="74"/>
        <v>7.0444444444444692</v>
      </c>
      <c r="AB72" s="24">
        <f t="shared" si="64"/>
        <v>1</v>
      </c>
      <c r="AC72" s="24">
        <f t="shared" si="65"/>
        <v>2.0768198480209783</v>
      </c>
      <c r="AD72" s="24">
        <f t="shared" si="66"/>
        <v>2.5162244166671641</v>
      </c>
      <c r="AE72" s="24">
        <f t="shared" si="67"/>
        <v>2.983371099948454</v>
      </c>
      <c r="AF72" s="119" t="str">
        <f>VLOOKUP(P72*1,Referencias!$G:$H,2,0)</f>
        <v>sex</v>
      </c>
      <c r="AZ72" s="35" t="s">
        <v>124</v>
      </c>
      <c r="BA72" s="29">
        <v>3.0555555555555555E-2</v>
      </c>
      <c r="BB72" s="30">
        <v>3.3</v>
      </c>
      <c r="BC72" s="30">
        <v>5.16</v>
      </c>
      <c r="BD72" s="31">
        <v>1</v>
      </c>
      <c r="BF72"/>
      <c r="BG72"/>
      <c r="BH72"/>
      <c r="BI72"/>
      <c r="BR72" s="10"/>
      <c r="BS72" s="10"/>
      <c r="BW72" s="25"/>
      <c r="BX72" s="25"/>
      <c r="BZ72" s="112"/>
      <c r="CA72" s="112"/>
      <c r="CB72" s="112"/>
      <c r="CC72" s="112"/>
      <c r="CD72" s="112"/>
    </row>
    <row r="73" spans="1:82" ht="14.4" x14ac:dyDescent="0.3">
      <c r="A73" s="16"/>
      <c r="B73" s="17"/>
      <c r="C73" s="18">
        <v>0.89027777777777772</v>
      </c>
      <c r="D73" s="7"/>
      <c r="E73" s="7"/>
      <c r="F73" s="7"/>
      <c r="G73" s="19"/>
      <c r="H73" s="20"/>
      <c r="I73" s="7"/>
      <c r="J73" s="7"/>
      <c r="K73" s="7"/>
      <c r="L73" s="7"/>
      <c r="M73" s="7"/>
      <c r="N73" s="7" t="str">
        <f t="shared" si="68"/>
        <v>#LI8JFZ1EN</v>
      </c>
      <c r="O73" s="7">
        <f t="shared" si="60"/>
        <v>0</v>
      </c>
      <c r="P73" s="21">
        <f t="shared" si="69"/>
        <v>43231</v>
      </c>
      <c r="Q73" s="22">
        <f>VLOOKUP(R73,Referencias!$D$1:$E$13,2,0)</f>
        <v>5</v>
      </c>
      <c r="R73" s="7" t="str">
        <f t="shared" si="70"/>
        <v>MAI</v>
      </c>
      <c r="S73" s="7">
        <f t="shared" si="61"/>
        <v>0</v>
      </c>
      <c r="T73" s="11">
        <f t="shared" si="71"/>
        <v>11</v>
      </c>
      <c r="U73" s="11">
        <f t="shared" si="62"/>
        <v>0</v>
      </c>
      <c r="V73" s="11" t="str">
        <f>VLOOKUP(C73,Referencias!$A$2:$B$33,2,1)</f>
        <v>21 - 22</v>
      </c>
      <c r="W73" s="23" t="str">
        <f t="shared" si="75"/>
        <v/>
      </c>
      <c r="X73" s="11">
        <f t="shared" si="63"/>
        <v>0</v>
      </c>
      <c r="Y73" s="11">
        <f t="shared" si="72"/>
        <v>0</v>
      </c>
      <c r="Z73" s="24">
        <f t="shared" si="73"/>
        <v>0</v>
      </c>
      <c r="AA73" s="25">
        <f t="shared" si="74"/>
        <v>0</v>
      </c>
      <c r="AB73" s="24">
        <f t="shared" si="64"/>
        <v>0</v>
      </c>
      <c r="AC73" s="24">
        <f t="shared" si="65"/>
        <v>0</v>
      </c>
      <c r="AD73" s="24">
        <f t="shared" si="66"/>
        <v>0</v>
      </c>
      <c r="AE73" s="24">
        <f t="shared" si="67"/>
        <v>0</v>
      </c>
      <c r="AF73" s="119" t="str">
        <f>VLOOKUP(P73*1,Referencias!$G:$H,2,0)</f>
        <v>sex</v>
      </c>
      <c r="AZ73" s="35" t="s">
        <v>129</v>
      </c>
      <c r="BA73" s="29">
        <v>4.9999999999999996E-2</v>
      </c>
      <c r="BB73" s="30">
        <v>5.23</v>
      </c>
      <c r="BC73" s="30">
        <v>5.51</v>
      </c>
      <c r="BD73" s="31">
        <v>1</v>
      </c>
      <c r="BF73"/>
      <c r="BG73"/>
      <c r="BH73"/>
      <c r="BI73"/>
      <c r="BR73" s="10"/>
      <c r="BS73" s="10"/>
      <c r="BW73" s="25"/>
      <c r="BX73" s="25"/>
      <c r="BZ73" s="112"/>
      <c r="CA73" s="112"/>
      <c r="CB73" s="112"/>
      <c r="CC73" s="112"/>
      <c r="CD73" s="112"/>
    </row>
    <row r="74" spans="1:82" ht="14.4" x14ac:dyDescent="0.3">
      <c r="A74" s="36"/>
      <c r="B74" s="36"/>
      <c r="C74" s="36"/>
      <c r="D74" s="36"/>
      <c r="E74" s="36"/>
      <c r="F74" s="36"/>
      <c r="G74" s="36"/>
      <c r="H74" s="36"/>
      <c r="I74" s="36"/>
      <c r="J74" s="37"/>
      <c r="K74" s="37"/>
      <c r="L74" s="37"/>
      <c r="M74" s="37"/>
      <c r="N74" s="7" t="str">
        <f t="shared" si="68"/>
        <v>#LI8JFZ1EN</v>
      </c>
      <c r="O74" s="7">
        <f t="shared" si="60"/>
        <v>0</v>
      </c>
      <c r="P74" s="21">
        <f t="shared" si="69"/>
        <v>43231</v>
      </c>
      <c r="Q74" s="22">
        <f>VLOOKUP(R74,Referencias!$D$1:$E$13,2,0)</f>
        <v>5</v>
      </c>
      <c r="R74" s="7" t="str">
        <f t="shared" si="70"/>
        <v>MAI</v>
      </c>
      <c r="S74" s="7">
        <f t="shared" si="61"/>
        <v>0</v>
      </c>
      <c r="T74" s="11">
        <f t="shared" si="71"/>
        <v>11</v>
      </c>
      <c r="U74" s="11">
        <f t="shared" si="62"/>
        <v>0</v>
      </c>
      <c r="V74" s="11" t="e">
        <f>VLOOKUP(C74,Referencias!$A$2:$B$33,2,1)</f>
        <v>#N/A</v>
      </c>
      <c r="W74" s="23" t="str">
        <f t="shared" si="75"/>
        <v/>
      </c>
      <c r="X74" s="11">
        <f t="shared" si="63"/>
        <v>0</v>
      </c>
      <c r="Y74" s="11">
        <f t="shared" si="72"/>
        <v>0</v>
      </c>
      <c r="Z74" s="24">
        <f t="shared" si="73"/>
        <v>0</v>
      </c>
      <c r="AA74" s="25">
        <f t="shared" si="74"/>
        <v>0</v>
      </c>
      <c r="AB74" s="24">
        <f t="shared" si="64"/>
        <v>0</v>
      </c>
      <c r="AC74" s="24">
        <f t="shared" si="65"/>
        <v>0</v>
      </c>
      <c r="AD74" s="24">
        <f t="shared" si="66"/>
        <v>0</v>
      </c>
      <c r="AE74" s="24">
        <f t="shared" si="67"/>
        <v>0</v>
      </c>
      <c r="AF74" s="119" t="str">
        <f>VLOOKUP(P74*1,Referencias!$G:$H,2,0)</f>
        <v>sex</v>
      </c>
      <c r="AZ74" s="35" t="s">
        <v>125</v>
      </c>
      <c r="BA74" s="29">
        <v>3.888888888888889E-2</v>
      </c>
      <c r="BB74" s="30">
        <v>4.05</v>
      </c>
      <c r="BC74" s="30">
        <v>4.3899999999999997</v>
      </c>
      <c r="BD74" s="31">
        <v>1</v>
      </c>
      <c r="BF74"/>
      <c r="BG74"/>
      <c r="BH74"/>
      <c r="BI74"/>
      <c r="BR74" s="10"/>
      <c r="BS74" s="10"/>
      <c r="BW74" s="25"/>
      <c r="BX74" s="25"/>
      <c r="BZ74" s="112"/>
      <c r="CA74" s="112"/>
      <c r="CB74" s="112"/>
      <c r="CC74" s="112"/>
      <c r="CD74" s="112"/>
    </row>
    <row r="75" spans="1:82" ht="14.4" x14ac:dyDescent="0.3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7" t="str">
        <f t="shared" si="68"/>
        <v>#LI8JFZ1EN</v>
      </c>
      <c r="O75" s="7">
        <f t="shared" si="60"/>
        <v>0</v>
      </c>
      <c r="P75" s="21">
        <f t="shared" si="69"/>
        <v>43231</v>
      </c>
      <c r="Q75" s="22">
        <f>VLOOKUP(R75,Referencias!$D$1:$E$13,2,0)</f>
        <v>5</v>
      </c>
      <c r="R75" s="7" t="str">
        <f t="shared" si="70"/>
        <v>MAI</v>
      </c>
      <c r="S75" s="7">
        <f t="shared" si="61"/>
        <v>0</v>
      </c>
      <c r="T75" s="11">
        <f t="shared" si="71"/>
        <v>11</v>
      </c>
      <c r="U75" s="11">
        <f t="shared" si="62"/>
        <v>0</v>
      </c>
      <c r="V75" s="11" t="e">
        <f>VLOOKUP(C75,Referencias!$A$2:$B$33,2,1)</f>
        <v>#N/A</v>
      </c>
      <c r="W75" s="23" t="str">
        <f t="shared" si="75"/>
        <v/>
      </c>
      <c r="X75" s="11">
        <f t="shared" si="63"/>
        <v>0</v>
      </c>
      <c r="Y75" s="11">
        <f t="shared" si="72"/>
        <v>0</v>
      </c>
      <c r="Z75" s="24">
        <f t="shared" si="73"/>
        <v>0</v>
      </c>
      <c r="AA75" s="25">
        <f t="shared" si="74"/>
        <v>0</v>
      </c>
      <c r="AB75" s="24">
        <f t="shared" si="64"/>
        <v>0</v>
      </c>
      <c r="AC75" s="24">
        <f t="shared" si="65"/>
        <v>0</v>
      </c>
      <c r="AD75" s="24">
        <f t="shared" si="66"/>
        <v>0</v>
      </c>
      <c r="AE75" s="24">
        <f t="shared" si="67"/>
        <v>0</v>
      </c>
      <c r="AF75" s="119" t="str">
        <f>VLOOKUP(P75*1,Referencias!$G:$H,2,0)</f>
        <v>sex</v>
      </c>
      <c r="AZ75" s="35" t="s">
        <v>126</v>
      </c>
      <c r="BA75" s="29">
        <v>2.5694444444444447E-2</v>
      </c>
      <c r="BB75" s="30">
        <v>4.93</v>
      </c>
      <c r="BC75" s="30">
        <v>9.57</v>
      </c>
      <c r="BD75" s="31">
        <v>1</v>
      </c>
      <c r="BF75"/>
      <c r="BG75"/>
      <c r="BH75"/>
      <c r="BI75"/>
      <c r="BR75" s="10"/>
      <c r="BS75" s="10"/>
      <c r="BW75" s="25"/>
      <c r="BX75" s="25"/>
      <c r="BZ75" s="112"/>
      <c r="CA75" s="112"/>
      <c r="CB75" s="112"/>
      <c r="CC75" s="112"/>
      <c r="CD75" s="112"/>
    </row>
    <row r="76" spans="1:82" ht="14.4" x14ac:dyDescent="0.3">
      <c r="A76" s="16"/>
      <c r="B76" s="17" t="s">
        <v>58</v>
      </c>
      <c r="C76" s="18">
        <v>0.89027777777777772</v>
      </c>
      <c r="D76" s="7">
        <v>1.22</v>
      </c>
      <c r="E76" s="7" t="s">
        <v>59</v>
      </c>
      <c r="F76" s="7"/>
      <c r="G76" s="19">
        <v>2.29</v>
      </c>
      <c r="H76" s="20">
        <v>77.569999999999993</v>
      </c>
      <c r="I76" s="7"/>
      <c r="J76" s="7"/>
      <c r="K76" s="7"/>
      <c r="L76" s="7"/>
      <c r="M76" s="7"/>
      <c r="N76" s="7" t="str">
        <f t="shared" si="68"/>
        <v>#LID1HKHW3</v>
      </c>
      <c r="O76" s="7" t="str">
        <f t="shared" si="60"/>
        <v>#LID1HKHW3</v>
      </c>
      <c r="P76" s="21">
        <f t="shared" si="69"/>
        <v>43231</v>
      </c>
      <c r="Q76" s="22">
        <f>VLOOKUP(R76,Referencias!$D$1:$E$13,2,0)</f>
        <v>5</v>
      </c>
      <c r="R76" s="7" t="str">
        <f t="shared" si="70"/>
        <v>MAI</v>
      </c>
      <c r="S76" s="7">
        <f t="shared" si="61"/>
        <v>0</v>
      </c>
      <c r="T76" s="11">
        <f t="shared" si="71"/>
        <v>11</v>
      </c>
      <c r="U76" s="11">
        <f t="shared" si="62"/>
        <v>0</v>
      </c>
      <c r="V76" s="11" t="str">
        <f>VLOOKUP(C76,Referencias!$A$2:$B$33,2,1)</f>
        <v>21 - 22</v>
      </c>
      <c r="W76" s="23">
        <f t="shared" si="75"/>
        <v>1.8055555555555602E-2</v>
      </c>
      <c r="X76" s="11">
        <f t="shared" si="63"/>
        <v>1.22</v>
      </c>
      <c r="Y76" s="11">
        <f t="shared" si="72"/>
        <v>2.1544386279606105</v>
      </c>
      <c r="Z76" s="24">
        <f t="shared" si="73"/>
        <v>2.29</v>
      </c>
      <c r="AA76" s="25">
        <f t="shared" si="74"/>
        <v>5.2846153846153712</v>
      </c>
      <c r="AB76" s="24">
        <f t="shared" si="64"/>
        <v>1</v>
      </c>
      <c r="AC76" s="24">
        <f t="shared" si="65"/>
        <v>1.5002894170246184</v>
      </c>
      <c r="AD76" s="24">
        <f t="shared" si="66"/>
        <v>1.8177141685071945</v>
      </c>
      <c r="AE76" s="24">
        <f t="shared" si="67"/>
        <v>2.1551797535905237</v>
      </c>
      <c r="AF76" s="119" t="str">
        <f>VLOOKUP(P76*1,Referencias!$G:$H,2,0)</f>
        <v>sex</v>
      </c>
      <c r="AZ76" s="35" t="s">
        <v>123</v>
      </c>
      <c r="BA76" s="29">
        <v>2.7777777777777776E-2</v>
      </c>
      <c r="BB76" s="30">
        <v>3.01</v>
      </c>
      <c r="BC76" s="30">
        <v>2.6</v>
      </c>
      <c r="BD76" s="31">
        <v>1</v>
      </c>
      <c r="BF76"/>
      <c r="BG76"/>
      <c r="BH76"/>
      <c r="BI76"/>
      <c r="BR76" s="10"/>
      <c r="BS76" s="10"/>
      <c r="BW76" s="25"/>
      <c r="BX76" s="25"/>
      <c r="BZ76" s="112"/>
      <c r="CA76" s="112"/>
      <c r="CB76" s="112"/>
      <c r="CC76" s="112"/>
      <c r="CD76" s="112"/>
    </row>
    <row r="77" spans="1:82" ht="14.4" x14ac:dyDescent="0.3">
      <c r="A77" s="16"/>
      <c r="B77" s="17"/>
      <c r="C77" s="18">
        <v>0.90833333333333333</v>
      </c>
      <c r="D77" s="7"/>
      <c r="E77" s="7"/>
      <c r="F77" s="7"/>
      <c r="G77" s="19"/>
      <c r="H77" s="20"/>
      <c r="I77" s="7"/>
      <c r="J77" s="7"/>
      <c r="K77" s="7"/>
      <c r="L77" s="7"/>
      <c r="M77" s="7"/>
      <c r="N77" s="7" t="str">
        <f t="shared" si="68"/>
        <v>#LID1HKHW3</v>
      </c>
      <c r="O77" s="7">
        <f t="shared" si="60"/>
        <v>0</v>
      </c>
      <c r="P77" s="21">
        <f t="shared" si="69"/>
        <v>43231</v>
      </c>
      <c r="Q77" s="22">
        <f>VLOOKUP(R77,Referencias!$D$1:$E$13,2,0)</f>
        <v>5</v>
      </c>
      <c r="R77" s="7" t="str">
        <f t="shared" si="70"/>
        <v>MAI</v>
      </c>
      <c r="S77" s="7">
        <f t="shared" si="61"/>
        <v>0</v>
      </c>
      <c r="T77" s="11">
        <f t="shared" si="71"/>
        <v>11</v>
      </c>
      <c r="U77" s="11">
        <f t="shared" si="62"/>
        <v>0</v>
      </c>
      <c r="V77" s="11" t="str">
        <f>VLOOKUP(C77,Referencias!$A$2:$B$33,2,1)</f>
        <v>21 - 22</v>
      </c>
      <c r="W77" s="23" t="str">
        <f t="shared" si="75"/>
        <v/>
      </c>
      <c r="X77" s="11">
        <f t="shared" si="63"/>
        <v>0</v>
      </c>
      <c r="Y77" s="11">
        <f t="shared" si="72"/>
        <v>0</v>
      </c>
      <c r="Z77" s="24">
        <f t="shared" si="73"/>
        <v>0</v>
      </c>
      <c r="AA77" s="25">
        <f t="shared" si="74"/>
        <v>0</v>
      </c>
      <c r="AB77" s="24">
        <f t="shared" si="64"/>
        <v>0</v>
      </c>
      <c r="AC77" s="24">
        <f t="shared" si="65"/>
        <v>0</v>
      </c>
      <c r="AD77" s="24">
        <f t="shared" si="66"/>
        <v>0</v>
      </c>
      <c r="AE77" s="24">
        <f t="shared" si="67"/>
        <v>0</v>
      </c>
      <c r="AF77" s="119" t="str">
        <f>VLOOKUP(P77*1,Referencias!$G:$H,2,0)</f>
        <v>sex</v>
      </c>
      <c r="AZ77" s="35" t="s">
        <v>128</v>
      </c>
      <c r="BA77" s="29">
        <v>1.8749999999999999E-2</v>
      </c>
      <c r="BB77" s="30">
        <v>3.52</v>
      </c>
      <c r="BC77" s="30">
        <v>5.78</v>
      </c>
      <c r="BD77" s="31">
        <v>1</v>
      </c>
      <c r="BF77"/>
      <c r="BG77"/>
      <c r="BH77"/>
      <c r="BI77"/>
      <c r="BR77" s="10"/>
      <c r="BS77" s="10"/>
      <c r="BW77" s="25"/>
      <c r="BX77" s="25"/>
      <c r="BZ77" s="112"/>
      <c r="CA77" s="112"/>
      <c r="CB77" s="112"/>
      <c r="CC77" s="112"/>
      <c r="CD77" s="112"/>
    </row>
    <row r="78" spans="1:82" ht="14.4" x14ac:dyDescent="0.3">
      <c r="A78" s="36"/>
      <c r="B78" s="36"/>
      <c r="C78" s="36"/>
      <c r="D78" s="36"/>
      <c r="E78" s="36"/>
      <c r="F78" s="36"/>
      <c r="G78" s="36"/>
      <c r="H78" s="36"/>
      <c r="I78" s="36"/>
      <c r="J78" s="37"/>
      <c r="K78" s="37"/>
      <c r="L78" s="37"/>
      <c r="M78" s="37"/>
      <c r="N78" s="7" t="str">
        <f t="shared" si="68"/>
        <v>#LID1HKHW3</v>
      </c>
      <c r="O78" s="7">
        <f t="shared" si="60"/>
        <v>0</v>
      </c>
      <c r="P78" s="21">
        <f t="shared" si="69"/>
        <v>43231</v>
      </c>
      <c r="Q78" s="22">
        <f>VLOOKUP(R78,Referencias!$D$1:$E$13,2,0)</f>
        <v>5</v>
      </c>
      <c r="R78" s="7" t="str">
        <f t="shared" si="70"/>
        <v>MAI</v>
      </c>
      <c r="S78" s="7">
        <f t="shared" si="61"/>
        <v>0</v>
      </c>
      <c r="T78" s="11">
        <f t="shared" si="71"/>
        <v>11</v>
      </c>
      <c r="U78" s="11">
        <f t="shared" si="62"/>
        <v>0</v>
      </c>
      <c r="V78" s="11" t="e">
        <f>VLOOKUP(C78,Referencias!$A$2:$B$33,2,1)</f>
        <v>#N/A</v>
      </c>
      <c r="W78" s="23" t="str">
        <f t="shared" si="75"/>
        <v/>
      </c>
      <c r="X78" s="11">
        <f t="shared" si="63"/>
        <v>0</v>
      </c>
      <c r="Y78" s="11">
        <f t="shared" si="72"/>
        <v>0</v>
      </c>
      <c r="Z78" s="24">
        <f t="shared" si="73"/>
        <v>0</v>
      </c>
      <c r="AA78" s="25">
        <f t="shared" si="74"/>
        <v>0</v>
      </c>
      <c r="AB78" s="24">
        <f t="shared" si="64"/>
        <v>0</v>
      </c>
      <c r="AC78" s="24">
        <f t="shared" si="65"/>
        <v>0</v>
      </c>
      <c r="AD78" s="24">
        <f t="shared" si="66"/>
        <v>0</v>
      </c>
      <c r="AE78" s="24">
        <f t="shared" si="67"/>
        <v>0</v>
      </c>
      <c r="AF78" s="119" t="str">
        <f>VLOOKUP(P78*1,Referencias!$G:$H,2,0)</f>
        <v>sex</v>
      </c>
      <c r="AZ78" s="35" t="s">
        <v>127</v>
      </c>
      <c r="BA78" s="29">
        <v>2.7777777777777776E-2</v>
      </c>
      <c r="BB78" s="30">
        <v>3.6</v>
      </c>
      <c r="BC78" s="30">
        <v>5.68</v>
      </c>
      <c r="BD78" s="31">
        <v>1</v>
      </c>
      <c r="BF78"/>
      <c r="BG78"/>
      <c r="BH78"/>
      <c r="BI78"/>
      <c r="BR78" s="10"/>
      <c r="BS78" s="10"/>
      <c r="BW78" s="25"/>
      <c r="BX78" s="25"/>
      <c r="BZ78" s="112"/>
      <c r="CA78" s="112"/>
      <c r="CB78" s="112"/>
      <c r="CC78" s="112"/>
      <c r="CD78" s="112"/>
    </row>
    <row r="79" spans="1:82" ht="14.4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7" t="str">
        <f t="shared" si="68"/>
        <v>#LID1HKHW3</v>
      </c>
      <c r="O79" s="7">
        <f t="shared" si="60"/>
        <v>0</v>
      </c>
      <c r="P79" s="21">
        <f t="shared" si="69"/>
        <v>43231</v>
      </c>
      <c r="Q79" s="22">
        <f>VLOOKUP(R79,Referencias!$D$1:$E$13,2,0)</f>
        <v>5</v>
      </c>
      <c r="R79" s="7" t="str">
        <f t="shared" si="70"/>
        <v>MAI</v>
      </c>
      <c r="S79" s="7">
        <f t="shared" si="61"/>
        <v>0</v>
      </c>
      <c r="T79" s="11">
        <f t="shared" si="71"/>
        <v>11</v>
      </c>
      <c r="U79" s="11">
        <f t="shared" si="62"/>
        <v>0</v>
      </c>
      <c r="V79" s="11" t="e">
        <f>VLOOKUP(C79,Referencias!$A$2:$B$33,2,1)</f>
        <v>#N/A</v>
      </c>
      <c r="W79" s="23" t="str">
        <f t="shared" si="75"/>
        <v/>
      </c>
      <c r="X79" s="11">
        <f t="shared" si="63"/>
        <v>0</v>
      </c>
      <c r="Y79" s="11">
        <f t="shared" si="72"/>
        <v>0</v>
      </c>
      <c r="Z79" s="24">
        <f t="shared" si="73"/>
        <v>0</v>
      </c>
      <c r="AA79" s="25">
        <f t="shared" si="74"/>
        <v>0</v>
      </c>
      <c r="AB79" s="24">
        <f t="shared" si="64"/>
        <v>0</v>
      </c>
      <c r="AC79" s="24">
        <f t="shared" si="65"/>
        <v>0</v>
      </c>
      <c r="AD79" s="24">
        <f t="shared" si="66"/>
        <v>0</v>
      </c>
      <c r="AE79" s="24">
        <f t="shared" si="67"/>
        <v>0</v>
      </c>
      <c r="AF79" s="119" t="str">
        <f>VLOOKUP(P79*1,Referencias!$G:$H,2,0)</f>
        <v>sex</v>
      </c>
      <c r="AZ79" s="118">
        <v>43238</v>
      </c>
      <c r="BA79" s="29">
        <v>0.1590277777777778</v>
      </c>
      <c r="BB79" s="30">
        <v>21.21</v>
      </c>
      <c r="BC79" s="30">
        <v>29.1</v>
      </c>
      <c r="BD79" s="31">
        <v>6</v>
      </c>
      <c r="BF79"/>
      <c r="BG79"/>
      <c r="BH79"/>
      <c r="BI79"/>
      <c r="BR79" s="10"/>
      <c r="BS79" s="10"/>
      <c r="BW79" s="25"/>
      <c r="BX79" s="25"/>
      <c r="BZ79" s="112"/>
      <c r="CA79" s="112"/>
      <c r="CB79" s="112"/>
      <c r="CC79" s="112"/>
      <c r="CD79" s="112"/>
    </row>
    <row r="80" spans="1:82" ht="14.4" x14ac:dyDescent="0.3">
      <c r="A80" s="16"/>
      <c r="B80" s="17" t="s">
        <v>60</v>
      </c>
      <c r="C80" s="18">
        <v>0.90833333333333333</v>
      </c>
      <c r="D80" s="7">
        <v>5.72</v>
      </c>
      <c r="E80" s="7" t="s">
        <v>50</v>
      </c>
      <c r="F80" s="7"/>
      <c r="G80" s="19">
        <v>4.45</v>
      </c>
      <c r="H80" s="20">
        <v>82.02</v>
      </c>
      <c r="I80" s="7"/>
      <c r="J80" s="7"/>
      <c r="K80" s="7"/>
      <c r="L80" s="7"/>
      <c r="M80" s="7"/>
      <c r="N80" s="7" t="str">
        <f t="shared" si="68"/>
        <v>#LIEA9YL21</v>
      </c>
      <c r="O80" s="7" t="str">
        <f t="shared" si="60"/>
        <v>#LIEA9YL21</v>
      </c>
      <c r="P80" s="21">
        <f t="shared" si="69"/>
        <v>43231</v>
      </c>
      <c r="Q80" s="22">
        <f>VLOOKUP(R80,Referencias!$D$1:$E$13,2,0)</f>
        <v>5</v>
      </c>
      <c r="R80" s="7" t="str">
        <f t="shared" si="70"/>
        <v>MAI</v>
      </c>
      <c r="S80" s="7">
        <f t="shared" si="61"/>
        <v>0</v>
      </c>
      <c r="T80" s="11">
        <f t="shared" si="71"/>
        <v>11</v>
      </c>
      <c r="U80" s="11">
        <f t="shared" si="62"/>
        <v>0</v>
      </c>
      <c r="V80" s="11" t="str">
        <f>VLOOKUP(C80,Referencias!$A$2:$B$33,2,1)</f>
        <v>21 - 22</v>
      </c>
      <c r="W80" s="23">
        <f t="shared" si="75"/>
        <v>3.0555555555555558E-2</v>
      </c>
      <c r="X80" s="11">
        <f t="shared" si="63"/>
        <v>5.72</v>
      </c>
      <c r="Y80" s="11">
        <f t="shared" si="72"/>
        <v>10.10113848519237</v>
      </c>
      <c r="Z80" s="24">
        <f t="shared" si="73"/>
        <v>4.45</v>
      </c>
      <c r="AA80" s="25">
        <f t="shared" si="74"/>
        <v>6.0681818181818192</v>
      </c>
      <c r="AB80" s="24">
        <f t="shared" si="64"/>
        <v>1</v>
      </c>
      <c r="AC80" s="24">
        <f t="shared" si="65"/>
        <v>2.9154095658338655</v>
      </c>
      <c r="AD80" s="24">
        <f t="shared" si="66"/>
        <v>3.532239323081666</v>
      </c>
      <c r="AE80" s="24">
        <f t="shared" si="67"/>
        <v>4.1880130582872619</v>
      </c>
      <c r="AF80" s="119" t="str">
        <f>VLOOKUP(P80*1,Referencias!$G:$H,2,0)</f>
        <v>sex</v>
      </c>
      <c r="AZ80" s="35" t="s">
        <v>136</v>
      </c>
      <c r="BA80" s="29">
        <v>3.1944444444444449E-2</v>
      </c>
      <c r="BB80" s="30">
        <v>4.04</v>
      </c>
      <c r="BC80" s="30">
        <v>5.78</v>
      </c>
      <c r="BD80" s="31">
        <v>1</v>
      </c>
      <c r="BF80"/>
      <c r="BG80"/>
      <c r="BH80"/>
      <c r="BI80"/>
      <c r="BR80" s="10"/>
      <c r="BS80" s="10"/>
      <c r="BZ80" s="112"/>
      <c r="CA80" s="112"/>
      <c r="CB80" s="112"/>
      <c r="CC80" s="112"/>
      <c r="CD80" s="112"/>
    </row>
    <row r="81" spans="1:82" ht="14.4" x14ac:dyDescent="0.3">
      <c r="A81" s="16"/>
      <c r="B81" s="17"/>
      <c r="C81" s="18">
        <v>0.93888888888888888</v>
      </c>
      <c r="D81" s="7"/>
      <c r="E81" s="7"/>
      <c r="F81" s="7"/>
      <c r="G81" s="19"/>
      <c r="H81" s="20"/>
      <c r="I81" s="7"/>
      <c r="J81" s="7"/>
      <c r="K81" s="7"/>
      <c r="L81" s="7"/>
      <c r="M81" s="7"/>
      <c r="N81" s="7" t="str">
        <f t="shared" si="68"/>
        <v>#LIEA9YL21</v>
      </c>
      <c r="O81" s="7">
        <f t="shared" si="60"/>
        <v>0</v>
      </c>
      <c r="P81" s="21">
        <f t="shared" si="69"/>
        <v>43231</v>
      </c>
      <c r="Q81" s="22">
        <f>VLOOKUP(R81,Referencias!$D$1:$E$13,2,0)</f>
        <v>5</v>
      </c>
      <c r="R81" s="7" t="str">
        <f t="shared" si="70"/>
        <v>MAI</v>
      </c>
      <c r="S81" s="7">
        <f t="shared" si="61"/>
        <v>0</v>
      </c>
      <c r="T81" s="11">
        <f t="shared" si="71"/>
        <v>11</v>
      </c>
      <c r="U81" s="11">
        <f t="shared" si="62"/>
        <v>0</v>
      </c>
      <c r="V81" s="11" t="str">
        <f>VLOOKUP(C81,Referencias!$A$2:$B$33,2,1)</f>
        <v>22 - 23</v>
      </c>
      <c r="W81" s="23" t="str">
        <f t="shared" si="75"/>
        <v/>
      </c>
      <c r="X81" s="11">
        <f t="shared" si="63"/>
        <v>0</v>
      </c>
      <c r="Y81" s="11">
        <f t="shared" si="72"/>
        <v>0</v>
      </c>
      <c r="Z81" s="24">
        <f t="shared" si="73"/>
        <v>0</v>
      </c>
      <c r="AA81" s="25">
        <f t="shared" si="74"/>
        <v>0</v>
      </c>
      <c r="AB81" s="24">
        <f t="shared" si="64"/>
        <v>0</v>
      </c>
      <c r="AC81" s="24">
        <f t="shared" si="65"/>
        <v>0</v>
      </c>
      <c r="AD81" s="24">
        <f t="shared" si="66"/>
        <v>0</v>
      </c>
      <c r="AE81" s="24">
        <f t="shared" si="67"/>
        <v>0</v>
      </c>
      <c r="AF81" s="119" t="str">
        <f>VLOOKUP(P81*1,Referencias!$G:$H,2,0)</f>
        <v>sex</v>
      </c>
      <c r="AZ81" s="35" t="s">
        <v>135</v>
      </c>
      <c r="BA81" s="29">
        <v>2.6388888888888889E-2</v>
      </c>
      <c r="BB81" s="30">
        <v>4.46</v>
      </c>
      <c r="BC81" s="30">
        <v>7.71</v>
      </c>
      <c r="BD81" s="31">
        <v>1</v>
      </c>
      <c r="BF81"/>
      <c r="BG81"/>
      <c r="BH81"/>
      <c r="BI81"/>
      <c r="BR81" s="10"/>
      <c r="BS81" s="10"/>
      <c r="BZ81" s="112"/>
      <c r="CA81" s="112"/>
      <c r="CB81" s="112"/>
      <c r="CC81" s="112"/>
      <c r="CD81" s="112"/>
    </row>
    <row r="82" spans="1:82" ht="14.4" x14ac:dyDescent="0.3">
      <c r="A82" s="36"/>
      <c r="B82" s="36"/>
      <c r="C82" s="36"/>
      <c r="D82" s="36"/>
      <c r="E82" s="36"/>
      <c r="F82" s="36"/>
      <c r="G82" s="36"/>
      <c r="H82" s="36"/>
      <c r="I82" s="36"/>
      <c r="J82" s="37"/>
      <c r="K82" s="37"/>
      <c r="L82" s="37"/>
      <c r="M82" s="37"/>
      <c r="N82" s="7" t="str">
        <f t="shared" si="68"/>
        <v>#LIEA9YL21</v>
      </c>
      <c r="O82" s="7">
        <f t="shared" si="60"/>
        <v>0</v>
      </c>
      <c r="P82" s="21">
        <f t="shared" si="69"/>
        <v>43231</v>
      </c>
      <c r="Q82" s="22">
        <f>VLOOKUP(R82,Referencias!$D$1:$E$13,2,0)</f>
        <v>5</v>
      </c>
      <c r="R82" s="7" t="str">
        <f t="shared" si="70"/>
        <v>MAI</v>
      </c>
      <c r="S82" s="7">
        <f t="shared" si="61"/>
        <v>0</v>
      </c>
      <c r="T82" s="11">
        <f t="shared" si="71"/>
        <v>11</v>
      </c>
      <c r="U82" s="11">
        <f t="shared" si="62"/>
        <v>0</v>
      </c>
      <c r="V82" s="11" t="e">
        <f>VLOOKUP(C82,Referencias!$A$2:$B$33,2,1)</f>
        <v>#N/A</v>
      </c>
      <c r="W82" s="23" t="str">
        <f t="shared" si="75"/>
        <v/>
      </c>
      <c r="X82" s="11">
        <f t="shared" si="63"/>
        <v>0</v>
      </c>
      <c r="Y82" s="11">
        <f t="shared" si="72"/>
        <v>0</v>
      </c>
      <c r="Z82" s="24">
        <f t="shared" si="73"/>
        <v>0</v>
      </c>
      <c r="AA82" s="25">
        <f t="shared" si="74"/>
        <v>0</v>
      </c>
      <c r="AB82" s="24">
        <f t="shared" si="64"/>
        <v>0</v>
      </c>
      <c r="AC82" s="24">
        <f t="shared" si="65"/>
        <v>0</v>
      </c>
      <c r="AD82" s="24">
        <f t="shared" si="66"/>
        <v>0</v>
      </c>
      <c r="AE82" s="24">
        <f t="shared" si="67"/>
        <v>0</v>
      </c>
      <c r="AF82" s="119" t="str">
        <f>VLOOKUP(P82*1,Referencias!$G:$H,2,0)</f>
        <v>sex</v>
      </c>
      <c r="AZ82" s="35" t="s">
        <v>131</v>
      </c>
      <c r="BA82" s="29">
        <v>3.4722222222222224E-2</v>
      </c>
      <c r="BB82" s="30">
        <v>3.6</v>
      </c>
      <c r="BC82" s="30">
        <v>2.9</v>
      </c>
      <c r="BD82" s="31">
        <v>1</v>
      </c>
      <c r="BF82"/>
      <c r="BG82"/>
      <c r="BH82"/>
      <c r="BI82"/>
      <c r="BR82" s="10"/>
      <c r="BS82" s="10"/>
      <c r="BZ82" s="112"/>
      <c r="CA82" s="112"/>
      <c r="CB82" s="112"/>
      <c r="CC82" s="112"/>
      <c r="CD82" s="112"/>
    </row>
    <row r="83" spans="1:82" ht="14.4" x14ac:dyDescent="0.3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7" t="str">
        <f t="shared" si="68"/>
        <v>#LIEA9YL21</v>
      </c>
      <c r="O83" s="7">
        <f t="shared" si="60"/>
        <v>0</v>
      </c>
      <c r="P83" s="21">
        <f t="shared" si="69"/>
        <v>43231</v>
      </c>
      <c r="Q83" s="22">
        <f>VLOOKUP(R83,Referencias!$D$1:$E$13,2,0)</f>
        <v>5</v>
      </c>
      <c r="R83" s="7" t="str">
        <f t="shared" si="70"/>
        <v>MAI</v>
      </c>
      <c r="S83" s="7">
        <f t="shared" si="61"/>
        <v>0</v>
      </c>
      <c r="T83" s="11">
        <f t="shared" si="71"/>
        <v>11</v>
      </c>
      <c r="U83" s="11">
        <f t="shared" si="62"/>
        <v>0</v>
      </c>
      <c r="V83" s="11" t="e">
        <f>VLOOKUP(C83,Referencias!$A$2:$B$33,2,1)</f>
        <v>#N/A</v>
      </c>
      <c r="W83" s="23" t="str">
        <f t="shared" si="75"/>
        <v/>
      </c>
      <c r="X83" s="11">
        <f t="shared" si="63"/>
        <v>0</v>
      </c>
      <c r="Y83" s="11">
        <f t="shared" si="72"/>
        <v>0</v>
      </c>
      <c r="Z83" s="24">
        <f t="shared" si="73"/>
        <v>0</v>
      </c>
      <c r="AA83" s="25">
        <f t="shared" si="74"/>
        <v>0</v>
      </c>
      <c r="AB83" s="24">
        <f t="shared" si="64"/>
        <v>0</v>
      </c>
      <c r="AC83" s="24">
        <f t="shared" si="65"/>
        <v>0</v>
      </c>
      <c r="AD83" s="24">
        <f t="shared" si="66"/>
        <v>0</v>
      </c>
      <c r="AE83" s="24">
        <f t="shared" si="67"/>
        <v>0</v>
      </c>
      <c r="AF83" s="119" t="str">
        <f>VLOOKUP(P83*1,Referencias!$G:$H,2,0)</f>
        <v>sex</v>
      </c>
      <c r="AZ83" s="35" t="s">
        <v>134</v>
      </c>
      <c r="BA83" s="29">
        <v>2.013888888888889E-2</v>
      </c>
      <c r="BB83" s="30">
        <v>3.06</v>
      </c>
      <c r="BC83" s="30">
        <v>4.4800000000000004</v>
      </c>
      <c r="BD83" s="31">
        <v>1</v>
      </c>
      <c r="BF83"/>
      <c r="BG83"/>
      <c r="BH83"/>
      <c r="BI83"/>
      <c r="BR83" s="10"/>
      <c r="BS83" s="10"/>
      <c r="BZ83" s="112"/>
      <c r="CA83" s="112"/>
      <c r="CB83" s="112"/>
      <c r="CC83" s="112"/>
      <c r="CD83" s="112"/>
    </row>
    <row r="84" spans="1:82" ht="14.4" x14ac:dyDescent="0.3">
      <c r="A84" s="16"/>
      <c r="B84" s="17" t="s">
        <v>61</v>
      </c>
      <c r="C84" s="18">
        <v>0.94166666666666665</v>
      </c>
      <c r="D84" s="7">
        <v>7.67</v>
      </c>
      <c r="E84" s="7" t="s">
        <v>62</v>
      </c>
      <c r="F84" s="7"/>
      <c r="G84" s="19">
        <v>4.2300000000000004</v>
      </c>
      <c r="H84" s="20">
        <v>86.25</v>
      </c>
      <c r="I84" s="7"/>
      <c r="J84" s="7"/>
      <c r="K84" s="7"/>
      <c r="L84" s="7"/>
      <c r="M84" s="7"/>
      <c r="N84" s="7" t="str">
        <f t="shared" si="68"/>
        <v>#LICNWV74N</v>
      </c>
      <c r="O84" s="7" t="str">
        <f t="shared" si="60"/>
        <v>#LICNWV74N</v>
      </c>
      <c r="P84" s="21">
        <f t="shared" si="69"/>
        <v>43231</v>
      </c>
      <c r="Q84" s="22">
        <f>VLOOKUP(R84,Referencias!$D$1:$E$13,2,0)</f>
        <v>5</v>
      </c>
      <c r="R84" s="7" t="str">
        <f t="shared" si="70"/>
        <v>MAI</v>
      </c>
      <c r="S84" s="7">
        <f t="shared" si="61"/>
        <v>0</v>
      </c>
      <c r="T84" s="11">
        <f t="shared" si="71"/>
        <v>11</v>
      </c>
      <c r="U84" s="11">
        <f t="shared" si="62"/>
        <v>0</v>
      </c>
      <c r="V84" s="11" t="str">
        <f>VLOOKUP(C84,Referencias!$A$2:$B$33,2,1)</f>
        <v>22 - 23</v>
      </c>
      <c r="W84" s="23">
        <f t="shared" si="75"/>
        <v>2.3611111111111138E-2</v>
      </c>
      <c r="X84" s="11">
        <f t="shared" si="63"/>
        <v>7.67</v>
      </c>
      <c r="Y84" s="11">
        <f t="shared" si="72"/>
        <v>13.544708423326133</v>
      </c>
      <c r="Z84" s="24">
        <f t="shared" si="73"/>
        <v>4.2300000000000004</v>
      </c>
      <c r="AA84" s="25">
        <f t="shared" si="74"/>
        <v>7.4647058823529333</v>
      </c>
      <c r="AB84" s="24">
        <f t="shared" si="64"/>
        <v>1</v>
      </c>
      <c r="AC84" s="24">
        <f t="shared" si="65"/>
        <v>2.7712769580847758</v>
      </c>
      <c r="AD84" s="24">
        <f t="shared" si="66"/>
        <v>3.357611761041674</v>
      </c>
      <c r="AE84" s="24">
        <f t="shared" si="67"/>
        <v>3.9809652216977796</v>
      </c>
      <c r="AF84" s="119" t="str">
        <f>VLOOKUP(P84*1,Referencias!$G:$H,2,0)</f>
        <v>sex</v>
      </c>
      <c r="AZ84" s="35" t="s">
        <v>133</v>
      </c>
      <c r="BA84" s="29">
        <v>1.6666666666666666E-2</v>
      </c>
      <c r="BB84" s="30">
        <v>2.48</v>
      </c>
      <c r="BC84" s="30">
        <v>2.52</v>
      </c>
      <c r="BD84" s="31">
        <v>1</v>
      </c>
      <c r="BF84"/>
      <c r="BG84"/>
      <c r="BH84"/>
      <c r="BI84"/>
      <c r="BR84" s="10"/>
      <c r="BS84" s="10"/>
      <c r="BZ84" s="112"/>
      <c r="CA84" s="112"/>
      <c r="CB84" s="112"/>
      <c r="CC84" s="112"/>
      <c r="CD84" s="112"/>
    </row>
    <row r="85" spans="1:82" ht="14.4" x14ac:dyDescent="0.3">
      <c r="A85" s="16"/>
      <c r="B85" s="17"/>
      <c r="C85" s="18">
        <v>0.96527777777777779</v>
      </c>
      <c r="D85" s="7"/>
      <c r="E85" s="7"/>
      <c r="F85" s="7"/>
      <c r="G85" s="19"/>
      <c r="H85" s="20"/>
      <c r="I85" s="7"/>
      <c r="J85" s="7"/>
      <c r="K85" s="7"/>
      <c r="L85" s="7"/>
      <c r="M85" s="7"/>
      <c r="N85" s="7" t="str">
        <f t="shared" si="68"/>
        <v>#LICNWV74N</v>
      </c>
      <c r="O85" s="7">
        <f t="shared" si="60"/>
        <v>0</v>
      </c>
      <c r="P85" s="21">
        <f t="shared" si="69"/>
        <v>43231</v>
      </c>
      <c r="Q85" s="22">
        <f>VLOOKUP(R85,Referencias!$D$1:$E$13,2,0)</f>
        <v>5</v>
      </c>
      <c r="R85" s="7" t="str">
        <f t="shared" si="70"/>
        <v>MAI</v>
      </c>
      <c r="S85" s="7">
        <f t="shared" si="61"/>
        <v>0</v>
      </c>
      <c r="T85" s="11">
        <f t="shared" si="71"/>
        <v>11</v>
      </c>
      <c r="U85" s="11">
        <f t="shared" si="62"/>
        <v>0</v>
      </c>
      <c r="V85" s="11" t="str">
        <f>VLOOKUP(C85,Referencias!$A$2:$B$33,2,1)</f>
        <v>23 - 24</v>
      </c>
      <c r="W85" s="23" t="str">
        <f t="shared" si="75"/>
        <v/>
      </c>
      <c r="X85" s="11">
        <f t="shared" si="63"/>
        <v>0</v>
      </c>
      <c r="Y85" s="11">
        <f t="shared" si="72"/>
        <v>0</v>
      </c>
      <c r="Z85" s="24">
        <f t="shared" si="73"/>
        <v>0</v>
      </c>
      <c r="AA85" s="25">
        <f t="shared" si="74"/>
        <v>0</v>
      </c>
      <c r="AB85" s="24">
        <f t="shared" si="64"/>
        <v>0</v>
      </c>
      <c r="AC85" s="24">
        <f t="shared" si="65"/>
        <v>0</v>
      </c>
      <c r="AD85" s="24">
        <f t="shared" si="66"/>
        <v>0</v>
      </c>
      <c r="AE85" s="24">
        <f t="shared" si="67"/>
        <v>0</v>
      </c>
      <c r="AF85" s="119" t="str">
        <f>VLOOKUP(P85*1,Referencias!$G:$H,2,0)</f>
        <v>sex</v>
      </c>
      <c r="AZ85" s="35" t="s">
        <v>130</v>
      </c>
      <c r="BA85" s="29">
        <v>2.9166666666666664E-2</v>
      </c>
      <c r="BB85" s="30">
        <v>3.57</v>
      </c>
      <c r="BC85" s="30">
        <v>5.71</v>
      </c>
      <c r="BD85" s="31">
        <v>1</v>
      </c>
      <c r="BF85"/>
      <c r="BG85"/>
      <c r="BH85"/>
      <c r="BI85"/>
      <c r="BR85" s="10"/>
      <c r="BS85" s="10"/>
      <c r="BZ85" s="112"/>
      <c r="CA85" s="112"/>
      <c r="CB85" s="112"/>
      <c r="CC85" s="112"/>
      <c r="CD85" s="112"/>
    </row>
    <row r="86" spans="1:82" ht="15" thickBot="1" x14ac:dyDescent="0.35">
      <c r="A86" s="40"/>
      <c r="B86" s="40"/>
      <c r="C86" s="40"/>
      <c r="D86" s="40"/>
      <c r="E86" s="40"/>
      <c r="F86" s="40"/>
      <c r="G86" s="40"/>
      <c r="H86" s="40"/>
      <c r="I86" s="40"/>
      <c r="J86" s="41"/>
      <c r="K86" s="41"/>
      <c r="L86" s="41"/>
      <c r="M86" s="41"/>
      <c r="N86" s="7" t="str">
        <f t="shared" si="68"/>
        <v>#LICNWV74N</v>
      </c>
      <c r="O86" s="7">
        <f t="shared" si="60"/>
        <v>0</v>
      </c>
      <c r="P86" s="21">
        <f t="shared" si="69"/>
        <v>43231</v>
      </c>
      <c r="Q86" s="22">
        <f>VLOOKUP(R86,Referencias!$D$1:$E$13,2,0)</f>
        <v>5</v>
      </c>
      <c r="R86" s="7" t="str">
        <f t="shared" si="70"/>
        <v>MAI</v>
      </c>
      <c r="S86" s="7">
        <f t="shared" si="61"/>
        <v>0</v>
      </c>
      <c r="T86" s="11">
        <f t="shared" si="71"/>
        <v>11</v>
      </c>
      <c r="U86" s="11">
        <f t="shared" si="62"/>
        <v>0</v>
      </c>
      <c r="V86" s="11" t="e">
        <f>VLOOKUP(C86,Referencias!$A$2:$B$33,2,1)</f>
        <v>#N/A</v>
      </c>
      <c r="W86" s="23" t="str">
        <f t="shared" si="75"/>
        <v/>
      </c>
      <c r="X86" s="11">
        <f t="shared" si="63"/>
        <v>0</v>
      </c>
      <c r="Y86" s="11">
        <f t="shared" si="72"/>
        <v>0</v>
      </c>
      <c r="Z86" s="24">
        <f t="shared" si="73"/>
        <v>0</v>
      </c>
      <c r="AA86" s="25">
        <f t="shared" si="74"/>
        <v>0</v>
      </c>
      <c r="AB86" s="24">
        <f t="shared" si="64"/>
        <v>0</v>
      </c>
      <c r="AC86" s="24">
        <f t="shared" si="65"/>
        <v>0</v>
      </c>
      <c r="AD86" s="24">
        <f t="shared" si="66"/>
        <v>0</v>
      </c>
      <c r="AE86" s="24">
        <f t="shared" si="67"/>
        <v>0</v>
      </c>
      <c r="AF86" s="119" t="str">
        <f>VLOOKUP(P86*1,Referencias!$G:$H,2,0)</f>
        <v>sex</v>
      </c>
      <c r="AZ86" s="118">
        <v>43239</v>
      </c>
      <c r="BA86" s="29">
        <v>0.18194444444444446</v>
      </c>
      <c r="BB86" s="30">
        <v>29.07</v>
      </c>
      <c r="BC86" s="30">
        <v>43.970000000000006</v>
      </c>
      <c r="BD86" s="31">
        <v>7</v>
      </c>
      <c r="BF86"/>
      <c r="BG86"/>
      <c r="BH86"/>
      <c r="BI86"/>
      <c r="BR86" s="10"/>
      <c r="BS86" s="10"/>
      <c r="BZ86" s="112"/>
      <c r="CA86" s="112"/>
      <c r="CB86" s="112"/>
      <c r="CC86" s="112"/>
      <c r="CD86" s="112"/>
    </row>
    <row r="87" spans="1:82" ht="14.4" x14ac:dyDescent="0.3">
      <c r="A87" s="16">
        <v>12</v>
      </c>
      <c r="B87" s="45" t="s">
        <v>63</v>
      </c>
      <c r="C87" s="18">
        <v>0.51249999999999996</v>
      </c>
      <c r="D87" s="46">
        <v>14.35</v>
      </c>
      <c r="E87" s="46" t="s">
        <v>36</v>
      </c>
      <c r="F87" s="46"/>
      <c r="G87" s="47">
        <v>6.52</v>
      </c>
      <c r="H87" s="48">
        <v>92.77</v>
      </c>
      <c r="I87" s="46"/>
      <c r="J87" s="7"/>
      <c r="K87" s="7"/>
      <c r="L87" s="7"/>
      <c r="M87" s="7"/>
      <c r="N87" s="7" t="str">
        <f t="shared" si="68"/>
        <v>#LITWQUWG4</v>
      </c>
      <c r="O87" s="7" t="str">
        <f t="shared" si="60"/>
        <v>#LITWQUWG4</v>
      </c>
      <c r="P87" s="21">
        <f t="shared" si="69"/>
        <v>43232</v>
      </c>
      <c r="Q87" s="22">
        <f>VLOOKUP(R87,Referencias!$D$1:$E$13,2,0)</f>
        <v>5</v>
      </c>
      <c r="R87" s="7" t="str">
        <f t="shared" si="70"/>
        <v>MAI</v>
      </c>
      <c r="S87" s="7" t="str">
        <f t="shared" si="61"/>
        <v>MAI</v>
      </c>
      <c r="T87" s="11">
        <f t="shared" si="71"/>
        <v>12</v>
      </c>
      <c r="U87" s="11">
        <f t="shared" si="62"/>
        <v>12</v>
      </c>
      <c r="V87" s="11" t="str">
        <f>VLOOKUP(C87,Referencias!$A$2:$B$33,2,1)</f>
        <v>12 - 13</v>
      </c>
      <c r="W87" s="23">
        <f t="shared" si="75"/>
        <v>4.2361111111111072E-2</v>
      </c>
      <c r="X87" s="11">
        <f t="shared" si="63"/>
        <v>14.35</v>
      </c>
      <c r="Y87" s="11">
        <f t="shared" si="72"/>
        <v>25.341142878061277</v>
      </c>
      <c r="Z87" s="24">
        <f t="shared" si="73"/>
        <v>6.52</v>
      </c>
      <c r="AA87" s="25">
        <f t="shared" si="74"/>
        <v>6.4131147540983662</v>
      </c>
      <c r="AB87" s="24">
        <f t="shared" si="64"/>
        <v>1</v>
      </c>
      <c r="AC87" s="24">
        <f t="shared" si="65"/>
        <v>4.2715663751093933</v>
      </c>
      <c r="AD87" s="24">
        <f t="shared" si="66"/>
        <v>5.1753259295488681</v>
      </c>
      <c r="AE87" s="24">
        <f t="shared" si="67"/>
        <v>6.1361449752883024</v>
      </c>
      <c r="AF87" s="119" t="str">
        <f>VLOOKUP(P87*1,Referencias!$G:$H,2,0)</f>
        <v>sáb</v>
      </c>
      <c r="AZ87" s="35" t="s">
        <v>137</v>
      </c>
      <c r="BA87" s="29">
        <v>2.0833333333333332E-2</v>
      </c>
      <c r="BB87" s="30">
        <v>3.51</v>
      </c>
      <c r="BC87" s="30">
        <v>5.28</v>
      </c>
      <c r="BD87" s="31">
        <v>1</v>
      </c>
      <c r="BF87"/>
      <c r="BG87"/>
      <c r="BH87"/>
      <c r="BI87"/>
      <c r="BR87" s="10"/>
      <c r="BS87" s="10"/>
    </row>
    <row r="88" spans="1:82" ht="14.4" x14ac:dyDescent="0.3">
      <c r="A88" s="16" t="s">
        <v>19</v>
      </c>
      <c r="B88" s="17"/>
      <c r="C88" s="18">
        <v>0.55486111111111103</v>
      </c>
      <c r="D88" s="7"/>
      <c r="E88" s="7"/>
      <c r="F88" s="7"/>
      <c r="G88" s="19"/>
      <c r="H88" s="20"/>
      <c r="I88" s="7"/>
      <c r="J88" s="7"/>
      <c r="K88" s="7"/>
      <c r="L88" s="7"/>
      <c r="M88" s="7"/>
      <c r="N88" s="7" t="str">
        <f t="shared" si="68"/>
        <v>#LITWQUWG4</v>
      </c>
      <c r="O88" s="7">
        <f t="shared" si="60"/>
        <v>0</v>
      </c>
      <c r="P88" s="21">
        <f t="shared" si="69"/>
        <v>43232</v>
      </c>
      <c r="Q88" s="22">
        <f>VLOOKUP(R88,Referencias!$D$1:$E$13,2,0)</f>
        <v>5</v>
      </c>
      <c r="R88" s="7" t="str">
        <f t="shared" si="70"/>
        <v>MAI</v>
      </c>
      <c r="S88" s="7">
        <f t="shared" si="61"/>
        <v>0</v>
      </c>
      <c r="T88" s="11">
        <f t="shared" si="71"/>
        <v>12</v>
      </c>
      <c r="U88" s="11">
        <f t="shared" si="62"/>
        <v>0</v>
      </c>
      <c r="V88" s="11" t="str">
        <f>VLOOKUP(C88,Referencias!$A$2:$B$33,2,1)</f>
        <v>13 - 14</v>
      </c>
      <c r="W88" s="23" t="str">
        <f t="shared" si="75"/>
        <v/>
      </c>
      <c r="X88" s="11">
        <f t="shared" si="63"/>
        <v>0</v>
      </c>
      <c r="Y88" s="11">
        <f t="shared" si="72"/>
        <v>0</v>
      </c>
      <c r="Z88" s="24">
        <f t="shared" si="73"/>
        <v>0</v>
      </c>
      <c r="AA88" s="25">
        <f t="shared" si="74"/>
        <v>0</v>
      </c>
      <c r="AB88" s="24">
        <f t="shared" si="64"/>
        <v>0</v>
      </c>
      <c r="AC88" s="24">
        <f t="shared" si="65"/>
        <v>0</v>
      </c>
      <c r="AD88" s="24">
        <f t="shared" si="66"/>
        <v>0</v>
      </c>
      <c r="AE88" s="24">
        <f t="shared" si="67"/>
        <v>0</v>
      </c>
      <c r="AF88" s="119" t="str">
        <f>VLOOKUP(P88*1,Referencias!$G:$H,2,0)</f>
        <v>sáb</v>
      </c>
      <c r="AZ88" s="35" t="s">
        <v>144</v>
      </c>
      <c r="BA88" s="29">
        <v>3.2638888888888891E-2</v>
      </c>
      <c r="BB88" s="30">
        <v>3.92</v>
      </c>
      <c r="BC88" s="30">
        <v>6.94</v>
      </c>
      <c r="BD88" s="31">
        <v>1</v>
      </c>
      <c r="BF88"/>
      <c r="BG88"/>
      <c r="BH88"/>
      <c r="BI88"/>
      <c r="BR88" s="10"/>
      <c r="BS88" s="10"/>
    </row>
    <row r="89" spans="1:82" ht="14.4" x14ac:dyDescent="0.3">
      <c r="A89" s="36"/>
      <c r="B89" s="36"/>
      <c r="C89" s="36"/>
      <c r="D89" s="36"/>
      <c r="E89" s="36"/>
      <c r="F89" s="36"/>
      <c r="G89" s="36"/>
      <c r="H89" s="36"/>
      <c r="I89" s="36"/>
      <c r="J89" s="37"/>
      <c r="K89" s="37"/>
      <c r="L89" s="37"/>
      <c r="M89" s="37"/>
      <c r="N89" s="7" t="str">
        <f t="shared" si="68"/>
        <v>#LITWQUWG4</v>
      </c>
      <c r="O89" s="7">
        <f t="shared" si="60"/>
        <v>0</v>
      </c>
      <c r="P89" s="21">
        <f t="shared" si="69"/>
        <v>43232</v>
      </c>
      <c r="Q89" s="22">
        <f>VLOOKUP(R89,Referencias!$D$1:$E$13,2,0)</f>
        <v>5</v>
      </c>
      <c r="R89" s="7" t="str">
        <f t="shared" si="70"/>
        <v>MAI</v>
      </c>
      <c r="S89" s="7">
        <f t="shared" si="61"/>
        <v>0</v>
      </c>
      <c r="T89" s="11">
        <f t="shared" si="71"/>
        <v>12</v>
      </c>
      <c r="U89" s="11">
        <f t="shared" si="62"/>
        <v>0</v>
      </c>
      <c r="V89" s="11" t="e">
        <f>VLOOKUP(C89,Referencias!$A$2:$B$33,2,1)</f>
        <v>#N/A</v>
      </c>
      <c r="W89" s="23" t="str">
        <f t="shared" si="75"/>
        <v/>
      </c>
      <c r="X89" s="11">
        <f t="shared" si="63"/>
        <v>0</v>
      </c>
      <c r="Y89" s="11">
        <f t="shared" si="72"/>
        <v>0</v>
      </c>
      <c r="Z89" s="24">
        <f t="shared" si="73"/>
        <v>0</v>
      </c>
      <c r="AA89" s="25">
        <f t="shared" si="74"/>
        <v>0</v>
      </c>
      <c r="AB89" s="24">
        <f t="shared" si="64"/>
        <v>0</v>
      </c>
      <c r="AC89" s="24">
        <f t="shared" si="65"/>
        <v>0</v>
      </c>
      <c r="AD89" s="24">
        <f t="shared" si="66"/>
        <v>0</v>
      </c>
      <c r="AE89" s="24">
        <f t="shared" si="67"/>
        <v>0</v>
      </c>
      <c r="AF89" s="119" t="str">
        <f>VLOOKUP(P89*1,Referencias!$G:$H,2,0)</f>
        <v>sáb</v>
      </c>
      <c r="AZ89" s="35" t="s">
        <v>138</v>
      </c>
      <c r="BA89" s="29">
        <v>2.1527777777777781E-2</v>
      </c>
      <c r="BB89" s="30">
        <v>4.4800000000000004</v>
      </c>
      <c r="BC89" s="30">
        <v>6.33</v>
      </c>
      <c r="BD89" s="31">
        <v>1</v>
      </c>
      <c r="BF89"/>
      <c r="BG89"/>
      <c r="BH89"/>
      <c r="BI89"/>
      <c r="BR89" s="10"/>
      <c r="BS89" s="10"/>
    </row>
    <row r="90" spans="1:82" ht="14.4" x14ac:dyDescent="0.3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7" t="str">
        <f t="shared" si="68"/>
        <v>#LITWQUWG4</v>
      </c>
      <c r="O90" s="7">
        <f t="shared" si="60"/>
        <v>0</v>
      </c>
      <c r="P90" s="21">
        <f t="shared" si="69"/>
        <v>43232</v>
      </c>
      <c r="Q90" s="22">
        <f>VLOOKUP(R90,Referencias!$D$1:$E$13,2,0)</f>
        <v>5</v>
      </c>
      <c r="R90" s="7" t="str">
        <f t="shared" si="70"/>
        <v>MAI</v>
      </c>
      <c r="S90" s="7">
        <f t="shared" si="61"/>
        <v>0</v>
      </c>
      <c r="T90" s="11">
        <f t="shared" si="71"/>
        <v>12</v>
      </c>
      <c r="U90" s="11">
        <f t="shared" si="62"/>
        <v>0</v>
      </c>
      <c r="V90" s="11" t="e">
        <f>VLOOKUP(C90,Referencias!$A$2:$B$33,2,1)</f>
        <v>#N/A</v>
      </c>
      <c r="W90" s="23" t="str">
        <f t="shared" si="75"/>
        <v/>
      </c>
      <c r="X90" s="11">
        <f t="shared" si="63"/>
        <v>0</v>
      </c>
      <c r="Y90" s="11">
        <f t="shared" si="72"/>
        <v>0</v>
      </c>
      <c r="Z90" s="24">
        <f t="shared" si="73"/>
        <v>0</v>
      </c>
      <c r="AA90" s="25">
        <f t="shared" si="74"/>
        <v>0</v>
      </c>
      <c r="AB90" s="24">
        <f t="shared" si="64"/>
        <v>0</v>
      </c>
      <c r="AC90" s="24">
        <f t="shared" si="65"/>
        <v>0</v>
      </c>
      <c r="AD90" s="24">
        <f t="shared" si="66"/>
        <v>0</v>
      </c>
      <c r="AE90" s="24">
        <f t="shared" si="67"/>
        <v>0</v>
      </c>
      <c r="AF90" s="119" t="str">
        <f>VLOOKUP(P90*1,Referencias!$G:$H,2,0)</f>
        <v>sáb</v>
      </c>
      <c r="AZ90" s="35" t="s">
        <v>142</v>
      </c>
      <c r="BA90" s="29">
        <v>4.4444444444444446E-2</v>
      </c>
      <c r="BB90" s="30">
        <v>3.18</v>
      </c>
      <c r="BC90" s="30">
        <v>4.8099999999999996</v>
      </c>
      <c r="BD90" s="31">
        <v>1</v>
      </c>
      <c r="BF90"/>
      <c r="BG90"/>
      <c r="BH90"/>
      <c r="BI90"/>
      <c r="BR90" s="10"/>
      <c r="BS90" s="10"/>
    </row>
    <row r="91" spans="1:82" ht="14.4" x14ac:dyDescent="0.3">
      <c r="A91" s="16"/>
      <c r="B91" s="17" t="s">
        <v>64</v>
      </c>
      <c r="C91" s="18">
        <v>0.55486111111111103</v>
      </c>
      <c r="D91" s="7">
        <v>8.67</v>
      </c>
      <c r="E91" s="7" t="s">
        <v>17</v>
      </c>
      <c r="F91" s="7"/>
      <c r="G91" s="19">
        <v>4.53</v>
      </c>
      <c r="H91" s="20">
        <v>97.3</v>
      </c>
      <c r="I91" s="7"/>
      <c r="J91" s="7"/>
      <c r="K91" s="7"/>
      <c r="L91" s="7"/>
      <c r="M91" s="7"/>
      <c r="N91" s="7" t="str">
        <f t="shared" si="68"/>
        <v>#LIMYWQ1QY</v>
      </c>
      <c r="O91" s="7" t="str">
        <f t="shared" si="60"/>
        <v>#LIMYWQ1QY</v>
      </c>
      <c r="P91" s="21">
        <f t="shared" si="69"/>
        <v>43232</v>
      </c>
      <c r="Q91" s="22">
        <f>VLOOKUP(R91,Referencias!$D$1:$E$13,2,0)</f>
        <v>5</v>
      </c>
      <c r="R91" s="7" t="str">
        <f t="shared" si="70"/>
        <v>MAI</v>
      </c>
      <c r="S91" s="7">
        <f t="shared" si="61"/>
        <v>0</v>
      </c>
      <c r="T91" s="11">
        <f t="shared" si="71"/>
        <v>12</v>
      </c>
      <c r="U91" s="11">
        <f t="shared" si="62"/>
        <v>0</v>
      </c>
      <c r="V91" s="11" t="str">
        <f>VLOOKUP(C91,Referencias!$A$2:$B$33,2,1)</f>
        <v>13 - 14</v>
      </c>
      <c r="W91" s="23">
        <f t="shared" si="75"/>
        <v>2.5000000000000022E-2</v>
      </c>
      <c r="X91" s="11">
        <f t="shared" si="63"/>
        <v>8.67</v>
      </c>
      <c r="Y91" s="11">
        <f t="shared" si="72"/>
        <v>15.310641724933191</v>
      </c>
      <c r="Z91" s="24">
        <f t="shared" si="73"/>
        <v>4.53</v>
      </c>
      <c r="AA91" s="25">
        <f t="shared" si="74"/>
        <v>7.5499999999999936</v>
      </c>
      <c r="AB91" s="24">
        <f t="shared" si="64"/>
        <v>1</v>
      </c>
      <c r="AC91" s="24">
        <f t="shared" si="65"/>
        <v>2.9678214231971709</v>
      </c>
      <c r="AD91" s="24">
        <f t="shared" si="66"/>
        <v>3.5957402547325725</v>
      </c>
      <c r="AE91" s="24">
        <f t="shared" si="67"/>
        <v>4.2633031806834376</v>
      </c>
      <c r="AF91" s="119" t="str">
        <f>VLOOKUP(P91*1,Referencias!$G:$H,2,0)</f>
        <v>sáb</v>
      </c>
      <c r="AZ91" s="35" t="s">
        <v>139</v>
      </c>
      <c r="BA91" s="29">
        <v>2.2222222222222223E-2</v>
      </c>
      <c r="BB91" s="30">
        <v>5.52</v>
      </c>
      <c r="BC91" s="30">
        <v>8.56</v>
      </c>
      <c r="BD91" s="31">
        <v>1</v>
      </c>
      <c r="BF91"/>
      <c r="BG91"/>
      <c r="BH91"/>
      <c r="BI91"/>
      <c r="BR91" s="10"/>
      <c r="BS91" s="10"/>
    </row>
    <row r="92" spans="1:82" ht="14.4" x14ac:dyDescent="0.3">
      <c r="A92" s="16"/>
      <c r="B92" s="17"/>
      <c r="C92" s="18">
        <v>0.57986111111111105</v>
      </c>
      <c r="D92" s="7"/>
      <c r="E92" s="7"/>
      <c r="F92" s="7"/>
      <c r="G92" s="19"/>
      <c r="H92" s="20"/>
      <c r="I92" s="7"/>
      <c r="J92" s="7"/>
      <c r="K92" s="7"/>
      <c r="L92" s="7"/>
      <c r="M92" s="7"/>
      <c r="N92" s="7" t="str">
        <f t="shared" si="68"/>
        <v>#LIMYWQ1QY</v>
      </c>
      <c r="O92" s="7">
        <f t="shared" si="60"/>
        <v>0</v>
      </c>
      <c r="P92" s="21">
        <f t="shared" si="69"/>
        <v>43232</v>
      </c>
      <c r="Q92" s="22">
        <f>VLOOKUP(R92,Referencias!$D$1:$E$13,2,0)</f>
        <v>5</v>
      </c>
      <c r="R92" s="7" t="str">
        <f t="shared" si="70"/>
        <v>MAI</v>
      </c>
      <c r="S92" s="7">
        <f t="shared" si="61"/>
        <v>0</v>
      </c>
      <c r="T92" s="11">
        <f t="shared" si="71"/>
        <v>12</v>
      </c>
      <c r="U92" s="11">
        <f t="shared" si="62"/>
        <v>0</v>
      </c>
      <c r="V92" s="11" t="str">
        <f>VLOOKUP(C92,Referencias!$A$2:$B$33,2,1)</f>
        <v>13 - 14</v>
      </c>
      <c r="W92" s="23" t="str">
        <f t="shared" si="75"/>
        <v/>
      </c>
      <c r="X92" s="11">
        <f t="shared" si="63"/>
        <v>0</v>
      </c>
      <c r="Y92" s="11">
        <f t="shared" si="72"/>
        <v>0</v>
      </c>
      <c r="Z92" s="24">
        <f t="shared" si="73"/>
        <v>0</v>
      </c>
      <c r="AA92" s="25">
        <f t="shared" si="74"/>
        <v>0</v>
      </c>
      <c r="AB92" s="24">
        <f t="shared" si="64"/>
        <v>0</v>
      </c>
      <c r="AC92" s="24">
        <f t="shared" si="65"/>
        <v>0</v>
      </c>
      <c r="AD92" s="24">
        <f t="shared" si="66"/>
        <v>0</v>
      </c>
      <c r="AE92" s="24">
        <f t="shared" si="67"/>
        <v>0</v>
      </c>
      <c r="AF92" s="119" t="str">
        <f>VLOOKUP(P92*1,Referencias!$G:$H,2,0)</f>
        <v>sáb</v>
      </c>
      <c r="AZ92" s="35" t="s">
        <v>143</v>
      </c>
      <c r="BA92" s="29">
        <v>9.0277777777777787E-3</v>
      </c>
      <c r="BB92" s="30">
        <v>4.4400000000000004</v>
      </c>
      <c r="BC92" s="30">
        <v>8.42</v>
      </c>
      <c r="BD92" s="31">
        <v>1</v>
      </c>
      <c r="BF92"/>
      <c r="BG92"/>
      <c r="BH92"/>
      <c r="BI92"/>
      <c r="BR92" s="10"/>
      <c r="BS92" s="10"/>
    </row>
    <row r="93" spans="1:82" ht="14.4" x14ac:dyDescent="0.3">
      <c r="A93" s="36"/>
      <c r="B93" s="36"/>
      <c r="C93" s="36"/>
      <c r="D93" s="36"/>
      <c r="E93" s="36"/>
      <c r="F93" s="36"/>
      <c r="G93" s="36"/>
      <c r="H93" s="36"/>
      <c r="I93" s="36"/>
      <c r="J93" s="37"/>
      <c r="K93" s="37"/>
      <c r="L93" s="37"/>
      <c r="M93" s="37"/>
      <c r="N93" s="7" t="str">
        <f t="shared" si="68"/>
        <v>#LIMYWQ1QY</v>
      </c>
      <c r="O93" s="7">
        <f t="shared" si="60"/>
        <v>0</v>
      </c>
      <c r="P93" s="21">
        <f t="shared" si="69"/>
        <v>43232</v>
      </c>
      <c r="Q93" s="22">
        <f>VLOOKUP(R93,Referencias!$D$1:$E$13,2,0)</f>
        <v>5</v>
      </c>
      <c r="R93" s="7" t="str">
        <f t="shared" si="70"/>
        <v>MAI</v>
      </c>
      <c r="S93" s="7">
        <f t="shared" si="61"/>
        <v>0</v>
      </c>
      <c r="T93" s="11">
        <f t="shared" si="71"/>
        <v>12</v>
      </c>
      <c r="U93" s="11">
        <f t="shared" si="62"/>
        <v>0</v>
      </c>
      <c r="V93" s="11" t="e">
        <f>VLOOKUP(C93,Referencias!$A$2:$B$33,2,1)</f>
        <v>#N/A</v>
      </c>
      <c r="W93" s="23" t="str">
        <f t="shared" si="75"/>
        <v/>
      </c>
      <c r="X93" s="11">
        <f t="shared" si="63"/>
        <v>0</v>
      </c>
      <c r="Y93" s="11">
        <f t="shared" si="72"/>
        <v>0</v>
      </c>
      <c r="Z93" s="24">
        <f t="shared" si="73"/>
        <v>0</v>
      </c>
      <c r="AA93" s="25">
        <f t="shared" si="74"/>
        <v>0</v>
      </c>
      <c r="AB93" s="24">
        <f t="shared" si="64"/>
        <v>0</v>
      </c>
      <c r="AC93" s="24">
        <f t="shared" si="65"/>
        <v>0</v>
      </c>
      <c r="AD93" s="24">
        <f t="shared" si="66"/>
        <v>0</v>
      </c>
      <c r="AE93" s="24">
        <f t="shared" si="67"/>
        <v>0</v>
      </c>
      <c r="AF93" s="119" t="str">
        <f>VLOOKUP(P93*1,Referencias!$G:$H,2,0)</f>
        <v>sáb</v>
      </c>
      <c r="AZ93" s="35" t="s">
        <v>140</v>
      </c>
      <c r="BA93" s="29">
        <v>3.125E-2</v>
      </c>
      <c r="BB93" s="30">
        <v>4.0199999999999996</v>
      </c>
      <c r="BC93" s="30">
        <v>3.63</v>
      </c>
      <c r="BD93" s="31">
        <v>1</v>
      </c>
      <c r="BF93"/>
      <c r="BG93"/>
      <c r="BH93"/>
      <c r="BI93"/>
      <c r="BR93" s="10"/>
      <c r="BS93" s="10"/>
    </row>
    <row r="94" spans="1:82" ht="14.4" x14ac:dyDescent="0.3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7" t="str">
        <f t="shared" si="68"/>
        <v>#LIMYWQ1QY</v>
      </c>
      <c r="O94" s="7">
        <f t="shared" si="60"/>
        <v>0</v>
      </c>
      <c r="P94" s="21">
        <f t="shared" si="69"/>
        <v>43232</v>
      </c>
      <c r="Q94" s="22">
        <f>VLOOKUP(R94,Referencias!$D$1:$E$13,2,0)</f>
        <v>5</v>
      </c>
      <c r="R94" s="7" t="str">
        <f t="shared" si="70"/>
        <v>MAI</v>
      </c>
      <c r="S94" s="7">
        <f t="shared" si="61"/>
        <v>0</v>
      </c>
      <c r="T94" s="11">
        <f t="shared" si="71"/>
        <v>12</v>
      </c>
      <c r="U94" s="11">
        <f t="shared" si="62"/>
        <v>0</v>
      </c>
      <c r="V94" s="11" t="e">
        <f>VLOOKUP(C94,Referencias!$A$2:$B$33,2,1)</f>
        <v>#N/A</v>
      </c>
      <c r="W94" s="23" t="str">
        <f t="shared" si="75"/>
        <v/>
      </c>
      <c r="X94" s="11">
        <f t="shared" si="63"/>
        <v>0</v>
      </c>
      <c r="Y94" s="11">
        <f t="shared" si="72"/>
        <v>0</v>
      </c>
      <c r="Z94" s="24">
        <f t="shared" si="73"/>
        <v>0</v>
      </c>
      <c r="AA94" s="25">
        <f t="shared" si="74"/>
        <v>0</v>
      </c>
      <c r="AB94" s="24">
        <f t="shared" si="64"/>
        <v>0</v>
      </c>
      <c r="AC94" s="24">
        <f t="shared" si="65"/>
        <v>0</v>
      </c>
      <c r="AD94" s="24">
        <f t="shared" si="66"/>
        <v>0</v>
      </c>
      <c r="AE94" s="24">
        <f t="shared" si="67"/>
        <v>0</v>
      </c>
      <c r="AF94" s="119" t="str">
        <f>VLOOKUP(P94*1,Referencias!$G:$H,2,0)</f>
        <v>sáb</v>
      </c>
      <c r="AZ94" s="118">
        <v>43240</v>
      </c>
      <c r="BA94" s="29">
        <v>0.20694444444444443</v>
      </c>
      <c r="BB94" s="30">
        <v>32.82</v>
      </c>
      <c r="BC94" s="30">
        <v>47.67</v>
      </c>
      <c r="BD94" s="31">
        <v>8</v>
      </c>
      <c r="BF94"/>
      <c r="BG94"/>
      <c r="BH94"/>
      <c r="BI94"/>
      <c r="BR94" s="10"/>
      <c r="BS94" s="10"/>
    </row>
    <row r="95" spans="1:82" ht="14.4" x14ac:dyDescent="0.3">
      <c r="A95" s="16"/>
      <c r="B95" s="17" t="s">
        <v>65</v>
      </c>
      <c r="C95" s="18">
        <v>0.57986111111111105</v>
      </c>
      <c r="D95" s="7">
        <v>5.84</v>
      </c>
      <c r="E95" s="7" t="s">
        <v>66</v>
      </c>
      <c r="F95" s="7"/>
      <c r="G95" s="19">
        <v>4.4000000000000004</v>
      </c>
      <c r="H95" s="20">
        <v>101.7</v>
      </c>
      <c r="I95" s="7"/>
      <c r="J95" s="7"/>
      <c r="K95" s="7"/>
      <c r="L95" s="7"/>
      <c r="M95" s="7"/>
      <c r="N95" s="7" t="str">
        <f t="shared" si="68"/>
        <v>#LI74KQMXA</v>
      </c>
      <c r="O95" s="7" t="str">
        <f t="shared" si="60"/>
        <v>#LI74KQMXA</v>
      </c>
      <c r="P95" s="21">
        <f t="shared" si="69"/>
        <v>43232</v>
      </c>
      <c r="Q95" s="22">
        <f>VLOOKUP(R95,Referencias!$D$1:$E$13,2,0)</f>
        <v>5</v>
      </c>
      <c r="R95" s="7" t="str">
        <f t="shared" si="70"/>
        <v>MAI</v>
      </c>
      <c r="S95" s="7">
        <f t="shared" si="61"/>
        <v>0</v>
      </c>
      <c r="T95" s="11">
        <f t="shared" si="71"/>
        <v>12</v>
      </c>
      <c r="U95" s="11">
        <f t="shared" si="62"/>
        <v>0</v>
      </c>
      <c r="V95" s="11" t="str">
        <f>VLOOKUP(C95,Referencias!$A$2:$B$33,2,1)</f>
        <v>13 - 14</v>
      </c>
      <c r="W95" s="23">
        <f t="shared" si="75"/>
        <v>2.9166666666666785E-2</v>
      </c>
      <c r="X95" s="11">
        <f t="shared" si="63"/>
        <v>5.84</v>
      </c>
      <c r="Y95" s="11">
        <f t="shared" si="72"/>
        <v>10.313050481385217</v>
      </c>
      <c r="Z95" s="24">
        <f t="shared" si="73"/>
        <v>4.4000000000000004</v>
      </c>
      <c r="AA95" s="25">
        <f t="shared" si="74"/>
        <v>6.2857142857142616</v>
      </c>
      <c r="AB95" s="24">
        <f t="shared" si="64"/>
        <v>1</v>
      </c>
      <c r="AC95" s="24">
        <f t="shared" si="65"/>
        <v>2.8826521549818001</v>
      </c>
      <c r="AD95" s="24">
        <f t="shared" si="66"/>
        <v>3.49255124079985</v>
      </c>
      <c r="AE95" s="24">
        <f t="shared" si="67"/>
        <v>4.140956731789653</v>
      </c>
      <c r="AF95" s="119" t="str">
        <f>VLOOKUP(P95*1,Referencias!$G:$H,2,0)</f>
        <v>sáb</v>
      </c>
      <c r="AZ95" s="35" t="s">
        <v>149</v>
      </c>
      <c r="BA95" s="29">
        <v>2.013888888888889E-2</v>
      </c>
      <c r="BB95" s="30">
        <v>3.66</v>
      </c>
      <c r="BC95" s="30">
        <v>6.19</v>
      </c>
      <c r="BD95" s="31">
        <v>1</v>
      </c>
      <c r="BF95"/>
      <c r="BG95"/>
      <c r="BH95"/>
      <c r="BI95"/>
      <c r="BR95" s="10"/>
      <c r="BS95" s="10"/>
    </row>
    <row r="96" spans="1:82" ht="14.4" x14ac:dyDescent="0.3">
      <c r="A96" s="16"/>
      <c r="B96" s="17"/>
      <c r="C96" s="18">
        <v>0.60902777777777783</v>
      </c>
      <c r="D96" s="7"/>
      <c r="E96" s="7"/>
      <c r="F96" s="7"/>
      <c r="G96" s="19"/>
      <c r="H96" s="20"/>
      <c r="I96" s="7"/>
      <c r="J96" s="7"/>
      <c r="K96" s="7"/>
      <c r="L96" s="7"/>
      <c r="M96" s="7"/>
      <c r="N96" s="7" t="str">
        <f t="shared" si="68"/>
        <v>#LI74KQMXA</v>
      </c>
      <c r="O96" s="7">
        <f t="shared" si="60"/>
        <v>0</v>
      </c>
      <c r="P96" s="21">
        <f t="shared" si="69"/>
        <v>43232</v>
      </c>
      <c r="Q96" s="22">
        <f>VLOOKUP(R96,Referencias!$D$1:$E$13,2,0)</f>
        <v>5</v>
      </c>
      <c r="R96" s="7" t="str">
        <f t="shared" si="70"/>
        <v>MAI</v>
      </c>
      <c r="S96" s="7">
        <f t="shared" si="61"/>
        <v>0</v>
      </c>
      <c r="T96" s="11">
        <f t="shared" si="71"/>
        <v>12</v>
      </c>
      <c r="U96" s="11">
        <f t="shared" si="62"/>
        <v>0</v>
      </c>
      <c r="V96" s="11" t="str">
        <f>VLOOKUP(C96,Referencias!$A$2:$B$33,2,1)</f>
        <v>14 - 15</v>
      </c>
      <c r="W96" s="23" t="str">
        <f t="shared" si="75"/>
        <v/>
      </c>
      <c r="X96" s="11">
        <f t="shared" si="63"/>
        <v>0</v>
      </c>
      <c r="Y96" s="11">
        <f t="shared" si="72"/>
        <v>0</v>
      </c>
      <c r="Z96" s="24">
        <f t="shared" si="73"/>
        <v>0</v>
      </c>
      <c r="AA96" s="25">
        <f t="shared" si="74"/>
        <v>0</v>
      </c>
      <c r="AB96" s="24">
        <f t="shared" si="64"/>
        <v>0</v>
      </c>
      <c r="AC96" s="24">
        <f t="shared" si="65"/>
        <v>0</v>
      </c>
      <c r="AD96" s="24">
        <f t="shared" si="66"/>
        <v>0</v>
      </c>
      <c r="AE96" s="24">
        <f t="shared" si="67"/>
        <v>0</v>
      </c>
      <c r="AF96" s="119" t="str">
        <f>VLOOKUP(P96*1,Referencias!$G:$H,2,0)</f>
        <v>sáb</v>
      </c>
      <c r="AZ96" s="35" t="s">
        <v>153</v>
      </c>
      <c r="BA96" s="29">
        <v>2.9861111111111113E-2</v>
      </c>
      <c r="BB96" s="30">
        <v>5.0199999999999996</v>
      </c>
      <c r="BC96" s="30">
        <v>7.7</v>
      </c>
      <c r="BD96" s="31">
        <v>1</v>
      </c>
      <c r="BF96"/>
      <c r="BG96"/>
      <c r="BH96"/>
      <c r="BI96"/>
      <c r="BR96" s="10"/>
      <c r="BS96" s="10"/>
    </row>
    <row r="97" spans="1:71" ht="14.4" x14ac:dyDescent="0.3">
      <c r="A97" s="36"/>
      <c r="B97" s="36"/>
      <c r="C97" s="36"/>
      <c r="D97" s="36"/>
      <c r="E97" s="36"/>
      <c r="F97" s="36"/>
      <c r="G97" s="36"/>
      <c r="H97" s="36"/>
      <c r="I97" s="36"/>
      <c r="J97" s="37"/>
      <c r="K97" s="37"/>
      <c r="L97" s="37"/>
      <c r="M97" s="37"/>
      <c r="N97" s="7" t="str">
        <f t="shared" si="68"/>
        <v>#LI74KQMXA</v>
      </c>
      <c r="O97" s="7">
        <f t="shared" si="60"/>
        <v>0</v>
      </c>
      <c r="P97" s="21">
        <f t="shared" si="69"/>
        <v>43232</v>
      </c>
      <c r="Q97" s="22">
        <f>VLOOKUP(R97,Referencias!$D$1:$E$13,2,0)</f>
        <v>5</v>
      </c>
      <c r="R97" s="7" t="str">
        <f t="shared" si="70"/>
        <v>MAI</v>
      </c>
      <c r="S97" s="7">
        <f t="shared" si="61"/>
        <v>0</v>
      </c>
      <c r="T97" s="11">
        <f t="shared" si="71"/>
        <v>12</v>
      </c>
      <c r="U97" s="11">
        <f t="shared" si="62"/>
        <v>0</v>
      </c>
      <c r="V97" s="11" t="e">
        <f>VLOOKUP(C97,Referencias!$A$2:$B$33,2,1)</f>
        <v>#N/A</v>
      </c>
      <c r="W97" s="23" t="str">
        <f t="shared" si="75"/>
        <v/>
      </c>
      <c r="X97" s="11">
        <f t="shared" si="63"/>
        <v>0</v>
      </c>
      <c r="Y97" s="11">
        <f t="shared" si="72"/>
        <v>0</v>
      </c>
      <c r="Z97" s="24">
        <f t="shared" si="73"/>
        <v>0</v>
      </c>
      <c r="AA97" s="25">
        <f t="shared" si="74"/>
        <v>0</v>
      </c>
      <c r="AB97" s="24">
        <f t="shared" si="64"/>
        <v>0</v>
      </c>
      <c r="AC97" s="24">
        <f t="shared" si="65"/>
        <v>0</v>
      </c>
      <c r="AD97" s="24">
        <f t="shared" si="66"/>
        <v>0</v>
      </c>
      <c r="AE97" s="24">
        <f t="shared" si="67"/>
        <v>0</v>
      </c>
      <c r="AF97" s="119" t="str">
        <f>VLOOKUP(P97*1,Referencias!$G:$H,2,0)</f>
        <v>sáb</v>
      </c>
      <c r="AZ97" s="35" t="s">
        <v>150</v>
      </c>
      <c r="BA97" s="29">
        <v>4.3055555555555562E-2</v>
      </c>
      <c r="BB97" s="30">
        <v>2.71</v>
      </c>
      <c r="BC97" s="30">
        <v>3.48</v>
      </c>
      <c r="BD97" s="31">
        <v>1</v>
      </c>
      <c r="BF97"/>
      <c r="BG97"/>
      <c r="BH97"/>
      <c r="BI97"/>
      <c r="BR97" s="10"/>
      <c r="BS97" s="10"/>
    </row>
    <row r="98" spans="1:71" ht="14.4" x14ac:dyDescent="0.3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7" t="str">
        <f t="shared" si="68"/>
        <v>#LI74KQMXA</v>
      </c>
      <c r="O98" s="7">
        <f t="shared" si="60"/>
        <v>0</v>
      </c>
      <c r="P98" s="21">
        <f t="shared" si="69"/>
        <v>43232</v>
      </c>
      <c r="Q98" s="22">
        <f>VLOOKUP(R98,Referencias!$D$1:$E$13,2,0)</f>
        <v>5</v>
      </c>
      <c r="R98" s="7" t="str">
        <f t="shared" si="70"/>
        <v>MAI</v>
      </c>
      <c r="S98" s="7">
        <f t="shared" si="61"/>
        <v>0</v>
      </c>
      <c r="T98" s="11">
        <f t="shared" si="71"/>
        <v>12</v>
      </c>
      <c r="U98" s="11">
        <f t="shared" si="62"/>
        <v>0</v>
      </c>
      <c r="V98" s="11" t="e">
        <f>VLOOKUP(C98,Referencias!$A$2:$B$33,2,1)</f>
        <v>#N/A</v>
      </c>
      <c r="W98" s="23" t="str">
        <f t="shared" si="75"/>
        <v/>
      </c>
      <c r="X98" s="11">
        <f t="shared" si="63"/>
        <v>0</v>
      </c>
      <c r="Y98" s="11">
        <f t="shared" si="72"/>
        <v>0</v>
      </c>
      <c r="Z98" s="24">
        <f t="shared" si="73"/>
        <v>0</v>
      </c>
      <c r="AA98" s="25">
        <f t="shared" si="74"/>
        <v>0</v>
      </c>
      <c r="AB98" s="24">
        <f t="shared" si="64"/>
        <v>0</v>
      </c>
      <c r="AC98" s="24">
        <f t="shared" si="65"/>
        <v>0</v>
      </c>
      <c r="AD98" s="24">
        <f t="shared" si="66"/>
        <v>0</v>
      </c>
      <c r="AE98" s="24">
        <f t="shared" si="67"/>
        <v>0</v>
      </c>
      <c r="AF98" s="119" t="str">
        <f>VLOOKUP(P98*1,Referencias!$G:$H,2,0)</f>
        <v>sáb</v>
      </c>
      <c r="AZ98" s="35" t="s">
        <v>154</v>
      </c>
      <c r="BA98" s="29">
        <v>1.3888888888888888E-2</v>
      </c>
      <c r="BB98" s="30">
        <v>3.86</v>
      </c>
      <c r="BC98" s="30">
        <v>4.2</v>
      </c>
      <c r="BD98" s="31">
        <v>1</v>
      </c>
      <c r="BF98"/>
      <c r="BG98"/>
      <c r="BH98"/>
      <c r="BI98"/>
      <c r="BR98" s="10"/>
      <c r="BS98" s="10"/>
    </row>
    <row r="99" spans="1:71" ht="14.4" x14ac:dyDescent="0.3">
      <c r="A99" s="16"/>
      <c r="B99" s="17" t="s">
        <v>67</v>
      </c>
      <c r="C99" s="18">
        <v>0.61458333333333337</v>
      </c>
      <c r="D99" s="7">
        <v>9.58</v>
      </c>
      <c r="E99" s="7" t="s">
        <v>17</v>
      </c>
      <c r="F99" s="7"/>
      <c r="G99" s="19">
        <v>4.8499999999999996</v>
      </c>
      <c r="H99" s="20">
        <v>106.55</v>
      </c>
      <c r="I99" s="7"/>
      <c r="J99" s="7"/>
      <c r="K99" s="7"/>
      <c r="L99" s="7"/>
      <c r="M99" s="7"/>
      <c r="N99" s="7" t="str">
        <f t="shared" si="68"/>
        <v>#LIQCAFTWH</v>
      </c>
      <c r="O99" s="7" t="str">
        <f t="shared" si="60"/>
        <v>#LIQCAFTWH</v>
      </c>
      <c r="P99" s="21">
        <f t="shared" si="69"/>
        <v>43232</v>
      </c>
      <c r="Q99" s="22">
        <f>VLOOKUP(R99,Referencias!$D$1:$E$13,2,0)</f>
        <v>5</v>
      </c>
      <c r="R99" s="7" t="str">
        <f t="shared" si="70"/>
        <v>MAI</v>
      </c>
      <c r="S99" s="7">
        <f t="shared" si="61"/>
        <v>0</v>
      </c>
      <c r="T99" s="11">
        <f t="shared" si="71"/>
        <v>12</v>
      </c>
      <c r="U99" s="11">
        <f t="shared" si="62"/>
        <v>0</v>
      </c>
      <c r="V99" s="11" t="str">
        <f>VLOOKUP(C99,Referencias!$A$2:$B$33,2,1)</f>
        <v>14 - 15</v>
      </c>
      <c r="W99" s="23">
        <f t="shared" si="75"/>
        <v>3.472222222222221E-2</v>
      </c>
      <c r="X99" s="11">
        <f t="shared" si="63"/>
        <v>9.58</v>
      </c>
      <c r="Y99" s="11">
        <f t="shared" si="72"/>
        <v>16.917641029395615</v>
      </c>
      <c r="Z99" s="24">
        <f t="shared" si="73"/>
        <v>4.8499999999999996</v>
      </c>
      <c r="AA99" s="25">
        <f t="shared" si="74"/>
        <v>5.8200000000000021</v>
      </c>
      <c r="AB99" s="24">
        <f t="shared" si="64"/>
        <v>1</v>
      </c>
      <c r="AC99" s="24">
        <f t="shared" si="65"/>
        <v>3.1774688526503927</v>
      </c>
      <c r="AD99" s="24">
        <f t="shared" si="66"/>
        <v>3.8497439813361973</v>
      </c>
      <c r="AE99" s="24">
        <f t="shared" si="67"/>
        <v>4.5644636702681387</v>
      </c>
      <c r="AF99" s="119" t="str">
        <f>VLOOKUP(P99*1,Referencias!$G:$H,2,0)</f>
        <v>sáb</v>
      </c>
      <c r="AZ99" s="35" t="s">
        <v>152</v>
      </c>
      <c r="BA99" s="29">
        <v>1.9444444444444445E-2</v>
      </c>
      <c r="BB99" s="30">
        <v>3.98</v>
      </c>
      <c r="BC99" s="30">
        <v>5.22</v>
      </c>
      <c r="BD99" s="31">
        <v>1</v>
      </c>
      <c r="BF99"/>
      <c r="BG99"/>
      <c r="BH99"/>
      <c r="BI99"/>
      <c r="BR99" s="10"/>
      <c r="BS99" s="10"/>
    </row>
    <row r="100" spans="1:71" ht="14.4" x14ac:dyDescent="0.3">
      <c r="A100" s="16"/>
      <c r="B100" s="17"/>
      <c r="C100" s="18">
        <v>0.64930555555555558</v>
      </c>
      <c r="D100" s="7"/>
      <c r="E100" s="7"/>
      <c r="F100" s="7"/>
      <c r="G100" s="19"/>
      <c r="H100" s="20"/>
      <c r="I100" s="7"/>
      <c r="J100" s="7"/>
      <c r="K100" s="7"/>
      <c r="L100" s="7"/>
      <c r="M100" s="7"/>
      <c r="N100" s="7" t="str">
        <f t="shared" si="68"/>
        <v>#LIQCAFTWH</v>
      </c>
      <c r="O100" s="7">
        <f t="shared" si="60"/>
        <v>0</v>
      </c>
      <c r="P100" s="21">
        <f t="shared" si="69"/>
        <v>43232</v>
      </c>
      <c r="Q100" s="22">
        <f>VLOOKUP(R100,Referencias!$D$1:$E$13,2,0)</f>
        <v>5</v>
      </c>
      <c r="R100" s="7" t="str">
        <f t="shared" si="70"/>
        <v>MAI</v>
      </c>
      <c r="S100" s="7">
        <f t="shared" si="61"/>
        <v>0</v>
      </c>
      <c r="T100" s="11">
        <f t="shared" si="71"/>
        <v>12</v>
      </c>
      <c r="U100" s="11">
        <f t="shared" si="62"/>
        <v>0</v>
      </c>
      <c r="V100" s="11" t="str">
        <f>VLOOKUP(C100,Referencias!$A$2:$B$33,2,1)</f>
        <v>15 - 16</v>
      </c>
      <c r="W100" s="23" t="str">
        <f t="shared" si="75"/>
        <v/>
      </c>
      <c r="X100" s="11">
        <f t="shared" si="63"/>
        <v>0</v>
      </c>
      <c r="Y100" s="11">
        <f t="shared" si="72"/>
        <v>0</v>
      </c>
      <c r="Z100" s="24">
        <f t="shared" si="73"/>
        <v>0</v>
      </c>
      <c r="AA100" s="25">
        <f t="shared" si="74"/>
        <v>0</v>
      </c>
      <c r="AB100" s="24">
        <f t="shared" si="64"/>
        <v>0</v>
      </c>
      <c r="AC100" s="24">
        <f t="shared" si="65"/>
        <v>0</v>
      </c>
      <c r="AD100" s="24">
        <f t="shared" si="66"/>
        <v>0</v>
      </c>
      <c r="AE100" s="24">
        <f t="shared" si="67"/>
        <v>0</v>
      </c>
      <c r="AF100" s="119" t="str">
        <f>VLOOKUP(P100*1,Referencias!$G:$H,2,0)</f>
        <v>sáb</v>
      </c>
      <c r="AZ100" s="35" t="s">
        <v>151</v>
      </c>
      <c r="BA100" s="29">
        <v>2.5694444444444447E-2</v>
      </c>
      <c r="BB100" s="30">
        <v>3.19</v>
      </c>
      <c r="BC100" s="30">
        <v>4.83</v>
      </c>
      <c r="BD100" s="31">
        <v>1</v>
      </c>
      <c r="BF100"/>
      <c r="BG100"/>
      <c r="BH100"/>
      <c r="BI100"/>
      <c r="BR100" s="10"/>
      <c r="BS100" s="10"/>
    </row>
    <row r="101" spans="1:71" ht="14.4" x14ac:dyDescent="0.3">
      <c r="A101" s="36"/>
      <c r="B101" s="36"/>
      <c r="C101" s="36"/>
      <c r="D101" s="36"/>
      <c r="E101" s="36"/>
      <c r="F101" s="36"/>
      <c r="G101" s="36"/>
      <c r="H101" s="36"/>
      <c r="I101" s="36"/>
      <c r="J101" s="37"/>
      <c r="K101" s="37"/>
      <c r="L101" s="37"/>
      <c r="M101" s="37"/>
      <c r="N101" s="7" t="str">
        <f t="shared" si="68"/>
        <v>#LIQCAFTWH</v>
      </c>
      <c r="O101" s="7">
        <f t="shared" si="60"/>
        <v>0</v>
      </c>
      <c r="P101" s="21">
        <f t="shared" si="69"/>
        <v>43232</v>
      </c>
      <c r="Q101" s="22">
        <f>VLOOKUP(R101,Referencias!$D$1:$E$13,2,0)</f>
        <v>5</v>
      </c>
      <c r="R101" s="7" t="str">
        <f t="shared" si="70"/>
        <v>MAI</v>
      </c>
      <c r="S101" s="7">
        <f t="shared" si="61"/>
        <v>0</v>
      </c>
      <c r="T101" s="11">
        <f t="shared" si="71"/>
        <v>12</v>
      </c>
      <c r="U101" s="11">
        <f t="shared" si="62"/>
        <v>0</v>
      </c>
      <c r="V101" s="11" t="e">
        <f>VLOOKUP(C101,Referencias!$A$2:$B$33,2,1)</f>
        <v>#N/A</v>
      </c>
      <c r="W101" s="23" t="str">
        <f t="shared" si="75"/>
        <v/>
      </c>
      <c r="X101" s="11">
        <f t="shared" si="63"/>
        <v>0</v>
      </c>
      <c r="Y101" s="11">
        <f t="shared" si="72"/>
        <v>0</v>
      </c>
      <c r="Z101" s="24">
        <f t="shared" si="73"/>
        <v>0</v>
      </c>
      <c r="AA101" s="25">
        <f t="shared" si="74"/>
        <v>0</v>
      </c>
      <c r="AB101" s="24">
        <f t="shared" si="64"/>
        <v>0</v>
      </c>
      <c r="AC101" s="24">
        <f t="shared" si="65"/>
        <v>0</v>
      </c>
      <c r="AD101" s="24">
        <f t="shared" si="66"/>
        <v>0</v>
      </c>
      <c r="AE101" s="24">
        <f t="shared" si="67"/>
        <v>0</v>
      </c>
      <c r="AF101" s="119" t="str">
        <f>VLOOKUP(P101*1,Referencias!$G:$H,2,0)</f>
        <v>sáb</v>
      </c>
      <c r="AZ101" s="35" t="s">
        <v>155</v>
      </c>
      <c r="BA101" s="29">
        <v>2.7083333333333334E-2</v>
      </c>
      <c r="BB101" s="30">
        <v>7.54</v>
      </c>
      <c r="BC101" s="30">
        <v>12.14</v>
      </c>
      <c r="BD101" s="31">
        <v>1</v>
      </c>
      <c r="BF101"/>
      <c r="BG101"/>
      <c r="BH101"/>
      <c r="BI101"/>
      <c r="BR101" s="10"/>
      <c r="BS101" s="10"/>
    </row>
    <row r="102" spans="1:71" ht="14.4" x14ac:dyDescent="0.3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7" t="str">
        <f t="shared" si="68"/>
        <v>#LIQCAFTWH</v>
      </c>
      <c r="O102" s="7">
        <f t="shared" si="60"/>
        <v>0</v>
      </c>
      <c r="P102" s="21">
        <f t="shared" si="69"/>
        <v>43232</v>
      </c>
      <c r="Q102" s="22">
        <f>VLOOKUP(R102,Referencias!$D$1:$E$13,2,0)</f>
        <v>5</v>
      </c>
      <c r="R102" s="7" t="str">
        <f t="shared" si="70"/>
        <v>MAI</v>
      </c>
      <c r="S102" s="7">
        <f t="shared" si="61"/>
        <v>0</v>
      </c>
      <c r="T102" s="11">
        <f t="shared" si="71"/>
        <v>12</v>
      </c>
      <c r="U102" s="11">
        <f t="shared" si="62"/>
        <v>0</v>
      </c>
      <c r="V102" s="11" t="e">
        <f>VLOOKUP(C102,Referencias!$A$2:$B$33,2,1)</f>
        <v>#N/A</v>
      </c>
      <c r="W102" s="23" t="str">
        <f t="shared" si="75"/>
        <v/>
      </c>
      <c r="X102" s="11">
        <f t="shared" si="63"/>
        <v>0</v>
      </c>
      <c r="Y102" s="11">
        <f t="shared" si="72"/>
        <v>0</v>
      </c>
      <c r="Z102" s="24">
        <f t="shared" si="73"/>
        <v>0</v>
      </c>
      <c r="AA102" s="25">
        <f t="shared" si="74"/>
        <v>0</v>
      </c>
      <c r="AB102" s="24">
        <f t="shared" si="64"/>
        <v>0</v>
      </c>
      <c r="AC102" s="24">
        <f t="shared" si="65"/>
        <v>0</v>
      </c>
      <c r="AD102" s="24">
        <f t="shared" si="66"/>
        <v>0</v>
      </c>
      <c r="AE102" s="24">
        <f t="shared" si="67"/>
        <v>0</v>
      </c>
      <c r="AF102" s="119" t="str">
        <f>VLOOKUP(P102*1,Referencias!$G:$H,2,0)</f>
        <v>sáb</v>
      </c>
      <c r="AZ102" s="35" t="s">
        <v>148</v>
      </c>
      <c r="BA102" s="29">
        <v>2.7777777777777776E-2</v>
      </c>
      <c r="BB102" s="30">
        <v>2.86</v>
      </c>
      <c r="BC102" s="30">
        <v>3.91</v>
      </c>
      <c r="BD102" s="31">
        <v>1</v>
      </c>
      <c r="BF102"/>
      <c r="BG102"/>
      <c r="BH102"/>
      <c r="BI102"/>
      <c r="BR102" s="10"/>
      <c r="BS102" s="10"/>
    </row>
    <row r="103" spans="1:71" ht="14.4" x14ac:dyDescent="0.3">
      <c r="A103" s="16"/>
      <c r="B103" s="17" t="s">
        <v>68</v>
      </c>
      <c r="C103" s="18">
        <v>0.82222222222222219</v>
      </c>
      <c r="D103" s="7">
        <v>2.7</v>
      </c>
      <c r="E103" s="7" t="s">
        <v>36</v>
      </c>
      <c r="F103" s="7"/>
      <c r="G103" s="19">
        <v>2.44</v>
      </c>
      <c r="H103" s="20">
        <v>108.99</v>
      </c>
      <c r="I103" s="16" t="s">
        <v>330</v>
      </c>
      <c r="J103" s="16"/>
      <c r="K103" s="16"/>
      <c r="L103" s="16"/>
      <c r="M103" s="16"/>
      <c r="N103" s="7" t="str">
        <f t="shared" si="68"/>
        <v>#LI971J1L9</v>
      </c>
      <c r="O103" s="7" t="str">
        <f t="shared" si="60"/>
        <v>#LI971J1L9</v>
      </c>
      <c r="P103" s="21">
        <f t="shared" si="69"/>
        <v>43232</v>
      </c>
      <c r="Q103" s="22">
        <f>VLOOKUP(R103,Referencias!$D$1:$E$13,2,0)</f>
        <v>5</v>
      </c>
      <c r="R103" s="7" t="str">
        <f t="shared" si="70"/>
        <v>MAI</v>
      </c>
      <c r="S103" s="7">
        <f t="shared" si="61"/>
        <v>0</v>
      </c>
      <c r="T103" s="11">
        <f t="shared" si="71"/>
        <v>12</v>
      </c>
      <c r="U103" s="11">
        <f t="shared" si="62"/>
        <v>0</v>
      </c>
      <c r="V103" s="11" t="str">
        <f>VLOOKUP(C103,Referencias!$A$2:$B$33,2,1)</f>
        <v>19 - 20</v>
      </c>
      <c r="W103" s="23">
        <f t="shared" si="75"/>
        <v>2.083333333333337E-2</v>
      </c>
      <c r="X103" s="11">
        <f t="shared" si="63"/>
        <v>2.7</v>
      </c>
      <c r="Y103" s="11">
        <f t="shared" si="72"/>
        <v>4.7680199143390558</v>
      </c>
      <c r="Z103" s="24">
        <f t="shared" si="73"/>
        <v>2.44</v>
      </c>
      <c r="AA103" s="25">
        <f t="shared" si="74"/>
        <v>4.879999999999991</v>
      </c>
      <c r="AB103" s="24">
        <f t="shared" si="64"/>
        <v>1</v>
      </c>
      <c r="AC103" s="24">
        <f t="shared" si="65"/>
        <v>1.5985616495808161</v>
      </c>
      <c r="AD103" s="24">
        <f t="shared" si="66"/>
        <v>1.9367784153526437</v>
      </c>
      <c r="AE103" s="24">
        <f t="shared" si="67"/>
        <v>2.2963487330833527</v>
      </c>
      <c r="AF103" s="119" t="str">
        <f>VLOOKUP(P103*1,Referencias!$G:$H,2,0)</f>
        <v>sáb</v>
      </c>
      <c r="AZ103" s="118">
        <v>43242</v>
      </c>
      <c r="BA103" s="29">
        <v>0.16250000000000001</v>
      </c>
      <c r="BB103" s="30">
        <v>21.79</v>
      </c>
      <c r="BC103" s="30">
        <v>37.489999999999995</v>
      </c>
      <c r="BD103" s="31">
        <v>5</v>
      </c>
      <c r="BF103"/>
      <c r="BG103"/>
      <c r="BH103"/>
      <c r="BI103"/>
      <c r="BR103" s="10"/>
      <c r="BS103" s="10"/>
    </row>
    <row r="104" spans="1:71" ht="14.4" x14ac:dyDescent="0.3">
      <c r="A104" s="16"/>
      <c r="B104" s="17"/>
      <c r="C104" s="18">
        <v>0.84305555555555556</v>
      </c>
      <c r="D104" s="7"/>
      <c r="E104" s="7"/>
      <c r="F104" s="7"/>
      <c r="G104" s="19"/>
      <c r="H104" s="20"/>
      <c r="I104" s="16"/>
      <c r="J104" s="16"/>
      <c r="K104" s="16"/>
      <c r="L104" s="16"/>
      <c r="M104" s="16"/>
      <c r="N104" s="7" t="str">
        <f t="shared" si="68"/>
        <v>#LI971J1L9</v>
      </c>
      <c r="O104" s="7">
        <f t="shared" si="60"/>
        <v>0</v>
      </c>
      <c r="P104" s="21">
        <f t="shared" si="69"/>
        <v>43232</v>
      </c>
      <c r="Q104" s="22">
        <f>VLOOKUP(R104,Referencias!$D$1:$E$13,2,0)</f>
        <v>5</v>
      </c>
      <c r="R104" s="7" t="str">
        <f t="shared" si="70"/>
        <v>MAI</v>
      </c>
      <c r="S104" s="7">
        <f t="shared" si="61"/>
        <v>0</v>
      </c>
      <c r="T104" s="11">
        <f t="shared" si="71"/>
        <v>12</v>
      </c>
      <c r="U104" s="11">
        <f t="shared" si="62"/>
        <v>0</v>
      </c>
      <c r="V104" s="11" t="str">
        <f>VLOOKUP(C104,Referencias!$A$2:$B$33,2,1)</f>
        <v>20 - 21</v>
      </c>
      <c r="W104" s="23" t="str">
        <f t="shared" si="75"/>
        <v/>
      </c>
      <c r="X104" s="11">
        <f t="shared" si="63"/>
        <v>0</v>
      </c>
      <c r="Y104" s="11">
        <f t="shared" si="72"/>
        <v>0</v>
      </c>
      <c r="Z104" s="24">
        <f t="shared" si="73"/>
        <v>0</v>
      </c>
      <c r="AA104" s="25">
        <f t="shared" si="74"/>
        <v>0</v>
      </c>
      <c r="AB104" s="24">
        <f t="shared" si="64"/>
        <v>0</v>
      </c>
      <c r="AC104" s="24">
        <f t="shared" si="65"/>
        <v>0</v>
      </c>
      <c r="AD104" s="24">
        <f t="shared" si="66"/>
        <v>0</v>
      </c>
      <c r="AE104" s="24">
        <f t="shared" si="67"/>
        <v>0</v>
      </c>
      <c r="AF104" s="119" t="str">
        <f>VLOOKUP(P104*1,Referencias!$G:$H,2,0)</f>
        <v>sáb</v>
      </c>
      <c r="AZ104" s="35" t="s">
        <v>159</v>
      </c>
      <c r="BA104" s="29">
        <v>2.361111111111111E-2</v>
      </c>
      <c r="BB104" s="30">
        <v>3.64</v>
      </c>
      <c r="BC104" s="30">
        <v>6.12</v>
      </c>
      <c r="BD104" s="31">
        <v>1</v>
      </c>
      <c r="BF104"/>
      <c r="BG104"/>
      <c r="BH104"/>
      <c r="BI104"/>
      <c r="BR104" s="10"/>
      <c r="BS104" s="10"/>
    </row>
    <row r="105" spans="1:71" ht="14.4" x14ac:dyDescent="0.3">
      <c r="A105" s="36"/>
      <c r="B105" s="36"/>
      <c r="C105" s="36"/>
      <c r="D105" s="36"/>
      <c r="E105" s="36"/>
      <c r="F105" s="36"/>
      <c r="G105" s="36"/>
      <c r="H105" s="36"/>
      <c r="I105" s="36"/>
      <c r="J105" s="37"/>
      <c r="K105" s="37"/>
      <c r="L105" s="37"/>
      <c r="M105" s="37"/>
      <c r="N105" s="7" t="str">
        <f t="shared" si="68"/>
        <v>#LI971J1L9</v>
      </c>
      <c r="O105" s="7">
        <f t="shared" si="60"/>
        <v>0</v>
      </c>
      <c r="P105" s="21">
        <f t="shared" si="69"/>
        <v>43232</v>
      </c>
      <c r="Q105" s="22">
        <f>VLOOKUP(R105,Referencias!$D$1:$E$13,2,0)</f>
        <v>5</v>
      </c>
      <c r="R105" s="7" t="str">
        <f t="shared" si="70"/>
        <v>MAI</v>
      </c>
      <c r="S105" s="7">
        <f t="shared" si="61"/>
        <v>0</v>
      </c>
      <c r="T105" s="11">
        <f t="shared" si="71"/>
        <v>12</v>
      </c>
      <c r="U105" s="11">
        <f t="shared" si="62"/>
        <v>0</v>
      </c>
      <c r="V105" s="11" t="e">
        <f>VLOOKUP(C105,Referencias!$A$2:$B$33,2,1)</f>
        <v>#N/A</v>
      </c>
      <c r="W105" s="23" t="str">
        <f t="shared" si="75"/>
        <v/>
      </c>
      <c r="X105" s="11">
        <f t="shared" si="63"/>
        <v>0</v>
      </c>
      <c r="Y105" s="11">
        <f t="shared" si="72"/>
        <v>0</v>
      </c>
      <c r="Z105" s="24">
        <f t="shared" si="73"/>
        <v>0</v>
      </c>
      <c r="AA105" s="25">
        <f t="shared" si="74"/>
        <v>0</v>
      </c>
      <c r="AB105" s="24">
        <f t="shared" si="64"/>
        <v>0</v>
      </c>
      <c r="AC105" s="24">
        <f t="shared" si="65"/>
        <v>0</v>
      </c>
      <c r="AD105" s="24">
        <f t="shared" si="66"/>
        <v>0</v>
      </c>
      <c r="AE105" s="24">
        <f t="shared" si="67"/>
        <v>0</v>
      </c>
      <c r="AF105" s="119" t="str">
        <f>VLOOKUP(P105*1,Referencias!$G:$H,2,0)</f>
        <v>sáb</v>
      </c>
      <c r="AZ105" s="35" t="s">
        <v>158</v>
      </c>
      <c r="BA105" s="29">
        <v>2.7777777777777776E-2</v>
      </c>
      <c r="BB105" s="30">
        <v>3.84</v>
      </c>
      <c r="BC105" s="30">
        <v>6.05</v>
      </c>
      <c r="BD105" s="31">
        <v>1</v>
      </c>
      <c r="BF105"/>
      <c r="BG105"/>
      <c r="BH105"/>
      <c r="BI105"/>
      <c r="BR105" s="10"/>
      <c r="BS105" s="10"/>
    </row>
    <row r="106" spans="1:71" ht="14.4" x14ac:dyDescent="0.3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7" t="str">
        <f t="shared" si="68"/>
        <v>#LI971J1L9</v>
      </c>
      <c r="O106" s="7">
        <f t="shared" si="60"/>
        <v>0</v>
      </c>
      <c r="P106" s="21">
        <f t="shared" si="69"/>
        <v>43232</v>
      </c>
      <c r="Q106" s="22">
        <f>VLOOKUP(R106,Referencias!$D$1:$E$13,2,0)</f>
        <v>5</v>
      </c>
      <c r="R106" s="7" t="str">
        <f t="shared" si="70"/>
        <v>MAI</v>
      </c>
      <c r="S106" s="7">
        <f t="shared" si="61"/>
        <v>0</v>
      </c>
      <c r="T106" s="11">
        <f t="shared" si="71"/>
        <v>12</v>
      </c>
      <c r="U106" s="11">
        <f t="shared" si="62"/>
        <v>0</v>
      </c>
      <c r="V106" s="11" t="e">
        <f>VLOOKUP(C106,Referencias!$A$2:$B$33,2,1)</f>
        <v>#N/A</v>
      </c>
      <c r="W106" s="23" t="str">
        <f t="shared" si="75"/>
        <v/>
      </c>
      <c r="X106" s="11">
        <f t="shared" si="63"/>
        <v>0</v>
      </c>
      <c r="Y106" s="11">
        <f t="shared" si="72"/>
        <v>0</v>
      </c>
      <c r="Z106" s="24">
        <f t="shared" si="73"/>
        <v>0</v>
      </c>
      <c r="AA106" s="25">
        <f t="shared" si="74"/>
        <v>0</v>
      </c>
      <c r="AB106" s="24">
        <f t="shared" si="64"/>
        <v>0</v>
      </c>
      <c r="AC106" s="24">
        <f t="shared" si="65"/>
        <v>0</v>
      </c>
      <c r="AD106" s="24">
        <f t="shared" si="66"/>
        <v>0</v>
      </c>
      <c r="AE106" s="24">
        <f t="shared" si="67"/>
        <v>0</v>
      </c>
      <c r="AF106" s="119" t="str">
        <f>VLOOKUP(P106*1,Referencias!$G:$H,2,0)</f>
        <v>sáb</v>
      </c>
      <c r="AZ106" s="35" t="s">
        <v>157</v>
      </c>
      <c r="BA106" s="29">
        <v>2.9861111111111113E-2</v>
      </c>
      <c r="BB106" s="30">
        <v>5.51</v>
      </c>
      <c r="BC106" s="30">
        <v>11.45</v>
      </c>
      <c r="BD106" s="31">
        <v>1</v>
      </c>
      <c r="BF106"/>
      <c r="BG106"/>
      <c r="BH106"/>
      <c r="BI106"/>
      <c r="BR106" s="10"/>
      <c r="BS106" s="10"/>
    </row>
    <row r="107" spans="1:71" ht="14.4" x14ac:dyDescent="0.3">
      <c r="A107" s="16"/>
      <c r="B107" s="17" t="s">
        <v>69</v>
      </c>
      <c r="C107" s="18">
        <v>0.84305555555555556</v>
      </c>
      <c r="D107" s="7">
        <v>6.17</v>
      </c>
      <c r="E107" s="7" t="s">
        <v>44</v>
      </c>
      <c r="F107" s="19">
        <v>0.73</v>
      </c>
      <c r="G107" s="19">
        <v>4.3899999999999997</v>
      </c>
      <c r="H107" s="20">
        <v>113.38</v>
      </c>
      <c r="I107" s="7"/>
      <c r="J107" s="7"/>
      <c r="K107" s="7"/>
      <c r="L107" s="7"/>
      <c r="M107" s="7"/>
      <c r="N107" s="7" t="str">
        <f t="shared" si="68"/>
        <v>#LIUGCCXME</v>
      </c>
      <c r="O107" s="7" t="str">
        <f t="shared" si="60"/>
        <v>#LIUGCCXME</v>
      </c>
      <c r="P107" s="21">
        <f t="shared" si="69"/>
        <v>43232</v>
      </c>
      <c r="Q107" s="22">
        <f>VLOOKUP(R107,Referencias!$D$1:$E$13,2,0)</f>
        <v>5</v>
      </c>
      <c r="R107" s="7" t="str">
        <f t="shared" si="70"/>
        <v>MAI</v>
      </c>
      <c r="S107" s="7">
        <f t="shared" si="61"/>
        <v>0</v>
      </c>
      <c r="T107" s="11">
        <f t="shared" si="71"/>
        <v>12</v>
      </c>
      <c r="U107" s="11">
        <f t="shared" si="62"/>
        <v>0</v>
      </c>
      <c r="V107" s="11" t="str">
        <f>VLOOKUP(C107,Referencias!$A$2:$B$33,2,1)</f>
        <v>20 - 21</v>
      </c>
      <c r="W107" s="23">
        <f t="shared" si="75"/>
        <v>2.7083333333333348E-2</v>
      </c>
      <c r="X107" s="11">
        <f t="shared" si="63"/>
        <v>6.17</v>
      </c>
      <c r="Y107" s="11">
        <f t="shared" si="72"/>
        <v>10.895808470915545</v>
      </c>
      <c r="Z107" s="24">
        <f t="shared" si="73"/>
        <v>4.3899999999999997</v>
      </c>
      <c r="AA107" s="25">
        <f t="shared" si="74"/>
        <v>6.7538461538461494</v>
      </c>
      <c r="AB107" s="24">
        <f t="shared" si="64"/>
        <v>1</v>
      </c>
      <c r="AC107" s="24">
        <f t="shared" si="65"/>
        <v>2.8761006728113863</v>
      </c>
      <c r="AD107" s="24">
        <f t="shared" si="66"/>
        <v>3.4846136243434862</v>
      </c>
      <c r="AE107" s="24">
        <f t="shared" si="67"/>
        <v>4.1315454664901301</v>
      </c>
      <c r="AF107" s="119" t="str">
        <f>VLOOKUP(P107*1,Referencias!$G:$H,2,0)</f>
        <v>sáb</v>
      </c>
      <c r="AZ107" s="35" t="s">
        <v>160</v>
      </c>
      <c r="BA107" s="29">
        <v>3.6805555555555557E-2</v>
      </c>
      <c r="BB107" s="30">
        <v>5.08</v>
      </c>
      <c r="BC107" s="30">
        <v>8.1999999999999993</v>
      </c>
      <c r="BD107" s="31">
        <v>1</v>
      </c>
      <c r="BF107"/>
      <c r="BG107"/>
      <c r="BH107"/>
      <c r="BI107"/>
      <c r="BR107" s="10"/>
      <c r="BS107" s="10"/>
    </row>
    <row r="108" spans="1:71" ht="14.4" x14ac:dyDescent="0.3">
      <c r="A108" s="16"/>
      <c r="B108" s="17"/>
      <c r="C108" s="18">
        <v>0.87013888888888891</v>
      </c>
      <c r="D108" s="7"/>
      <c r="E108" s="7"/>
      <c r="F108" s="7" t="s">
        <v>70</v>
      </c>
      <c r="G108" s="19"/>
      <c r="H108" s="20"/>
      <c r="I108" s="7"/>
      <c r="J108" s="7"/>
      <c r="K108" s="7"/>
      <c r="L108" s="7"/>
      <c r="M108" s="7"/>
      <c r="N108" s="7" t="str">
        <f t="shared" si="68"/>
        <v>#LIUGCCXME</v>
      </c>
      <c r="O108" s="7">
        <f t="shared" si="60"/>
        <v>0</v>
      </c>
      <c r="P108" s="21">
        <f t="shared" si="69"/>
        <v>43232</v>
      </c>
      <c r="Q108" s="22">
        <f>VLOOKUP(R108,Referencias!$D$1:$E$13,2,0)</f>
        <v>5</v>
      </c>
      <c r="R108" s="7" t="str">
        <f t="shared" si="70"/>
        <v>MAI</v>
      </c>
      <c r="S108" s="7">
        <f t="shared" si="61"/>
        <v>0</v>
      </c>
      <c r="T108" s="11">
        <f t="shared" si="71"/>
        <v>12</v>
      </c>
      <c r="U108" s="11">
        <f t="shared" si="62"/>
        <v>0</v>
      </c>
      <c r="V108" s="11" t="str">
        <f>VLOOKUP(C108,Referencias!$A$2:$B$33,2,1)</f>
        <v>20 - 21</v>
      </c>
      <c r="W108" s="23" t="str">
        <f t="shared" si="75"/>
        <v/>
      </c>
      <c r="X108" s="11">
        <f t="shared" si="63"/>
        <v>0</v>
      </c>
      <c r="Y108" s="11">
        <f t="shared" si="72"/>
        <v>0</v>
      </c>
      <c r="Z108" s="24">
        <f t="shared" si="73"/>
        <v>0</v>
      </c>
      <c r="AA108" s="25">
        <f t="shared" si="74"/>
        <v>0</v>
      </c>
      <c r="AB108" s="24">
        <f t="shared" si="64"/>
        <v>0</v>
      </c>
      <c r="AC108" s="24">
        <f t="shared" si="65"/>
        <v>0</v>
      </c>
      <c r="AD108" s="24">
        <f t="shared" si="66"/>
        <v>0</v>
      </c>
      <c r="AE108" s="24">
        <f t="shared" si="67"/>
        <v>0</v>
      </c>
      <c r="AF108" s="119" t="str">
        <f>VLOOKUP(P108*1,Referencias!$G:$H,2,0)</f>
        <v>sáb</v>
      </c>
      <c r="AZ108" s="35" t="s">
        <v>156</v>
      </c>
      <c r="BA108" s="29">
        <v>4.4444444444444446E-2</v>
      </c>
      <c r="BB108" s="30">
        <v>3.72</v>
      </c>
      <c r="BC108" s="30">
        <v>5.67</v>
      </c>
      <c r="BD108" s="31">
        <v>1</v>
      </c>
      <c r="BF108"/>
      <c r="BG108"/>
      <c r="BH108"/>
      <c r="BI108"/>
      <c r="BR108" s="10"/>
      <c r="BS108" s="10"/>
    </row>
    <row r="109" spans="1:71" ht="14.4" x14ac:dyDescent="0.3">
      <c r="A109" s="36"/>
      <c r="B109" s="36"/>
      <c r="C109" s="36"/>
      <c r="D109" s="36"/>
      <c r="E109" s="36"/>
      <c r="F109" s="36"/>
      <c r="G109" s="36"/>
      <c r="H109" s="36"/>
      <c r="I109" s="36"/>
      <c r="J109" s="37"/>
      <c r="K109" s="37"/>
      <c r="L109" s="37"/>
      <c r="M109" s="37"/>
      <c r="N109" s="7" t="str">
        <f t="shared" si="68"/>
        <v>#LIUGCCXME</v>
      </c>
      <c r="O109" s="7">
        <f t="shared" si="60"/>
        <v>0</v>
      </c>
      <c r="P109" s="21">
        <f t="shared" si="69"/>
        <v>43232</v>
      </c>
      <c r="Q109" s="22">
        <f>VLOOKUP(R109,Referencias!$D$1:$E$13,2,0)</f>
        <v>5</v>
      </c>
      <c r="R109" s="7" t="str">
        <f t="shared" si="70"/>
        <v>MAI</v>
      </c>
      <c r="S109" s="7">
        <f t="shared" si="61"/>
        <v>0</v>
      </c>
      <c r="T109" s="11">
        <f t="shared" si="71"/>
        <v>12</v>
      </c>
      <c r="U109" s="11">
        <f t="shared" si="62"/>
        <v>0</v>
      </c>
      <c r="V109" s="11" t="e">
        <f>VLOOKUP(C109,Referencias!$A$2:$B$33,2,1)</f>
        <v>#N/A</v>
      </c>
      <c r="W109" s="23" t="str">
        <f t="shared" si="75"/>
        <v/>
      </c>
      <c r="X109" s="11">
        <f t="shared" si="63"/>
        <v>0</v>
      </c>
      <c r="Y109" s="11">
        <f t="shared" si="72"/>
        <v>0</v>
      </c>
      <c r="Z109" s="24">
        <f t="shared" si="73"/>
        <v>0</v>
      </c>
      <c r="AA109" s="25">
        <f t="shared" si="74"/>
        <v>0</v>
      </c>
      <c r="AB109" s="24">
        <f t="shared" si="64"/>
        <v>0</v>
      </c>
      <c r="AC109" s="24">
        <f t="shared" si="65"/>
        <v>0</v>
      </c>
      <c r="AD109" s="24">
        <f t="shared" si="66"/>
        <v>0</v>
      </c>
      <c r="AE109" s="24">
        <f t="shared" si="67"/>
        <v>0</v>
      </c>
      <c r="AF109" s="119" t="str">
        <f>VLOOKUP(P109*1,Referencias!$G:$H,2,0)</f>
        <v>sáb</v>
      </c>
      <c r="AZ109" s="118">
        <v>43243</v>
      </c>
      <c r="BA109" s="29">
        <v>0.16666666666666666</v>
      </c>
      <c r="BB109" s="30">
        <v>23.46</v>
      </c>
      <c r="BC109" s="30">
        <v>35.42</v>
      </c>
      <c r="BD109" s="31">
        <v>7</v>
      </c>
      <c r="BF109"/>
      <c r="BG109"/>
      <c r="BH109"/>
      <c r="BI109"/>
      <c r="BR109" s="10"/>
      <c r="BS109" s="10"/>
    </row>
    <row r="110" spans="1:71" ht="14.4" x14ac:dyDescent="0.3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7" t="str">
        <f t="shared" si="68"/>
        <v>#LIUGCCXME</v>
      </c>
      <c r="O110" s="7">
        <f t="shared" si="60"/>
        <v>0</v>
      </c>
      <c r="P110" s="21">
        <f t="shared" si="69"/>
        <v>43232</v>
      </c>
      <c r="Q110" s="22">
        <f>VLOOKUP(R110,Referencias!$D$1:$E$13,2,0)</f>
        <v>5</v>
      </c>
      <c r="R110" s="7" t="str">
        <f t="shared" si="70"/>
        <v>MAI</v>
      </c>
      <c r="S110" s="7">
        <f t="shared" si="61"/>
        <v>0</v>
      </c>
      <c r="T110" s="11">
        <f t="shared" si="71"/>
        <v>12</v>
      </c>
      <c r="U110" s="11">
        <f t="shared" si="62"/>
        <v>0</v>
      </c>
      <c r="V110" s="11" t="e">
        <f>VLOOKUP(C110,Referencias!$A$2:$B$33,2,1)</f>
        <v>#N/A</v>
      </c>
      <c r="W110" s="23" t="str">
        <f t="shared" si="75"/>
        <v/>
      </c>
      <c r="X110" s="11">
        <f t="shared" si="63"/>
        <v>0</v>
      </c>
      <c r="Y110" s="11">
        <f t="shared" si="72"/>
        <v>0</v>
      </c>
      <c r="Z110" s="24">
        <f t="shared" si="73"/>
        <v>0</v>
      </c>
      <c r="AA110" s="25">
        <f t="shared" si="74"/>
        <v>0</v>
      </c>
      <c r="AB110" s="24">
        <f t="shared" si="64"/>
        <v>0</v>
      </c>
      <c r="AC110" s="24">
        <f t="shared" si="65"/>
        <v>0</v>
      </c>
      <c r="AD110" s="24">
        <f t="shared" si="66"/>
        <v>0</v>
      </c>
      <c r="AE110" s="24">
        <f t="shared" si="67"/>
        <v>0</v>
      </c>
      <c r="AF110" s="119" t="str">
        <f>VLOOKUP(P110*1,Referencias!$G:$H,2,0)</f>
        <v>sáb</v>
      </c>
      <c r="AZ110" s="35" t="s">
        <v>166</v>
      </c>
      <c r="BA110" s="29">
        <v>2.7083333333333334E-2</v>
      </c>
      <c r="BB110" s="30">
        <v>4.66</v>
      </c>
      <c r="BC110" s="30">
        <v>9.0500000000000007</v>
      </c>
      <c r="BD110" s="31">
        <v>1</v>
      </c>
      <c r="BF110"/>
      <c r="BG110"/>
      <c r="BH110"/>
      <c r="BI110"/>
      <c r="BR110" s="10"/>
      <c r="BS110" s="10"/>
    </row>
    <row r="111" spans="1:71" ht="14.4" x14ac:dyDescent="0.3">
      <c r="A111" s="16"/>
      <c r="B111" s="17" t="s">
        <v>71</v>
      </c>
      <c r="C111" s="18">
        <v>0.87013888888888891</v>
      </c>
      <c r="D111" s="7">
        <v>5.65</v>
      </c>
      <c r="E111" s="7" t="s">
        <v>72</v>
      </c>
      <c r="F111" s="19">
        <v>0.74</v>
      </c>
      <c r="G111" s="19">
        <v>4.47</v>
      </c>
      <c r="H111" s="20">
        <v>117.85</v>
      </c>
      <c r="I111" s="7"/>
      <c r="J111" s="7"/>
      <c r="K111" s="7"/>
      <c r="L111" s="7"/>
      <c r="M111" s="7"/>
      <c r="N111" s="7" t="str">
        <f t="shared" si="68"/>
        <v>#LI2UGV5NU</v>
      </c>
      <c r="O111" s="7" t="str">
        <f t="shared" si="60"/>
        <v>#LI2UGV5NU</v>
      </c>
      <c r="P111" s="21">
        <f t="shared" si="69"/>
        <v>43232</v>
      </c>
      <c r="Q111" s="22">
        <f>VLOOKUP(R111,Referencias!$D$1:$E$13,2,0)</f>
        <v>5</v>
      </c>
      <c r="R111" s="7" t="str">
        <f t="shared" si="70"/>
        <v>MAI</v>
      </c>
      <c r="S111" s="7">
        <f t="shared" si="61"/>
        <v>0</v>
      </c>
      <c r="T111" s="11">
        <f t="shared" si="71"/>
        <v>12</v>
      </c>
      <c r="U111" s="11">
        <f t="shared" si="62"/>
        <v>0</v>
      </c>
      <c r="V111" s="11" t="str">
        <f>VLOOKUP(C111,Referencias!$A$2:$B$33,2,1)</f>
        <v>20 - 21</v>
      </c>
      <c r="W111" s="23">
        <f t="shared" si="75"/>
        <v>2.083333333333337E-2</v>
      </c>
      <c r="X111" s="11">
        <f t="shared" si="63"/>
        <v>5.65</v>
      </c>
      <c r="Y111" s="11">
        <f t="shared" si="72"/>
        <v>9.9775231540798774</v>
      </c>
      <c r="Z111" s="24">
        <f t="shared" si="73"/>
        <v>4.47</v>
      </c>
      <c r="AA111" s="25">
        <f t="shared" si="74"/>
        <v>8.9399999999999835</v>
      </c>
      <c r="AB111" s="24">
        <f t="shared" si="64"/>
        <v>1</v>
      </c>
      <c r="AC111" s="24">
        <f t="shared" si="65"/>
        <v>2.9285125301746917</v>
      </c>
      <c r="AD111" s="24">
        <f t="shared" si="66"/>
        <v>3.5481145559943923</v>
      </c>
      <c r="AE111" s="24">
        <f t="shared" si="67"/>
        <v>4.2068355888863058</v>
      </c>
      <c r="AF111" s="119" t="str">
        <f>VLOOKUP(P111*1,Referencias!$G:$H,2,0)</f>
        <v>sáb</v>
      </c>
      <c r="AZ111" s="35" t="s">
        <v>163</v>
      </c>
      <c r="BA111" s="29">
        <v>1.8749999999999999E-2</v>
      </c>
      <c r="BB111" s="30">
        <v>3.07</v>
      </c>
      <c r="BC111" s="30">
        <v>4.5</v>
      </c>
      <c r="BD111" s="31">
        <v>1</v>
      </c>
      <c r="BF111"/>
      <c r="BG111"/>
      <c r="BH111"/>
      <c r="BI111"/>
      <c r="BR111" s="10"/>
      <c r="BS111" s="10"/>
    </row>
    <row r="112" spans="1:71" ht="14.4" x14ac:dyDescent="0.3">
      <c r="A112" s="16"/>
      <c r="B112" s="17"/>
      <c r="C112" s="18">
        <v>0.89097222222222228</v>
      </c>
      <c r="D112" s="7"/>
      <c r="E112" s="7"/>
      <c r="F112" s="7" t="s">
        <v>70</v>
      </c>
      <c r="G112" s="19"/>
      <c r="H112" s="20"/>
      <c r="I112" s="7"/>
      <c r="J112" s="7"/>
      <c r="K112" s="7"/>
      <c r="L112" s="7"/>
      <c r="M112" s="7"/>
      <c r="N112" s="7" t="str">
        <f t="shared" si="68"/>
        <v>#LI2UGV5NU</v>
      </c>
      <c r="O112" s="7">
        <f t="shared" si="60"/>
        <v>0</v>
      </c>
      <c r="P112" s="21">
        <f t="shared" si="69"/>
        <v>43232</v>
      </c>
      <c r="Q112" s="22">
        <f>VLOOKUP(R112,Referencias!$D$1:$E$13,2,0)</f>
        <v>5</v>
      </c>
      <c r="R112" s="7" t="str">
        <f t="shared" si="70"/>
        <v>MAI</v>
      </c>
      <c r="S112" s="7">
        <f t="shared" si="61"/>
        <v>0</v>
      </c>
      <c r="T112" s="11">
        <f t="shared" si="71"/>
        <v>12</v>
      </c>
      <c r="U112" s="11">
        <f t="shared" si="62"/>
        <v>0</v>
      </c>
      <c r="V112" s="11" t="str">
        <f>VLOOKUP(C112,Referencias!$A$2:$B$33,2,1)</f>
        <v>21 - 22</v>
      </c>
      <c r="W112" s="23" t="str">
        <f t="shared" si="75"/>
        <v/>
      </c>
      <c r="X112" s="11">
        <f t="shared" si="63"/>
        <v>0</v>
      </c>
      <c r="Y112" s="11">
        <f t="shared" si="72"/>
        <v>0</v>
      </c>
      <c r="Z112" s="24">
        <f t="shared" si="73"/>
        <v>0</v>
      </c>
      <c r="AA112" s="25">
        <f t="shared" si="74"/>
        <v>0</v>
      </c>
      <c r="AB112" s="24">
        <f t="shared" si="64"/>
        <v>0</v>
      </c>
      <c r="AC112" s="24">
        <f t="shared" si="65"/>
        <v>0</v>
      </c>
      <c r="AD112" s="24">
        <f t="shared" si="66"/>
        <v>0</v>
      </c>
      <c r="AE112" s="24">
        <f t="shared" si="67"/>
        <v>0</v>
      </c>
      <c r="AF112" s="119" t="str">
        <f>VLOOKUP(P112*1,Referencias!$G:$H,2,0)</f>
        <v>sáb</v>
      </c>
      <c r="AZ112" s="35" t="s">
        <v>162</v>
      </c>
      <c r="BA112" s="29">
        <v>2.2916666666666669E-2</v>
      </c>
      <c r="BB112" s="30">
        <v>2.9</v>
      </c>
      <c r="BC112" s="30">
        <v>4.0199999999999996</v>
      </c>
      <c r="BD112" s="31">
        <v>1</v>
      </c>
      <c r="BF112"/>
      <c r="BG112"/>
      <c r="BH112"/>
      <c r="BI112"/>
      <c r="BR112" s="10"/>
      <c r="BS112" s="10"/>
    </row>
    <row r="113" spans="1:71" ht="14.4" x14ac:dyDescent="0.3">
      <c r="A113" s="36"/>
      <c r="B113" s="36"/>
      <c r="C113" s="36"/>
      <c r="D113" s="36"/>
      <c r="E113" s="36"/>
      <c r="F113" s="36"/>
      <c r="G113" s="36"/>
      <c r="H113" s="36"/>
      <c r="I113" s="36"/>
      <c r="J113" s="37"/>
      <c r="K113" s="37"/>
      <c r="L113" s="37"/>
      <c r="M113" s="37"/>
      <c r="N113" s="7" t="str">
        <f t="shared" si="68"/>
        <v>#LI2UGV5NU</v>
      </c>
      <c r="O113" s="7">
        <f t="shared" si="60"/>
        <v>0</v>
      </c>
      <c r="P113" s="21">
        <f t="shared" si="69"/>
        <v>43232</v>
      </c>
      <c r="Q113" s="22">
        <f>VLOOKUP(R113,Referencias!$D$1:$E$13,2,0)</f>
        <v>5</v>
      </c>
      <c r="R113" s="7" t="str">
        <f t="shared" si="70"/>
        <v>MAI</v>
      </c>
      <c r="S113" s="7">
        <f t="shared" si="61"/>
        <v>0</v>
      </c>
      <c r="T113" s="11">
        <f t="shared" si="71"/>
        <v>12</v>
      </c>
      <c r="U113" s="11">
        <f t="shared" si="62"/>
        <v>0</v>
      </c>
      <c r="V113" s="11" t="e">
        <f>VLOOKUP(C113,Referencias!$A$2:$B$33,2,1)</f>
        <v>#N/A</v>
      </c>
      <c r="W113" s="23" t="str">
        <f t="shared" si="75"/>
        <v/>
      </c>
      <c r="X113" s="11">
        <f t="shared" si="63"/>
        <v>0</v>
      </c>
      <c r="Y113" s="11">
        <f t="shared" si="72"/>
        <v>0</v>
      </c>
      <c r="Z113" s="24">
        <f t="shared" si="73"/>
        <v>0</v>
      </c>
      <c r="AA113" s="25">
        <f t="shared" si="74"/>
        <v>0</v>
      </c>
      <c r="AB113" s="24">
        <f t="shared" si="64"/>
        <v>0</v>
      </c>
      <c r="AC113" s="24">
        <f t="shared" si="65"/>
        <v>0</v>
      </c>
      <c r="AD113" s="24">
        <f t="shared" si="66"/>
        <v>0</v>
      </c>
      <c r="AE113" s="24">
        <f t="shared" si="67"/>
        <v>0</v>
      </c>
      <c r="AF113" s="119" t="str">
        <f>VLOOKUP(P113*1,Referencias!$G:$H,2,0)</f>
        <v>sáb</v>
      </c>
      <c r="AZ113" s="35" t="s">
        <v>167</v>
      </c>
      <c r="BA113" s="29">
        <v>1.9444444444444445E-2</v>
      </c>
      <c r="BB113" s="30">
        <v>2.54</v>
      </c>
      <c r="BC113" s="30">
        <v>2.98</v>
      </c>
      <c r="BD113" s="31">
        <v>1</v>
      </c>
      <c r="BF113"/>
      <c r="BG113"/>
      <c r="BH113"/>
      <c r="BI113"/>
      <c r="BR113" s="10"/>
      <c r="BS113" s="10"/>
    </row>
    <row r="114" spans="1:71" ht="14.4" x14ac:dyDescent="0.3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7" t="str">
        <f t="shared" si="68"/>
        <v>#LI2UGV5NU</v>
      </c>
      <c r="O114" s="7">
        <f t="shared" si="60"/>
        <v>0</v>
      </c>
      <c r="P114" s="21">
        <f t="shared" si="69"/>
        <v>43232</v>
      </c>
      <c r="Q114" s="22">
        <f>VLOOKUP(R114,Referencias!$D$1:$E$13,2,0)</f>
        <v>5</v>
      </c>
      <c r="R114" s="7" t="str">
        <f t="shared" si="70"/>
        <v>MAI</v>
      </c>
      <c r="S114" s="7">
        <f t="shared" si="61"/>
        <v>0</v>
      </c>
      <c r="T114" s="11">
        <f t="shared" si="71"/>
        <v>12</v>
      </c>
      <c r="U114" s="11">
        <f t="shared" si="62"/>
        <v>0</v>
      </c>
      <c r="V114" s="11" t="e">
        <f>VLOOKUP(C114,Referencias!$A$2:$B$33,2,1)</f>
        <v>#N/A</v>
      </c>
      <c r="W114" s="23" t="str">
        <f t="shared" si="75"/>
        <v/>
      </c>
      <c r="X114" s="11">
        <f t="shared" si="63"/>
        <v>0</v>
      </c>
      <c r="Y114" s="11">
        <f t="shared" si="72"/>
        <v>0</v>
      </c>
      <c r="Z114" s="24">
        <f t="shared" si="73"/>
        <v>0</v>
      </c>
      <c r="AA114" s="25">
        <f t="shared" si="74"/>
        <v>0</v>
      </c>
      <c r="AB114" s="24">
        <f t="shared" si="64"/>
        <v>0</v>
      </c>
      <c r="AC114" s="24">
        <f t="shared" si="65"/>
        <v>0</v>
      </c>
      <c r="AD114" s="24">
        <f t="shared" si="66"/>
        <v>0</v>
      </c>
      <c r="AE114" s="24">
        <f t="shared" si="67"/>
        <v>0</v>
      </c>
      <c r="AF114" s="119" t="str">
        <f>VLOOKUP(P114*1,Referencias!$G:$H,2,0)</f>
        <v>sáb</v>
      </c>
      <c r="AZ114" s="35" t="s">
        <v>164</v>
      </c>
      <c r="BA114" s="29">
        <v>4.0972222222222222E-2</v>
      </c>
      <c r="BB114" s="30">
        <v>3.18</v>
      </c>
      <c r="BC114" s="30">
        <v>3.09</v>
      </c>
      <c r="BD114" s="31">
        <v>1</v>
      </c>
      <c r="BF114"/>
      <c r="BG114"/>
      <c r="BH114"/>
      <c r="BI114"/>
      <c r="BR114" s="10"/>
      <c r="BS114" s="10"/>
    </row>
    <row r="115" spans="1:71" ht="14.4" x14ac:dyDescent="0.3">
      <c r="A115" s="16"/>
      <c r="B115" s="17" t="s">
        <v>73</v>
      </c>
      <c r="C115" s="18">
        <v>0.89097222222222228</v>
      </c>
      <c r="D115" s="7">
        <v>7.2</v>
      </c>
      <c r="E115" s="7" t="s">
        <v>74</v>
      </c>
      <c r="F115" s="7"/>
      <c r="G115" s="19">
        <v>4.47</v>
      </c>
      <c r="H115" s="20">
        <v>122.32</v>
      </c>
      <c r="I115" s="7"/>
      <c r="J115" s="7"/>
      <c r="K115" s="7"/>
      <c r="L115" s="7"/>
      <c r="M115" s="7"/>
      <c r="N115" s="7" t="str">
        <f t="shared" si="68"/>
        <v>#LIZ3ZBXNV</v>
      </c>
      <c r="O115" s="7" t="str">
        <f t="shared" si="60"/>
        <v>#LIZ3ZBXNV</v>
      </c>
      <c r="P115" s="21">
        <f t="shared" si="69"/>
        <v>43232</v>
      </c>
      <c r="Q115" s="22">
        <f>VLOOKUP(R115,Referencias!$D$1:$E$13,2,0)</f>
        <v>5</v>
      </c>
      <c r="R115" s="7" t="str">
        <f t="shared" si="70"/>
        <v>MAI</v>
      </c>
      <c r="S115" s="7">
        <f t="shared" si="61"/>
        <v>0</v>
      </c>
      <c r="T115" s="11">
        <f t="shared" si="71"/>
        <v>12</v>
      </c>
      <c r="U115" s="11">
        <f t="shared" si="62"/>
        <v>0</v>
      </c>
      <c r="V115" s="11" t="str">
        <f>VLOOKUP(C115,Referencias!$A$2:$B$33,2,1)</f>
        <v>21 - 22</v>
      </c>
      <c r="W115" s="23">
        <f t="shared" si="75"/>
        <v>3.0555555555555447E-2</v>
      </c>
      <c r="X115" s="11">
        <f t="shared" si="63"/>
        <v>7.2</v>
      </c>
      <c r="Y115" s="11">
        <f t="shared" si="72"/>
        <v>12.714719771570817</v>
      </c>
      <c r="Z115" s="24">
        <f t="shared" si="73"/>
        <v>4.47</v>
      </c>
      <c r="AA115" s="25">
        <f t="shared" si="74"/>
        <v>6.0954545454545679</v>
      </c>
      <c r="AB115" s="24">
        <f t="shared" si="64"/>
        <v>1</v>
      </c>
      <c r="AC115" s="24">
        <f t="shared" si="65"/>
        <v>2.9285125301746917</v>
      </c>
      <c r="AD115" s="24">
        <f t="shared" si="66"/>
        <v>3.5481145559943923</v>
      </c>
      <c r="AE115" s="24">
        <f t="shared" si="67"/>
        <v>4.2068355888863058</v>
      </c>
      <c r="AF115" s="119" t="str">
        <f>VLOOKUP(P115*1,Referencias!$G:$H,2,0)</f>
        <v>sáb</v>
      </c>
      <c r="AZ115" s="35" t="s">
        <v>168</v>
      </c>
      <c r="BA115" s="29">
        <v>1.1805555555555555E-2</v>
      </c>
      <c r="BB115" s="30">
        <v>2.56</v>
      </c>
      <c r="BC115" s="30">
        <v>3.04</v>
      </c>
      <c r="BD115" s="31">
        <v>1</v>
      </c>
      <c r="BF115"/>
      <c r="BG115"/>
      <c r="BH115"/>
      <c r="BI115"/>
      <c r="BR115" s="10"/>
      <c r="BS115" s="10"/>
    </row>
    <row r="116" spans="1:71" ht="14.4" x14ac:dyDescent="0.3">
      <c r="A116" s="16"/>
      <c r="B116" s="17"/>
      <c r="C116" s="18">
        <v>0.92152777777777772</v>
      </c>
      <c r="D116" s="7"/>
      <c r="E116" s="7"/>
      <c r="F116" s="7"/>
      <c r="G116" s="19"/>
      <c r="H116" s="20"/>
      <c r="I116" s="7"/>
      <c r="J116" s="7"/>
      <c r="K116" s="7"/>
      <c r="L116" s="7"/>
      <c r="M116" s="7"/>
      <c r="N116" s="7" t="str">
        <f t="shared" si="68"/>
        <v>#LIZ3ZBXNV</v>
      </c>
      <c r="O116" s="7">
        <f t="shared" si="60"/>
        <v>0</v>
      </c>
      <c r="P116" s="21">
        <f t="shared" si="69"/>
        <v>43232</v>
      </c>
      <c r="Q116" s="22">
        <f>VLOOKUP(R116,Referencias!$D$1:$E$13,2,0)</f>
        <v>5</v>
      </c>
      <c r="R116" s="7" t="str">
        <f t="shared" si="70"/>
        <v>MAI</v>
      </c>
      <c r="S116" s="7">
        <f t="shared" si="61"/>
        <v>0</v>
      </c>
      <c r="T116" s="11">
        <f t="shared" si="71"/>
        <v>12</v>
      </c>
      <c r="U116" s="11">
        <f t="shared" si="62"/>
        <v>0</v>
      </c>
      <c r="V116" s="11" t="str">
        <f>VLOOKUP(C116,Referencias!$A$2:$B$33,2,1)</f>
        <v>22 - 23</v>
      </c>
      <c r="W116" s="23" t="str">
        <f t="shared" si="75"/>
        <v/>
      </c>
      <c r="X116" s="11">
        <f t="shared" si="63"/>
        <v>0</v>
      </c>
      <c r="Y116" s="11">
        <f t="shared" si="72"/>
        <v>0</v>
      </c>
      <c r="Z116" s="24">
        <f t="shared" si="73"/>
        <v>0</v>
      </c>
      <c r="AA116" s="25">
        <f t="shared" si="74"/>
        <v>0</v>
      </c>
      <c r="AB116" s="24">
        <f t="shared" si="64"/>
        <v>0</v>
      </c>
      <c r="AC116" s="24">
        <f t="shared" si="65"/>
        <v>0</v>
      </c>
      <c r="AD116" s="24">
        <f t="shared" si="66"/>
        <v>0</v>
      </c>
      <c r="AE116" s="24">
        <f t="shared" si="67"/>
        <v>0</v>
      </c>
      <c r="AF116" s="119" t="str">
        <f>VLOOKUP(P116*1,Referencias!$G:$H,2,0)</f>
        <v>sáb</v>
      </c>
      <c r="AZ116" s="35" t="s">
        <v>165</v>
      </c>
      <c r="BA116" s="29">
        <v>2.5694444444444447E-2</v>
      </c>
      <c r="BB116" s="30">
        <v>4.55</v>
      </c>
      <c r="BC116" s="30">
        <v>8.74</v>
      </c>
      <c r="BD116" s="31">
        <v>1</v>
      </c>
      <c r="BF116"/>
      <c r="BG116"/>
      <c r="BH116"/>
      <c r="BI116"/>
      <c r="BR116" s="10"/>
      <c r="BS116" s="10"/>
    </row>
    <row r="117" spans="1:71" ht="14.4" x14ac:dyDescent="0.3">
      <c r="A117" s="36"/>
      <c r="B117" s="36"/>
      <c r="C117" s="36"/>
      <c r="D117" s="36"/>
      <c r="E117" s="36"/>
      <c r="F117" s="36"/>
      <c r="G117" s="36"/>
      <c r="H117" s="36"/>
      <c r="I117" s="36"/>
      <c r="J117" s="37"/>
      <c r="K117" s="37"/>
      <c r="L117" s="37"/>
      <c r="M117" s="37"/>
      <c r="N117" s="7" t="str">
        <f t="shared" si="68"/>
        <v>#LIZ3ZBXNV</v>
      </c>
      <c r="O117" s="7">
        <f t="shared" si="60"/>
        <v>0</v>
      </c>
      <c r="P117" s="21">
        <f t="shared" si="69"/>
        <v>43232</v>
      </c>
      <c r="Q117" s="22">
        <f>VLOOKUP(R117,Referencias!$D$1:$E$13,2,0)</f>
        <v>5</v>
      </c>
      <c r="R117" s="7" t="str">
        <f t="shared" si="70"/>
        <v>MAI</v>
      </c>
      <c r="S117" s="7">
        <f t="shared" si="61"/>
        <v>0</v>
      </c>
      <c r="T117" s="11">
        <f t="shared" si="71"/>
        <v>12</v>
      </c>
      <c r="U117" s="11">
        <f t="shared" si="62"/>
        <v>0</v>
      </c>
      <c r="V117" s="11" t="e">
        <f>VLOOKUP(C117,Referencias!$A$2:$B$33,2,1)</f>
        <v>#N/A</v>
      </c>
      <c r="W117" s="23" t="str">
        <f t="shared" si="75"/>
        <v/>
      </c>
      <c r="X117" s="11">
        <f t="shared" si="63"/>
        <v>0</v>
      </c>
      <c r="Y117" s="11">
        <f t="shared" si="72"/>
        <v>0</v>
      </c>
      <c r="Z117" s="24">
        <f t="shared" si="73"/>
        <v>0</v>
      </c>
      <c r="AA117" s="25">
        <f t="shared" si="74"/>
        <v>0</v>
      </c>
      <c r="AB117" s="24">
        <f t="shared" si="64"/>
        <v>0</v>
      </c>
      <c r="AC117" s="24">
        <f t="shared" si="65"/>
        <v>0</v>
      </c>
      <c r="AD117" s="24">
        <f t="shared" si="66"/>
        <v>0</v>
      </c>
      <c r="AE117" s="24">
        <f t="shared" si="67"/>
        <v>0</v>
      </c>
      <c r="AF117" s="119" t="str">
        <f>VLOOKUP(P117*1,Referencias!$G:$H,2,0)</f>
        <v>sáb</v>
      </c>
      <c r="AZ117" s="118">
        <v>43244</v>
      </c>
      <c r="BA117" s="29">
        <v>0.16805555555555557</v>
      </c>
      <c r="BB117" s="30">
        <v>42.960000000000008</v>
      </c>
      <c r="BC117" s="30">
        <v>40.340000000000003</v>
      </c>
      <c r="BD117" s="31">
        <v>5</v>
      </c>
      <c r="BF117"/>
      <c r="BG117"/>
      <c r="BH117"/>
      <c r="BI117"/>
      <c r="BR117" s="10"/>
      <c r="BS117" s="10"/>
    </row>
    <row r="118" spans="1:71" ht="14.4" x14ac:dyDescent="0.3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7" t="str">
        <f t="shared" si="68"/>
        <v>#LIZ3ZBXNV</v>
      </c>
      <c r="O118" s="7">
        <f t="shared" si="60"/>
        <v>0</v>
      </c>
      <c r="P118" s="21">
        <f t="shared" si="69"/>
        <v>43232</v>
      </c>
      <c r="Q118" s="22">
        <f>VLOOKUP(R118,Referencias!$D$1:$E$13,2,0)</f>
        <v>5</v>
      </c>
      <c r="R118" s="7" t="str">
        <f t="shared" si="70"/>
        <v>MAI</v>
      </c>
      <c r="S118" s="7">
        <f t="shared" si="61"/>
        <v>0</v>
      </c>
      <c r="T118" s="11">
        <f t="shared" si="71"/>
        <v>12</v>
      </c>
      <c r="U118" s="11">
        <f t="shared" si="62"/>
        <v>0</v>
      </c>
      <c r="V118" s="11" t="e">
        <f>VLOOKUP(C118,Referencias!$A$2:$B$33,2,1)</f>
        <v>#N/A</v>
      </c>
      <c r="W118" s="23" t="str">
        <f t="shared" si="75"/>
        <v/>
      </c>
      <c r="X118" s="11">
        <f t="shared" si="63"/>
        <v>0</v>
      </c>
      <c r="Y118" s="11">
        <f t="shared" si="72"/>
        <v>0</v>
      </c>
      <c r="Z118" s="24">
        <f t="shared" si="73"/>
        <v>0</v>
      </c>
      <c r="AA118" s="25">
        <f t="shared" si="74"/>
        <v>0</v>
      </c>
      <c r="AB118" s="24">
        <f t="shared" si="64"/>
        <v>0</v>
      </c>
      <c r="AC118" s="24">
        <f t="shared" si="65"/>
        <v>0</v>
      </c>
      <c r="AD118" s="24">
        <f t="shared" si="66"/>
        <v>0</v>
      </c>
      <c r="AE118" s="24">
        <f t="shared" si="67"/>
        <v>0</v>
      </c>
      <c r="AF118" s="119" t="str">
        <f>VLOOKUP(P118*1,Referencias!$G:$H,2,0)</f>
        <v>sáb</v>
      </c>
      <c r="AZ118" s="35" t="s">
        <v>171</v>
      </c>
      <c r="BA118" s="29">
        <v>3.6111111111111115E-2</v>
      </c>
      <c r="BB118" s="30">
        <v>4.17</v>
      </c>
      <c r="BC118" s="30">
        <v>4.8899999999999997</v>
      </c>
      <c r="BD118" s="31">
        <v>1</v>
      </c>
      <c r="BF118"/>
      <c r="BG118"/>
      <c r="BH118"/>
      <c r="BI118"/>
      <c r="BR118" s="10"/>
      <c r="BS118" s="10"/>
    </row>
    <row r="119" spans="1:71" ht="14.4" x14ac:dyDescent="0.3">
      <c r="A119" s="16"/>
      <c r="B119" s="17" t="s">
        <v>75</v>
      </c>
      <c r="C119" s="18">
        <v>0.92152777777777772</v>
      </c>
      <c r="D119" s="7">
        <v>4.49</v>
      </c>
      <c r="E119" s="7" t="s">
        <v>62</v>
      </c>
      <c r="F119" s="7"/>
      <c r="G119" s="19">
        <v>3.1</v>
      </c>
      <c r="H119" s="20">
        <v>125.42</v>
      </c>
      <c r="I119" s="7"/>
      <c r="J119" s="7"/>
      <c r="K119" s="7"/>
      <c r="L119" s="7"/>
      <c r="M119" s="7"/>
      <c r="N119" s="7" t="str">
        <f t="shared" si="68"/>
        <v>#LIBBXGST6</v>
      </c>
      <c r="O119" s="7" t="str">
        <f t="shared" si="60"/>
        <v>#LIBBXGST6</v>
      </c>
      <c r="P119" s="21">
        <f t="shared" si="69"/>
        <v>43232</v>
      </c>
      <c r="Q119" s="22">
        <f>VLOOKUP(R119,Referencias!$D$1:$E$13,2,0)</f>
        <v>5</v>
      </c>
      <c r="R119" s="7" t="str">
        <f t="shared" si="70"/>
        <v>MAI</v>
      </c>
      <c r="S119" s="7">
        <f t="shared" si="61"/>
        <v>0</v>
      </c>
      <c r="T119" s="11">
        <f t="shared" si="71"/>
        <v>12</v>
      </c>
      <c r="U119" s="11">
        <f t="shared" si="62"/>
        <v>0</v>
      </c>
      <c r="V119" s="11" t="str">
        <f>VLOOKUP(C119,Referencias!$A$2:$B$33,2,1)</f>
        <v>22 - 23</v>
      </c>
      <c r="W119" s="23">
        <f t="shared" si="75"/>
        <v>1.6666666666666718E-2</v>
      </c>
      <c r="X119" s="11">
        <f t="shared" si="63"/>
        <v>4.49</v>
      </c>
      <c r="Y119" s="11">
        <f t="shared" si="72"/>
        <v>7.9290405242156901</v>
      </c>
      <c r="Z119" s="24">
        <f t="shared" si="73"/>
        <v>3.1</v>
      </c>
      <c r="AA119" s="25">
        <f t="shared" si="74"/>
        <v>7.749999999999976</v>
      </c>
      <c r="AB119" s="24">
        <f t="shared" si="64"/>
        <v>1</v>
      </c>
      <c r="AC119" s="24">
        <f t="shared" si="65"/>
        <v>2.0309594728280862</v>
      </c>
      <c r="AD119" s="24">
        <f t="shared" si="66"/>
        <v>2.4606611014726214</v>
      </c>
      <c r="AE119" s="24">
        <f t="shared" si="67"/>
        <v>2.9174922428518006</v>
      </c>
      <c r="AF119" s="119" t="str">
        <f>VLOOKUP(P119*1,Referencias!$G:$H,2,0)</f>
        <v>sáb</v>
      </c>
      <c r="AZ119" s="35" t="s">
        <v>175</v>
      </c>
      <c r="BA119" s="29">
        <v>2.2916666666666669E-2</v>
      </c>
      <c r="BB119" s="30">
        <v>21.060000000000002</v>
      </c>
      <c r="BC119" s="30">
        <v>9.25</v>
      </c>
      <c r="BD119" s="31">
        <v>1</v>
      </c>
      <c r="BF119"/>
      <c r="BG119"/>
      <c r="BH119"/>
      <c r="BI119"/>
      <c r="BR119" s="10"/>
      <c r="BS119" s="10"/>
    </row>
    <row r="120" spans="1:71" ht="14.4" x14ac:dyDescent="0.3">
      <c r="A120" s="16"/>
      <c r="B120" s="17"/>
      <c r="C120" s="18">
        <v>0.93819444444444444</v>
      </c>
      <c r="D120" s="7"/>
      <c r="E120" s="7"/>
      <c r="F120" s="7"/>
      <c r="G120" s="19"/>
      <c r="H120" s="20"/>
      <c r="I120" s="7"/>
      <c r="J120" s="7"/>
      <c r="K120" s="7"/>
      <c r="L120" s="7"/>
      <c r="M120" s="7"/>
      <c r="N120" s="7" t="str">
        <f t="shared" si="68"/>
        <v>#LIBBXGST6</v>
      </c>
      <c r="O120" s="7">
        <f t="shared" si="60"/>
        <v>0</v>
      </c>
      <c r="P120" s="21">
        <f t="shared" si="69"/>
        <v>43232</v>
      </c>
      <c r="Q120" s="22">
        <f>VLOOKUP(R120,Referencias!$D$1:$E$13,2,0)</f>
        <v>5</v>
      </c>
      <c r="R120" s="7" t="str">
        <f t="shared" si="70"/>
        <v>MAI</v>
      </c>
      <c r="S120" s="7">
        <f t="shared" si="61"/>
        <v>0</v>
      </c>
      <c r="T120" s="11">
        <f t="shared" si="71"/>
        <v>12</v>
      </c>
      <c r="U120" s="11">
        <f t="shared" si="62"/>
        <v>0</v>
      </c>
      <c r="V120" s="11" t="str">
        <f>VLOOKUP(C120,Referencias!$A$2:$B$33,2,1)</f>
        <v>22 - 23</v>
      </c>
      <c r="W120" s="23" t="str">
        <f t="shared" si="75"/>
        <v/>
      </c>
      <c r="X120" s="11">
        <f t="shared" si="63"/>
        <v>0</v>
      </c>
      <c r="Y120" s="11">
        <f t="shared" si="72"/>
        <v>0</v>
      </c>
      <c r="Z120" s="24">
        <f t="shared" si="73"/>
        <v>0</v>
      </c>
      <c r="AA120" s="25">
        <f t="shared" si="74"/>
        <v>0</v>
      </c>
      <c r="AB120" s="24">
        <f t="shared" si="64"/>
        <v>0</v>
      </c>
      <c r="AC120" s="24">
        <f t="shared" si="65"/>
        <v>0</v>
      </c>
      <c r="AD120" s="24">
        <f t="shared" si="66"/>
        <v>0</v>
      </c>
      <c r="AE120" s="24">
        <f t="shared" si="67"/>
        <v>0</v>
      </c>
      <c r="AF120" s="119" t="str">
        <f>VLOOKUP(P120*1,Referencias!$G:$H,2,0)</f>
        <v>sáb</v>
      </c>
      <c r="AZ120" s="35" t="s">
        <v>172</v>
      </c>
      <c r="BA120" s="29">
        <v>5.0694444444444452E-2</v>
      </c>
      <c r="BB120" s="30">
        <v>6.42</v>
      </c>
      <c r="BC120" s="30">
        <v>9.85</v>
      </c>
      <c r="BD120" s="31">
        <v>1</v>
      </c>
      <c r="BF120"/>
      <c r="BG120"/>
      <c r="BH120"/>
      <c r="BI120"/>
      <c r="BR120" s="10"/>
      <c r="BS120" s="10"/>
    </row>
    <row r="121" spans="1:71" ht="14.4" x14ac:dyDescent="0.3">
      <c r="A121" s="57" t="s">
        <v>41</v>
      </c>
      <c r="B121" s="57"/>
      <c r="C121" s="58">
        <v>0.92152777777777783</v>
      </c>
      <c r="D121" s="57"/>
      <c r="E121" s="57"/>
      <c r="F121" s="57"/>
      <c r="G121" s="59">
        <v>1.29</v>
      </c>
      <c r="H121" s="60">
        <v>126.71</v>
      </c>
      <c r="I121" s="57"/>
      <c r="J121" s="57"/>
      <c r="K121" s="57"/>
      <c r="L121" s="57"/>
      <c r="M121" s="57"/>
      <c r="N121" s="7" t="str">
        <f t="shared" si="68"/>
        <v>#LIBBXGST6</v>
      </c>
      <c r="O121" s="7">
        <f t="shared" si="60"/>
        <v>0</v>
      </c>
      <c r="P121" s="21">
        <f t="shared" si="69"/>
        <v>43232</v>
      </c>
      <c r="Q121" s="22">
        <f>VLOOKUP(R121,Referencias!$D$1:$E$13,2,0)</f>
        <v>5</v>
      </c>
      <c r="R121" s="7" t="str">
        <f t="shared" si="70"/>
        <v>MAI</v>
      </c>
      <c r="S121" s="7">
        <f t="shared" si="61"/>
        <v>0</v>
      </c>
      <c r="T121" s="11">
        <f t="shared" si="71"/>
        <v>12</v>
      </c>
      <c r="U121" s="11">
        <f t="shared" si="62"/>
        <v>0</v>
      </c>
      <c r="V121" s="11" t="str">
        <f>VLOOKUP(C121,Referencias!$A$2:$B$33,2,1)</f>
        <v>22 - 23</v>
      </c>
      <c r="W121" s="23" t="str">
        <f t="shared" si="75"/>
        <v/>
      </c>
      <c r="X121" s="11">
        <f t="shared" si="63"/>
        <v>0</v>
      </c>
      <c r="Y121" s="11">
        <f t="shared" si="72"/>
        <v>0</v>
      </c>
      <c r="Z121" s="24">
        <f t="shared" si="73"/>
        <v>1.29</v>
      </c>
      <c r="AA121" s="25">
        <f t="shared" si="74"/>
        <v>0</v>
      </c>
      <c r="AB121" s="24">
        <f t="shared" si="64"/>
        <v>0</v>
      </c>
      <c r="AC121" s="24">
        <f t="shared" si="65"/>
        <v>0.8451411999833004</v>
      </c>
      <c r="AD121" s="24">
        <f t="shared" si="66"/>
        <v>1.023952522870865</v>
      </c>
      <c r="AE121" s="24">
        <f t="shared" si="67"/>
        <v>1.2140532236383299</v>
      </c>
      <c r="AF121" s="119" t="str">
        <f>VLOOKUP(P121*1,Referencias!$G:$H,2,0)</f>
        <v>sáb</v>
      </c>
      <c r="AZ121" s="35" t="s">
        <v>174</v>
      </c>
      <c r="BA121" s="29">
        <v>3.125E-2</v>
      </c>
      <c r="BB121" s="30">
        <v>5.61</v>
      </c>
      <c r="BC121" s="30">
        <v>8.08</v>
      </c>
      <c r="BD121" s="31">
        <v>1</v>
      </c>
      <c r="BF121"/>
      <c r="BG121"/>
      <c r="BH121"/>
      <c r="BI121"/>
      <c r="BR121" s="10"/>
      <c r="BS121" s="10"/>
    </row>
    <row r="122" spans="1:71" ht="15" thickBot="1" x14ac:dyDescent="0.35">
      <c r="A122" s="40"/>
      <c r="B122" s="40"/>
      <c r="C122" s="40"/>
      <c r="D122" s="40"/>
      <c r="E122" s="40"/>
      <c r="F122" s="40"/>
      <c r="G122" s="40"/>
      <c r="H122" s="40"/>
      <c r="I122" s="40"/>
      <c r="J122" s="41"/>
      <c r="K122" s="41"/>
      <c r="L122" s="41"/>
      <c r="M122" s="41"/>
      <c r="N122" s="7" t="str">
        <f t="shared" si="68"/>
        <v>#LIBBXGST6</v>
      </c>
      <c r="O122" s="7">
        <f t="shared" si="60"/>
        <v>0</v>
      </c>
      <c r="P122" s="21">
        <f t="shared" si="69"/>
        <v>43232</v>
      </c>
      <c r="Q122" s="22">
        <f>VLOOKUP(R122,Referencias!$D$1:$E$13,2,0)</f>
        <v>5</v>
      </c>
      <c r="R122" s="7" t="str">
        <f t="shared" si="70"/>
        <v>MAI</v>
      </c>
      <c r="S122" s="7">
        <f t="shared" si="61"/>
        <v>0</v>
      </c>
      <c r="T122" s="11">
        <f t="shared" si="71"/>
        <v>12</v>
      </c>
      <c r="U122" s="11">
        <f t="shared" si="62"/>
        <v>0</v>
      </c>
      <c r="V122" s="11" t="e">
        <f>VLOOKUP(C122,Referencias!$A$2:$B$33,2,1)</f>
        <v>#N/A</v>
      </c>
      <c r="W122" s="23" t="str">
        <f t="shared" si="75"/>
        <v/>
      </c>
      <c r="X122" s="11">
        <f t="shared" si="63"/>
        <v>0</v>
      </c>
      <c r="Y122" s="11">
        <f t="shared" si="72"/>
        <v>0</v>
      </c>
      <c r="Z122" s="24">
        <f t="shared" si="73"/>
        <v>0</v>
      </c>
      <c r="AA122" s="25">
        <f t="shared" si="74"/>
        <v>0</v>
      </c>
      <c r="AB122" s="24">
        <f t="shared" si="64"/>
        <v>0</v>
      </c>
      <c r="AC122" s="24">
        <f t="shared" si="65"/>
        <v>0</v>
      </c>
      <c r="AD122" s="24">
        <f t="shared" si="66"/>
        <v>0</v>
      </c>
      <c r="AE122" s="24">
        <f t="shared" si="67"/>
        <v>0</v>
      </c>
      <c r="AF122" s="119" t="str">
        <f>VLOOKUP(P122*1,Referencias!$G:$H,2,0)</f>
        <v>sáb</v>
      </c>
      <c r="AZ122" s="35" t="s">
        <v>169</v>
      </c>
      <c r="BA122" s="29">
        <v>2.7083333333333334E-2</v>
      </c>
      <c r="BB122" s="30">
        <v>5.7</v>
      </c>
      <c r="BC122" s="30">
        <v>8.27</v>
      </c>
      <c r="BD122" s="31">
        <v>1</v>
      </c>
      <c r="BF122"/>
      <c r="BG122"/>
      <c r="BH122"/>
      <c r="BI122"/>
      <c r="BR122" s="10"/>
      <c r="BS122" s="10"/>
    </row>
    <row r="123" spans="1:71" ht="14.4" x14ac:dyDescent="0.3">
      <c r="A123" s="16">
        <v>13</v>
      </c>
      <c r="B123" s="45" t="s">
        <v>76</v>
      </c>
      <c r="C123" s="18">
        <v>0.50277777777777777</v>
      </c>
      <c r="D123" s="46">
        <v>6.33</v>
      </c>
      <c r="E123" s="46" t="s">
        <v>77</v>
      </c>
      <c r="F123" s="46"/>
      <c r="G123" s="47">
        <v>4.3600000000000003</v>
      </c>
      <c r="H123" s="48">
        <v>131.07</v>
      </c>
      <c r="I123" s="46"/>
      <c r="J123" s="7"/>
      <c r="K123" s="7"/>
      <c r="L123" s="7"/>
      <c r="M123" s="7"/>
      <c r="N123" s="7" t="str">
        <f t="shared" si="68"/>
        <v>#LIVE1JD1M</v>
      </c>
      <c r="O123" s="7" t="str">
        <f t="shared" si="60"/>
        <v>#LIVE1JD1M</v>
      </c>
      <c r="P123" s="21">
        <f t="shared" si="69"/>
        <v>43233</v>
      </c>
      <c r="Q123" s="22">
        <f>VLOOKUP(R123,Referencias!$D$1:$E$13,2,0)</f>
        <v>5</v>
      </c>
      <c r="R123" s="7" t="str">
        <f t="shared" si="70"/>
        <v>MAI</v>
      </c>
      <c r="S123" s="7" t="str">
        <f t="shared" si="61"/>
        <v>MAI</v>
      </c>
      <c r="T123" s="11">
        <f t="shared" si="71"/>
        <v>13</v>
      </c>
      <c r="U123" s="11">
        <f t="shared" si="62"/>
        <v>13</v>
      </c>
      <c r="V123" s="11" t="str">
        <f>VLOOKUP(C123,Referencias!$A$2:$B$33,2,1)</f>
        <v>12 - 13</v>
      </c>
      <c r="W123" s="23">
        <f t="shared" si="75"/>
        <v>4.0277777777777746E-2</v>
      </c>
      <c r="X123" s="11">
        <f t="shared" si="63"/>
        <v>6.33</v>
      </c>
      <c r="Y123" s="11">
        <f t="shared" si="72"/>
        <v>11.178357799172675</v>
      </c>
      <c r="Z123" s="24">
        <f t="shared" si="73"/>
        <v>4.3600000000000003</v>
      </c>
      <c r="AA123" s="25">
        <f t="shared" si="74"/>
        <v>4.510344827586211</v>
      </c>
      <c r="AB123" s="24">
        <f t="shared" si="64"/>
        <v>1</v>
      </c>
      <c r="AC123" s="24">
        <f t="shared" si="65"/>
        <v>2.8564462263001471</v>
      </c>
      <c r="AD123" s="24">
        <f t="shared" si="66"/>
        <v>3.4608007749743965</v>
      </c>
      <c r="AE123" s="24">
        <f t="shared" si="67"/>
        <v>4.1033116705915651</v>
      </c>
      <c r="AF123" s="119" t="str">
        <f>VLOOKUP(P123*1,Referencias!$G:$H,2,0)</f>
        <v>dom</v>
      </c>
      <c r="AZ123" s="118">
        <v>43245</v>
      </c>
      <c r="BA123" s="29">
        <v>0.15625</v>
      </c>
      <c r="BB123" s="30">
        <v>28.029999999999998</v>
      </c>
      <c r="BC123" s="30">
        <v>51.989999999999995</v>
      </c>
      <c r="BD123" s="31">
        <v>6</v>
      </c>
      <c r="BF123"/>
      <c r="BG123"/>
      <c r="BH123"/>
      <c r="BI123"/>
      <c r="BR123" s="10"/>
      <c r="BS123" s="10"/>
    </row>
    <row r="124" spans="1:71" ht="14.4" x14ac:dyDescent="0.3">
      <c r="A124" s="16" t="s">
        <v>19</v>
      </c>
      <c r="B124" s="17"/>
      <c r="C124" s="18">
        <v>0.54305555555555551</v>
      </c>
      <c r="D124" s="7"/>
      <c r="E124" s="7"/>
      <c r="F124" s="7"/>
      <c r="G124" s="19"/>
      <c r="H124" s="20"/>
      <c r="I124" s="7"/>
      <c r="J124" s="7"/>
      <c r="K124" s="7"/>
      <c r="L124" s="7"/>
      <c r="M124" s="7"/>
      <c r="N124" s="7" t="str">
        <f t="shared" si="68"/>
        <v>#LIVE1JD1M</v>
      </c>
      <c r="O124" s="7">
        <f t="shared" si="60"/>
        <v>0</v>
      </c>
      <c r="P124" s="21">
        <f t="shared" si="69"/>
        <v>43233</v>
      </c>
      <c r="Q124" s="22">
        <f>VLOOKUP(R124,Referencias!$D$1:$E$13,2,0)</f>
        <v>5</v>
      </c>
      <c r="R124" s="7" t="str">
        <f t="shared" si="70"/>
        <v>MAI</v>
      </c>
      <c r="S124" s="7">
        <f t="shared" si="61"/>
        <v>0</v>
      </c>
      <c r="T124" s="11">
        <f t="shared" si="71"/>
        <v>13</v>
      </c>
      <c r="U124" s="11">
        <f t="shared" si="62"/>
        <v>0</v>
      </c>
      <c r="V124" s="11" t="str">
        <f>VLOOKUP(C124,Referencias!$A$2:$B$33,2,1)</f>
        <v>13 - 14</v>
      </c>
      <c r="W124" s="23" t="str">
        <f t="shared" si="75"/>
        <v/>
      </c>
      <c r="X124" s="11">
        <f t="shared" si="63"/>
        <v>0</v>
      </c>
      <c r="Y124" s="11">
        <f t="shared" si="72"/>
        <v>0</v>
      </c>
      <c r="Z124" s="24">
        <f t="shared" si="73"/>
        <v>0</v>
      </c>
      <c r="AA124" s="25">
        <f t="shared" si="74"/>
        <v>0</v>
      </c>
      <c r="AB124" s="24">
        <f t="shared" si="64"/>
        <v>0</v>
      </c>
      <c r="AC124" s="24">
        <f t="shared" si="65"/>
        <v>0</v>
      </c>
      <c r="AD124" s="24">
        <f t="shared" si="66"/>
        <v>0</v>
      </c>
      <c r="AE124" s="24">
        <f t="shared" si="67"/>
        <v>0</v>
      </c>
      <c r="AF124" s="119" t="str">
        <f>VLOOKUP(P124*1,Referencias!$G:$H,2,0)</f>
        <v>dom</v>
      </c>
      <c r="AZ124" s="35" t="s">
        <v>177</v>
      </c>
      <c r="BA124" s="29">
        <v>4.027777777777778E-2</v>
      </c>
      <c r="BB124" s="30">
        <v>6.11</v>
      </c>
      <c r="BC124" s="30">
        <v>12.97</v>
      </c>
      <c r="BD124" s="31">
        <v>1</v>
      </c>
      <c r="BF124"/>
      <c r="BG124"/>
      <c r="BH124"/>
      <c r="BI124"/>
      <c r="BR124" s="10"/>
      <c r="BS124" s="10"/>
    </row>
    <row r="125" spans="1:71" ht="14.4" x14ac:dyDescent="0.3">
      <c r="A125" s="36"/>
      <c r="B125" s="36"/>
      <c r="C125" s="36"/>
      <c r="D125" s="36"/>
      <c r="E125" s="36"/>
      <c r="F125" s="36"/>
      <c r="G125" s="36"/>
      <c r="H125" s="36"/>
      <c r="I125" s="36"/>
      <c r="J125" s="37"/>
      <c r="K125" s="37"/>
      <c r="L125" s="37"/>
      <c r="M125" s="37"/>
      <c r="N125" s="7" t="str">
        <f t="shared" si="68"/>
        <v>#LIVE1JD1M</v>
      </c>
      <c r="O125" s="7">
        <f t="shared" si="60"/>
        <v>0</v>
      </c>
      <c r="P125" s="21">
        <f t="shared" si="69"/>
        <v>43233</v>
      </c>
      <c r="Q125" s="22">
        <f>VLOOKUP(R125,Referencias!$D$1:$E$13,2,0)</f>
        <v>5</v>
      </c>
      <c r="R125" s="7" t="str">
        <f t="shared" si="70"/>
        <v>MAI</v>
      </c>
      <c r="S125" s="7">
        <f t="shared" si="61"/>
        <v>0</v>
      </c>
      <c r="T125" s="11">
        <f t="shared" si="71"/>
        <v>13</v>
      </c>
      <c r="U125" s="11">
        <f t="shared" si="62"/>
        <v>0</v>
      </c>
      <c r="V125" s="11" t="e">
        <f>VLOOKUP(C125,Referencias!$A$2:$B$33,2,1)</f>
        <v>#N/A</v>
      </c>
      <c r="W125" s="23" t="str">
        <f t="shared" si="75"/>
        <v/>
      </c>
      <c r="X125" s="11">
        <f t="shared" si="63"/>
        <v>0</v>
      </c>
      <c r="Y125" s="11">
        <f t="shared" si="72"/>
        <v>0</v>
      </c>
      <c r="Z125" s="24">
        <f t="shared" si="73"/>
        <v>0</v>
      </c>
      <c r="AA125" s="25">
        <f t="shared" si="74"/>
        <v>0</v>
      </c>
      <c r="AB125" s="24">
        <f t="shared" si="64"/>
        <v>0</v>
      </c>
      <c r="AC125" s="24">
        <f t="shared" si="65"/>
        <v>0</v>
      </c>
      <c r="AD125" s="24">
        <f t="shared" si="66"/>
        <v>0</v>
      </c>
      <c r="AE125" s="24">
        <f t="shared" si="67"/>
        <v>0</v>
      </c>
      <c r="AF125" s="119" t="str">
        <f>VLOOKUP(P125*1,Referencias!$G:$H,2,0)</f>
        <v>dom</v>
      </c>
      <c r="AZ125" s="35" t="s">
        <v>179</v>
      </c>
      <c r="BA125" s="29">
        <v>2.013888888888889E-2</v>
      </c>
      <c r="BB125" s="30">
        <v>3.71</v>
      </c>
      <c r="BC125" s="30">
        <v>6.32</v>
      </c>
      <c r="BD125" s="31">
        <v>1</v>
      </c>
      <c r="BF125"/>
      <c r="BG125"/>
      <c r="BH125"/>
      <c r="BI125"/>
      <c r="BR125" s="10"/>
      <c r="BS125" s="10"/>
    </row>
    <row r="126" spans="1:71" ht="14.4" x14ac:dyDescent="0.3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7" t="str">
        <f t="shared" si="68"/>
        <v>#LIVE1JD1M</v>
      </c>
      <c r="O126" s="7">
        <f t="shared" si="60"/>
        <v>0</v>
      </c>
      <c r="P126" s="21">
        <f t="shared" si="69"/>
        <v>43233</v>
      </c>
      <c r="Q126" s="22">
        <f>VLOOKUP(R126,Referencias!$D$1:$E$13,2,0)</f>
        <v>5</v>
      </c>
      <c r="R126" s="7" t="str">
        <f t="shared" si="70"/>
        <v>MAI</v>
      </c>
      <c r="S126" s="7">
        <f t="shared" si="61"/>
        <v>0</v>
      </c>
      <c r="T126" s="11">
        <f t="shared" si="71"/>
        <v>13</v>
      </c>
      <c r="U126" s="11">
        <f t="shared" si="62"/>
        <v>0</v>
      </c>
      <c r="V126" s="11" t="e">
        <f>VLOOKUP(C126,Referencias!$A$2:$B$33,2,1)</f>
        <v>#N/A</v>
      </c>
      <c r="W126" s="23" t="str">
        <f t="shared" si="75"/>
        <v/>
      </c>
      <c r="X126" s="11">
        <f t="shared" si="63"/>
        <v>0</v>
      </c>
      <c r="Y126" s="11">
        <f t="shared" si="72"/>
        <v>0</v>
      </c>
      <c r="Z126" s="24">
        <f t="shared" si="73"/>
        <v>0</v>
      </c>
      <c r="AA126" s="25">
        <f t="shared" si="74"/>
        <v>0</v>
      </c>
      <c r="AB126" s="24">
        <f t="shared" si="64"/>
        <v>0</v>
      </c>
      <c r="AC126" s="24">
        <f t="shared" si="65"/>
        <v>0</v>
      </c>
      <c r="AD126" s="24">
        <f t="shared" si="66"/>
        <v>0</v>
      </c>
      <c r="AE126" s="24">
        <f t="shared" si="67"/>
        <v>0</v>
      </c>
      <c r="AF126" s="119" t="str">
        <f>VLOOKUP(P126*1,Referencias!$G:$H,2,0)</f>
        <v>dom</v>
      </c>
      <c r="AZ126" s="35" t="s">
        <v>180</v>
      </c>
      <c r="BA126" s="29">
        <v>1.9444444444444445E-2</v>
      </c>
      <c r="BB126" s="30">
        <v>4.83</v>
      </c>
      <c r="BC126" s="30">
        <v>7.65</v>
      </c>
      <c r="BD126" s="31">
        <v>1</v>
      </c>
      <c r="BF126"/>
      <c r="BG126"/>
      <c r="BH126"/>
      <c r="BI126"/>
      <c r="BR126" s="10"/>
      <c r="BS126" s="10"/>
    </row>
    <row r="127" spans="1:71" ht="14.4" x14ac:dyDescent="0.3">
      <c r="A127" s="16"/>
      <c r="B127" s="17" t="s">
        <v>78</v>
      </c>
      <c r="C127" s="18">
        <v>0.54305555555555551</v>
      </c>
      <c r="D127" s="7">
        <v>4.34</v>
      </c>
      <c r="E127" s="7" t="s">
        <v>53</v>
      </c>
      <c r="F127" s="7"/>
      <c r="G127" s="19">
        <v>3.01</v>
      </c>
      <c r="H127" s="20">
        <v>134.08000000000001</v>
      </c>
      <c r="I127" s="16" t="s">
        <v>331</v>
      </c>
      <c r="J127" s="16"/>
      <c r="K127" s="16"/>
      <c r="L127" s="16"/>
      <c r="M127" s="16"/>
      <c r="N127" s="7" t="str">
        <f t="shared" si="68"/>
        <v>#LIUNDNRUW</v>
      </c>
      <c r="O127" s="7" t="str">
        <f t="shared" si="60"/>
        <v>#LIUNDNRUW</v>
      </c>
      <c r="P127" s="21">
        <f t="shared" si="69"/>
        <v>43233</v>
      </c>
      <c r="Q127" s="22">
        <f>VLOOKUP(R127,Referencias!$D$1:$E$13,2,0)</f>
        <v>5</v>
      </c>
      <c r="R127" s="7" t="str">
        <f t="shared" si="70"/>
        <v>MAI</v>
      </c>
      <c r="S127" s="7">
        <f t="shared" si="61"/>
        <v>0</v>
      </c>
      <c r="T127" s="11">
        <f t="shared" si="71"/>
        <v>13</v>
      </c>
      <c r="U127" s="11">
        <f t="shared" si="62"/>
        <v>0</v>
      </c>
      <c r="V127" s="11" t="str">
        <f>VLOOKUP(C127,Referencias!$A$2:$B$33,2,1)</f>
        <v>13 - 14</v>
      </c>
      <c r="W127" s="23">
        <f t="shared" si="75"/>
        <v>1.041666666666663E-2</v>
      </c>
      <c r="X127" s="11">
        <f t="shared" si="63"/>
        <v>4.34</v>
      </c>
      <c r="Y127" s="11">
        <f t="shared" si="72"/>
        <v>7.6641505289746306</v>
      </c>
      <c r="Z127" s="24">
        <f t="shared" si="73"/>
        <v>3.01</v>
      </c>
      <c r="AA127" s="25">
        <f t="shared" si="74"/>
        <v>12.040000000000042</v>
      </c>
      <c r="AB127" s="24">
        <f t="shared" si="64"/>
        <v>1</v>
      </c>
      <c r="AC127" s="24">
        <f t="shared" si="65"/>
        <v>1.9719961332943674</v>
      </c>
      <c r="AD127" s="24">
        <f t="shared" si="66"/>
        <v>2.3892225533653515</v>
      </c>
      <c r="AE127" s="24">
        <f t="shared" si="67"/>
        <v>2.832790855156103</v>
      </c>
      <c r="AF127" s="119" t="str">
        <f>VLOOKUP(P127*1,Referencias!$G:$H,2,0)</f>
        <v>dom</v>
      </c>
      <c r="AZ127" s="35" t="s">
        <v>182</v>
      </c>
      <c r="BA127" s="29">
        <v>1.6666666666666666E-2</v>
      </c>
      <c r="BB127" s="30">
        <v>4.25</v>
      </c>
      <c r="BC127" s="30">
        <v>7.49</v>
      </c>
      <c r="BD127" s="31">
        <v>1</v>
      </c>
      <c r="BF127"/>
      <c r="BG127"/>
      <c r="BH127"/>
      <c r="BI127"/>
      <c r="BR127" s="10"/>
      <c r="BS127" s="10"/>
    </row>
    <row r="128" spans="1:71" ht="14.4" x14ac:dyDescent="0.3">
      <c r="A128" s="16"/>
      <c r="B128" s="17"/>
      <c r="C128" s="18">
        <v>0.55347222222222214</v>
      </c>
      <c r="D128" s="7"/>
      <c r="E128" s="7"/>
      <c r="F128" s="7"/>
      <c r="G128" s="19"/>
      <c r="H128" s="20"/>
      <c r="I128" s="16" t="s">
        <v>332</v>
      </c>
      <c r="J128" s="16"/>
      <c r="K128" s="16"/>
      <c r="L128" s="16"/>
      <c r="M128" s="16"/>
      <c r="N128" s="7" t="str">
        <f t="shared" si="68"/>
        <v>#LIUNDNRUW</v>
      </c>
      <c r="O128" s="7">
        <f t="shared" si="60"/>
        <v>0</v>
      </c>
      <c r="P128" s="21">
        <f t="shared" si="69"/>
        <v>43233</v>
      </c>
      <c r="Q128" s="22">
        <f>VLOOKUP(R128,Referencias!$D$1:$E$13,2,0)</f>
        <v>5</v>
      </c>
      <c r="R128" s="7" t="str">
        <f t="shared" si="70"/>
        <v>MAI</v>
      </c>
      <c r="S128" s="7">
        <f t="shared" si="61"/>
        <v>0</v>
      </c>
      <c r="T128" s="11">
        <f t="shared" si="71"/>
        <v>13</v>
      </c>
      <c r="U128" s="11">
        <f t="shared" si="62"/>
        <v>0</v>
      </c>
      <c r="V128" s="11" t="str">
        <f>VLOOKUP(C128,Referencias!$A$2:$B$33,2,1)</f>
        <v>13 - 14</v>
      </c>
      <c r="W128" s="23" t="str">
        <f t="shared" si="75"/>
        <v/>
      </c>
      <c r="X128" s="11">
        <f t="shared" si="63"/>
        <v>0</v>
      </c>
      <c r="Y128" s="11">
        <f t="shared" si="72"/>
        <v>0</v>
      </c>
      <c r="Z128" s="24">
        <f t="shared" si="73"/>
        <v>0</v>
      </c>
      <c r="AA128" s="25">
        <f t="shared" si="74"/>
        <v>0</v>
      </c>
      <c r="AB128" s="24">
        <f t="shared" si="64"/>
        <v>0</v>
      </c>
      <c r="AC128" s="24">
        <f t="shared" si="65"/>
        <v>0</v>
      </c>
      <c r="AD128" s="24">
        <f t="shared" si="66"/>
        <v>0</v>
      </c>
      <c r="AE128" s="24">
        <f t="shared" si="67"/>
        <v>0</v>
      </c>
      <c r="AF128" s="119" t="str">
        <f>VLOOKUP(P128*1,Referencias!$G:$H,2,0)</f>
        <v>dom</v>
      </c>
      <c r="AZ128" s="35" t="s">
        <v>181</v>
      </c>
      <c r="BA128" s="29">
        <v>2.361111111111111E-2</v>
      </c>
      <c r="BB128" s="30">
        <v>3.91</v>
      </c>
      <c r="BC128" s="30">
        <v>6.9</v>
      </c>
      <c r="BD128" s="31">
        <v>1</v>
      </c>
      <c r="BF128"/>
      <c r="BG128"/>
      <c r="BH128"/>
      <c r="BI128"/>
      <c r="BR128" s="10"/>
      <c r="BS128" s="10"/>
    </row>
    <row r="129" spans="1:71" ht="14.4" x14ac:dyDescent="0.3">
      <c r="A129" s="36"/>
      <c r="B129" s="36"/>
      <c r="C129" s="36"/>
      <c r="D129" s="36"/>
      <c r="E129" s="36"/>
      <c r="F129" s="36"/>
      <c r="G129" s="36"/>
      <c r="H129" s="36"/>
      <c r="I129" s="36"/>
      <c r="J129" s="37"/>
      <c r="K129" s="37"/>
      <c r="L129" s="37"/>
      <c r="M129" s="37"/>
      <c r="N129" s="7" t="str">
        <f t="shared" si="68"/>
        <v>#LIUNDNRUW</v>
      </c>
      <c r="O129" s="7">
        <f t="shared" si="60"/>
        <v>0</v>
      </c>
      <c r="P129" s="21">
        <f t="shared" si="69"/>
        <v>43233</v>
      </c>
      <c r="Q129" s="22">
        <f>VLOOKUP(R129,Referencias!$D$1:$E$13,2,0)</f>
        <v>5</v>
      </c>
      <c r="R129" s="7" t="str">
        <f t="shared" si="70"/>
        <v>MAI</v>
      </c>
      <c r="S129" s="7">
        <f t="shared" si="61"/>
        <v>0</v>
      </c>
      <c r="T129" s="11">
        <f t="shared" si="71"/>
        <v>13</v>
      </c>
      <c r="U129" s="11">
        <f t="shared" si="62"/>
        <v>0</v>
      </c>
      <c r="V129" s="11" t="e">
        <f>VLOOKUP(C129,Referencias!$A$2:$B$33,2,1)</f>
        <v>#N/A</v>
      </c>
      <c r="W129" s="23" t="str">
        <f t="shared" si="75"/>
        <v/>
      </c>
      <c r="X129" s="11">
        <f t="shared" si="63"/>
        <v>0</v>
      </c>
      <c r="Y129" s="11">
        <f t="shared" si="72"/>
        <v>0</v>
      </c>
      <c r="Z129" s="24">
        <f t="shared" si="73"/>
        <v>0</v>
      </c>
      <c r="AA129" s="25">
        <f t="shared" si="74"/>
        <v>0</v>
      </c>
      <c r="AB129" s="24">
        <f t="shared" si="64"/>
        <v>0</v>
      </c>
      <c r="AC129" s="24">
        <f t="shared" si="65"/>
        <v>0</v>
      </c>
      <c r="AD129" s="24">
        <f t="shared" si="66"/>
        <v>0</v>
      </c>
      <c r="AE129" s="24">
        <f t="shared" si="67"/>
        <v>0</v>
      </c>
      <c r="AF129" s="119" t="str">
        <f>VLOOKUP(P129*1,Referencias!$G:$H,2,0)</f>
        <v>dom</v>
      </c>
      <c r="AZ129" s="35" t="s">
        <v>178</v>
      </c>
      <c r="BA129" s="29">
        <v>3.6111111111111115E-2</v>
      </c>
      <c r="BB129" s="30">
        <v>5.22</v>
      </c>
      <c r="BC129" s="30">
        <v>10.66</v>
      </c>
      <c r="BD129" s="31">
        <v>1</v>
      </c>
      <c r="BF129"/>
      <c r="BG129"/>
      <c r="BH129"/>
      <c r="BI129"/>
      <c r="BR129" s="10"/>
      <c r="BS129" s="10"/>
    </row>
    <row r="130" spans="1:71" ht="14.4" x14ac:dyDescent="0.3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7" t="str">
        <f t="shared" si="68"/>
        <v>#LIUNDNRUW</v>
      </c>
      <c r="O130" s="7">
        <f t="shared" ref="O130:O193" si="76">IF(X130&gt;0,B130,0)</f>
        <v>0</v>
      </c>
      <c r="P130" s="21">
        <f t="shared" si="69"/>
        <v>43233</v>
      </c>
      <c r="Q130" s="22">
        <f>VLOOKUP(R130,Referencias!$D$1:$E$13,2,0)</f>
        <v>5</v>
      </c>
      <c r="R130" s="7" t="str">
        <f t="shared" si="70"/>
        <v>MAI</v>
      </c>
      <c r="S130" s="7">
        <f t="shared" ref="S130:S193" si="77">IF(X130&gt;0,A131,0)</f>
        <v>0</v>
      </c>
      <c r="T130" s="11">
        <f t="shared" si="71"/>
        <v>13</v>
      </c>
      <c r="U130" s="11">
        <f t="shared" ref="U130:U193" si="78">IF(X130&gt;0,A130,0)</f>
        <v>0</v>
      </c>
      <c r="V130" s="11" t="e">
        <f>VLOOKUP(C130,Referencias!$A$2:$B$33,2,1)</f>
        <v>#N/A</v>
      </c>
      <c r="W130" s="23" t="str">
        <f t="shared" si="75"/>
        <v/>
      </c>
      <c r="X130" s="11">
        <f t="shared" ref="X130:X193" si="79">D130*1</f>
        <v>0</v>
      </c>
      <c r="Y130" s="11">
        <f t="shared" si="72"/>
        <v>0</v>
      </c>
      <c r="Z130" s="24">
        <f t="shared" si="73"/>
        <v>0</v>
      </c>
      <c r="AA130" s="25">
        <f t="shared" si="74"/>
        <v>0</v>
      </c>
      <c r="AB130" s="24">
        <f t="shared" ref="AB130:AB193" si="80">IF(O130&gt;0,1,0)</f>
        <v>0</v>
      </c>
      <c r="AC130" s="24">
        <f t="shared" ref="AC130:AC193" si="81">Z130*$AL$14</f>
        <v>0</v>
      </c>
      <c r="AD130" s="24">
        <f t="shared" ref="AD130:AD193" si="82">Z130*$AN$14</f>
        <v>0</v>
      </c>
      <c r="AE130" s="24">
        <f t="shared" ref="AE130:AE193" si="83">Z130*$AL$26</f>
        <v>0</v>
      </c>
      <c r="AF130" s="119" t="str">
        <f>VLOOKUP(P130*1,Referencias!$G:$H,2,0)</f>
        <v>dom</v>
      </c>
      <c r="AZ130" s="118">
        <v>43246</v>
      </c>
      <c r="BA130" s="29">
        <v>9.8611111111111122E-2</v>
      </c>
      <c r="BB130" s="30">
        <v>8.82</v>
      </c>
      <c r="BC130" s="30">
        <v>14.84</v>
      </c>
      <c r="BD130" s="31">
        <v>2</v>
      </c>
      <c r="BF130"/>
      <c r="BG130"/>
      <c r="BH130"/>
      <c r="BI130"/>
      <c r="BR130" s="10"/>
      <c r="BS130" s="10"/>
    </row>
    <row r="131" spans="1:71" ht="14.4" x14ac:dyDescent="0.3">
      <c r="A131" s="16"/>
      <c r="B131" s="17" t="s">
        <v>79</v>
      </c>
      <c r="C131" s="18">
        <v>0.56319444444444444</v>
      </c>
      <c r="D131" s="7">
        <v>8.85</v>
      </c>
      <c r="E131" s="7" t="s">
        <v>44</v>
      </c>
      <c r="F131" s="7"/>
      <c r="G131" s="19">
        <v>4.6100000000000003</v>
      </c>
      <c r="H131" s="20">
        <v>138.69</v>
      </c>
      <c r="I131" s="7"/>
      <c r="J131" s="7"/>
      <c r="K131" s="7"/>
      <c r="L131" s="7"/>
      <c r="M131" s="7"/>
      <c r="N131" s="7" t="str">
        <f t="shared" ref="N131:N194" si="84">IF(O131&lt;&gt;0,O131,N130)</f>
        <v>#LIQ8VKCTD</v>
      </c>
      <c r="O131" s="7" t="str">
        <f t="shared" si="76"/>
        <v>#LIQ8VKCTD</v>
      </c>
      <c r="P131" s="21">
        <f t="shared" ref="P131:P194" si="85">(T131&amp;"/"&amp;Q131&amp;"/2018")*1</f>
        <v>43233</v>
      </c>
      <c r="Q131" s="22">
        <f>VLOOKUP(R131,Referencias!$D$1:$E$13,2,0)</f>
        <v>5</v>
      </c>
      <c r="R131" s="7" t="str">
        <f t="shared" ref="R131:R194" si="86">IF(S131="ganhos garantidos",R130,IF(S131&lt;&gt;0,S131,R130))</f>
        <v>MAI</v>
      </c>
      <c r="S131" s="7">
        <f t="shared" si="77"/>
        <v>0</v>
      </c>
      <c r="T131" s="11">
        <f t="shared" ref="T131:T194" si="87">IF(U131&lt;&gt;0,U131,T130)</f>
        <v>13</v>
      </c>
      <c r="U131" s="11">
        <f t="shared" si="78"/>
        <v>0</v>
      </c>
      <c r="V131" s="11" t="str">
        <f>VLOOKUP(C131,Referencias!$A$2:$B$33,2,1)</f>
        <v>13 - 14</v>
      </c>
      <c r="W131" s="23">
        <f t="shared" si="75"/>
        <v>2.9861111111111116E-2</v>
      </c>
      <c r="X131" s="11">
        <f t="shared" si="79"/>
        <v>8.85</v>
      </c>
      <c r="Y131" s="11">
        <f t="shared" ref="Y131:Y194" si="88">X131*$AK$2</f>
        <v>15.62850971922246</v>
      </c>
      <c r="Z131" s="24">
        <f t="shared" ref="Z131:Z194" si="89">IF(A131="Ganhos Garantidos",G131,IF(X131&gt;0,G131*1,0))</f>
        <v>4.6100000000000003</v>
      </c>
      <c r="AA131" s="25">
        <f t="shared" ref="AA131:AA194" si="90">IFERROR(Z131/(86400*(W131)/360/10),0)</f>
        <v>6.4325581395348834</v>
      </c>
      <c r="AB131" s="24">
        <f t="shared" si="80"/>
        <v>1</v>
      </c>
      <c r="AC131" s="24">
        <f t="shared" si="81"/>
        <v>3.0202332805604768</v>
      </c>
      <c r="AD131" s="24">
        <f t="shared" si="82"/>
        <v>3.6592411863834791</v>
      </c>
      <c r="AE131" s="24">
        <f t="shared" si="83"/>
        <v>4.3385933030796133</v>
      </c>
      <c r="AF131" s="119" t="str">
        <f>VLOOKUP(P131*1,Referencias!$G:$H,2,0)</f>
        <v>dom</v>
      </c>
      <c r="AZ131" s="35" t="s">
        <v>183</v>
      </c>
      <c r="BA131" s="29">
        <v>6.5277777777777782E-2</v>
      </c>
      <c r="BB131" s="30">
        <v>5.31</v>
      </c>
      <c r="BC131" s="30">
        <v>7.39</v>
      </c>
      <c r="BD131" s="31">
        <v>1</v>
      </c>
      <c r="BF131"/>
      <c r="BG131"/>
      <c r="BH131"/>
      <c r="BI131"/>
      <c r="BR131" s="10"/>
      <c r="BS131" s="10"/>
    </row>
    <row r="132" spans="1:71" ht="14.4" x14ac:dyDescent="0.3">
      <c r="A132" s="16"/>
      <c r="B132" s="17"/>
      <c r="C132" s="18">
        <v>0.59305555555555556</v>
      </c>
      <c r="D132" s="7"/>
      <c r="E132" s="7"/>
      <c r="F132" s="7"/>
      <c r="G132" s="19"/>
      <c r="H132" s="20"/>
      <c r="I132" s="7"/>
      <c r="J132" s="7"/>
      <c r="K132" s="7"/>
      <c r="L132" s="7"/>
      <c r="M132" s="7"/>
      <c r="N132" s="7" t="str">
        <f t="shared" si="84"/>
        <v>#LIQ8VKCTD</v>
      </c>
      <c r="O132" s="7">
        <f t="shared" si="76"/>
        <v>0</v>
      </c>
      <c r="P132" s="21">
        <f t="shared" si="85"/>
        <v>43233</v>
      </c>
      <c r="Q132" s="22">
        <f>VLOOKUP(R132,Referencias!$D$1:$E$13,2,0)</f>
        <v>5</v>
      </c>
      <c r="R132" s="7" t="str">
        <f t="shared" si="86"/>
        <v>MAI</v>
      </c>
      <c r="S132" s="7">
        <f t="shared" si="77"/>
        <v>0</v>
      </c>
      <c r="T132" s="11">
        <f t="shared" si="87"/>
        <v>13</v>
      </c>
      <c r="U132" s="11">
        <f t="shared" si="78"/>
        <v>0</v>
      </c>
      <c r="V132" s="11" t="str">
        <f>VLOOKUP(C132,Referencias!$A$2:$B$33,2,1)</f>
        <v>14 - 15</v>
      </c>
      <c r="W132" s="23" t="str">
        <f t="shared" ref="W132:W195" si="91">IF(X132&gt;0,C133-C132,"")</f>
        <v/>
      </c>
      <c r="X132" s="11">
        <f t="shared" si="79"/>
        <v>0</v>
      </c>
      <c r="Y132" s="11">
        <f t="shared" si="88"/>
        <v>0</v>
      </c>
      <c r="Z132" s="24">
        <f t="shared" si="89"/>
        <v>0</v>
      </c>
      <c r="AA132" s="25">
        <f t="shared" si="90"/>
        <v>0</v>
      </c>
      <c r="AB132" s="24">
        <f t="shared" si="80"/>
        <v>0</v>
      </c>
      <c r="AC132" s="24">
        <f t="shared" si="81"/>
        <v>0</v>
      </c>
      <c r="AD132" s="24">
        <f t="shared" si="82"/>
        <v>0</v>
      </c>
      <c r="AE132" s="24">
        <f t="shared" si="83"/>
        <v>0</v>
      </c>
      <c r="AF132" s="119" t="str">
        <f>VLOOKUP(P132*1,Referencias!$G:$H,2,0)</f>
        <v>dom</v>
      </c>
      <c r="AZ132" s="35" t="s">
        <v>184</v>
      </c>
      <c r="BA132" s="29">
        <v>3.3333333333333333E-2</v>
      </c>
      <c r="BB132" s="30">
        <v>3.51</v>
      </c>
      <c r="BC132" s="30">
        <v>7.45</v>
      </c>
      <c r="BD132" s="31">
        <v>1</v>
      </c>
      <c r="BF132"/>
      <c r="BG132"/>
      <c r="BH132"/>
      <c r="BI132"/>
      <c r="BR132" s="10"/>
      <c r="BS132" s="10"/>
    </row>
    <row r="133" spans="1:71" ht="14.4" x14ac:dyDescent="0.3">
      <c r="A133" s="36"/>
      <c r="B133" s="36"/>
      <c r="C133" s="36"/>
      <c r="D133" s="36"/>
      <c r="E133" s="36"/>
      <c r="F133" s="36"/>
      <c r="G133" s="36"/>
      <c r="H133" s="36"/>
      <c r="I133" s="36"/>
      <c r="J133" s="37"/>
      <c r="K133" s="37"/>
      <c r="L133" s="37"/>
      <c r="M133" s="37"/>
      <c r="N133" s="7" t="str">
        <f t="shared" si="84"/>
        <v>#LIQ8VKCTD</v>
      </c>
      <c r="O133" s="7">
        <f t="shared" si="76"/>
        <v>0</v>
      </c>
      <c r="P133" s="21">
        <f t="shared" si="85"/>
        <v>43233</v>
      </c>
      <c r="Q133" s="22">
        <f>VLOOKUP(R133,Referencias!$D$1:$E$13,2,0)</f>
        <v>5</v>
      </c>
      <c r="R133" s="7" t="str">
        <f t="shared" si="86"/>
        <v>MAI</v>
      </c>
      <c r="S133" s="7">
        <f t="shared" si="77"/>
        <v>0</v>
      </c>
      <c r="T133" s="11">
        <f t="shared" si="87"/>
        <v>13</v>
      </c>
      <c r="U133" s="11">
        <f t="shared" si="78"/>
        <v>0</v>
      </c>
      <c r="V133" s="11" t="e">
        <f>VLOOKUP(C133,Referencias!$A$2:$B$33,2,1)</f>
        <v>#N/A</v>
      </c>
      <c r="W133" s="23" t="str">
        <f t="shared" si="91"/>
        <v/>
      </c>
      <c r="X133" s="11">
        <f t="shared" si="79"/>
        <v>0</v>
      </c>
      <c r="Y133" s="11">
        <f t="shared" si="88"/>
        <v>0</v>
      </c>
      <c r="Z133" s="24">
        <f t="shared" si="89"/>
        <v>0</v>
      </c>
      <c r="AA133" s="25">
        <f t="shared" si="90"/>
        <v>0</v>
      </c>
      <c r="AB133" s="24">
        <f t="shared" si="80"/>
        <v>0</v>
      </c>
      <c r="AC133" s="24">
        <f t="shared" si="81"/>
        <v>0</v>
      </c>
      <c r="AD133" s="24">
        <f t="shared" si="82"/>
        <v>0</v>
      </c>
      <c r="AE133" s="24">
        <f t="shared" si="83"/>
        <v>0</v>
      </c>
      <c r="AF133" s="119" t="str">
        <f>VLOOKUP(P133*1,Referencias!$G:$H,2,0)</f>
        <v>dom</v>
      </c>
      <c r="AZ133" s="118">
        <v>43247</v>
      </c>
      <c r="BA133" s="29">
        <v>0.38263888888888881</v>
      </c>
      <c r="BB133" s="30">
        <v>66.710000000000008</v>
      </c>
      <c r="BC133" s="30">
        <v>109.73</v>
      </c>
      <c r="BD133" s="31">
        <v>15</v>
      </c>
      <c r="BF133"/>
      <c r="BG133"/>
      <c r="BH133"/>
      <c r="BI133"/>
      <c r="BR133" s="10"/>
      <c r="BS133" s="10"/>
    </row>
    <row r="134" spans="1:71" ht="14.4" x14ac:dyDescent="0.3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7" t="str">
        <f t="shared" si="84"/>
        <v>#LIQ8VKCTD</v>
      </c>
      <c r="O134" s="7">
        <f t="shared" si="76"/>
        <v>0</v>
      </c>
      <c r="P134" s="21">
        <f t="shared" si="85"/>
        <v>43233</v>
      </c>
      <c r="Q134" s="22">
        <f>VLOOKUP(R134,Referencias!$D$1:$E$13,2,0)</f>
        <v>5</v>
      </c>
      <c r="R134" s="7" t="str">
        <f t="shared" si="86"/>
        <v>MAI</v>
      </c>
      <c r="S134" s="7">
        <f t="shared" si="77"/>
        <v>0</v>
      </c>
      <c r="T134" s="11">
        <f t="shared" si="87"/>
        <v>13</v>
      </c>
      <c r="U134" s="11">
        <f t="shared" si="78"/>
        <v>0</v>
      </c>
      <c r="V134" s="11" t="e">
        <f>VLOOKUP(C134,Referencias!$A$2:$B$33,2,1)</f>
        <v>#N/A</v>
      </c>
      <c r="W134" s="23" t="str">
        <f t="shared" si="91"/>
        <v/>
      </c>
      <c r="X134" s="11">
        <f t="shared" si="79"/>
        <v>0</v>
      </c>
      <c r="Y134" s="11">
        <f t="shared" si="88"/>
        <v>0</v>
      </c>
      <c r="Z134" s="24">
        <f t="shared" si="89"/>
        <v>0</v>
      </c>
      <c r="AA134" s="25">
        <f t="shared" si="90"/>
        <v>0</v>
      </c>
      <c r="AB134" s="24">
        <f t="shared" si="80"/>
        <v>0</v>
      </c>
      <c r="AC134" s="24">
        <f t="shared" si="81"/>
        <v>0</v>
      </c>
      <c r="AD134" s="24">
        <f t="shared" si="82"/>
        <v>0</v>
      </c>
      <c r="AE134" s="24">
        <f t="shared" si="83"/>
        <v>0</v>
      </c>
      <c r="AF134" s="119" t="str">
        <f>VLOOKUP(P134*1,Referencias!$G:$H,2,0)</f>
        <v>dom</v>
      </c>
      <c r="AZ134" s="35" t="s">
        <v>191</v>
      </c>
      <c r="BA134" s="29">
        <v>4.027777777777778E-2</v>
      </c>
      <c r="BB134" s="30">
        <v>7.66</v>
      </c>
      <c r="BC134" s="30">
        <v>17.600000000000001</v>
      </c>
      <c r="BD134" s="31">
        <v>1</v>
      </c>
      <c r="BF134"/>
      <c r="BG134"/>
      <c r="BH134"/>
      <c r="BI134"/>
      <c r="BR134" s="10"/>
      <c r="BS134" s="10"/>
    </row>
    <row r="135" spans="1:71" ht="14.4" x14ac:dyDescent="0.3">
      <c r="A135" s="16"/>
      <c r="B135" s="17" t="s">
        <v>80</v>
      </c>
      <c r="C135" s="18">
        <v>0.80972222222222223</v>
      </c>
      <c r="D135" s="7">
        <v>3.17</v>
      </c>
      <c r="E135" s="7" t="s">
        <v>17</v>
      </c>
      <c r="F135" s="7"/>
      <c r="G135" s="19">
        <v>2.6</v>
      </c>
      <c r="H135" s="20">
        <v>141.29</v>
      </c>
      <c r="I135" s="7"/>
      <c r="J135" s="7"/>
      <c r="K135" s="7"/>
      <c r="L135" s="7"/>
      <c r="M135" s="7"/>
      <c r="N135" s="7" t="str">
        <f t="shared" si="84"/>
        <v>#LIA7YUQBB</v>
      </c>
      <c r="O135" s="7" t="str">
        <f t="shared" si="76"/>
        <v>#LIA7YUQBB</v>
      </c>
      <c r="P135" s="21">
        <f t="shared" si="85"/>
        <v>43233</v>
      </c>
      <c r="Q135" s="22">
        <f>VLOOKUP(R135,Referencias!$D$1:$E$13,2,0)</f>
        <v>5</v>
      </c>
      <c r="R135" s="7" t="str">
        <f t="shared" si="86"/>
        <v>MAI</v>
      </c>
      <c r="S135" s="7">
        <f t="shared" si="77"/>
        <v>0</v>
      </c>
      <c r="T135" s="11">
        <f t="shared" si="87"/>
        <v>13</v>
      </c>
      <c r="U135" s="11">
        <f t="shared" si="78"/>
        <v>0</v>
      </c>
      <c r="V135" s="11" t="str">
        <f>VLOOKUP(C135,Referencias!$A$2:$B$33,2,1)</f>
        <v>19 - 20</v>
      </c>
      <c r="W135" s="23">
        <f t="shared" si="91"/>
        <v>1.5972222222222165E-2</v>
      </c>
      <c r="X135" s="11">
        <f t="shared" si="79"/>
        <v>3.17</v>
      </c>
      <c r="Y135" s="11">
        <f t="shared" si="88"/>
        <v>5.5980085660943733</v>
      </c>
      <c r="Z135" s="24">
        <f t="shared" si="89"/>
        <v>2.6</v>
      </c>
      <c r="AA135" s="25">
        <f t="shared" si="90"/>
        <v>6.7826086956521996</v>
      </c>
      <c r="AB135" s="24">
        <f t="shared" si="80"/>
        <v>1</v>
      </c>
      <c r="AC135" s="24">
        <f t="shared" si="81"/>
        <v>1.703385364307427</v>
      </c>
      <c r="AD135" s="24">
        <f t="shared" si="82"/>
        <v>2.0637802786544568</v>
      </c>
      <c r="AE135" s="24">
        <f t="shared" si="83"/>
        <v>2.4469289778757037</v>
      </c>
      <c r="AF135" s="119" t="str">
        <f>VLOOKUP(P135*1,Referencias!$G:$H,2,0)</f>
        <v>dom</v>
      </c>
      <c r="AZ135" s="35" t="s">
        <v>201</v>
      </c>
      <c r="BA135" s="29">
        <v>1.1111111111111112E-2</v>
      </c>
      <c r="BB135" s="30">
        <v>6.66</v>
      </c>
      <c r="BC135" s="30">
        <v>11.57</v>
      </c>
      <c r="BD135" s="31">
        <v>1</v>
      </c>
      <c r="BF135"/>
      <c r="BG135"/>
      <c r="BH135"/>
      <c r="BI135"/>
      <c r="BR135" s="10"/>
      <c r="BS135" s="10"/>
    </row>
    <row r="136" spans="1:71" ht="14.4" x14ac:dyDescent="0.3">
      <c r="A136" s="16"/>
      <c r="B136" s="17"/>
      <c r="C136" s="18">
        <v>0.8256944444444444</v>
      </c>
      <c r="D136" s="7"/>
      <c r="E136" s="7"/>
      <c r="F136" s="7"/>
      <c r="G136" s="19"/>
      <c r="H136" s="20"/>
      <c r="I136" s="7"/>
      <c r="J136" s="7"/>
      <c r="K136" s="7"/>
      <c r="L136" s="7"/>
      <c r="M136" s="7"/>
      <c r="N136" s="7" t="str">
        <f t="shared" si="84"/>
        <v>#LIA7YUQBB</v>
      </c>
      <c r="O136" s="7">
        <f t="shared" si="76"/>
        <v>0</v>
      </c>
      <c r="P136" s="21">
        <f t="shared" si="85"/>
        <v>43233</v>
      </c>
      <c r="Q136" s="22">
        <f>VLOOKUP(R136,Referencias!$D$1:$E$13,2,0)</f>
        <v>5</v>
      </c>
      <c r="R136" s="7" t="str">
        <f t="shared" si="86"/>
        <v>MAI</v>
      </c>
      <c r="S136" s="7">
        <f t="shared" si="77"/>
        <v>0</v>
      </c>
      <c r="T136" s="11">
        <f t="shared" si="87"/>
        <v>13</v>
      </c>
      <c r="U136" s="11">
        <f t="shared" si="78"/>
        <v>0</v>
      </c>
      <c r="V136" s="11" t="str">
        <f>VLOOKUP(C136,Referencias!$A$2:$B$33,2,1)</f>
        <v>19 - 20</v>
      </c>
      <c r="W136" s="23" t="str">
        <f t="shared" si="91"/>
        <v/>
      </c>
      <c r="X136" s="11">
        <f t="shared" si="79"/>
        <v>0</v>
      </c>
      <c r="Y136" s="11">
        <f t="shared" si="88"/>
        <v>0</v>
      </c>
      <c r="Z136" s="24">
        <f t="shared" si="89"/>
        <v>0</v>
      </c>
      <c r="AA136" s="25">
        <f t="shared" si="90"/>
        <v>0</v>
      </c>
      <c r="AB136" s="24">
        <f t="shared" si="80"/>
        <v>0</v>
      </c>
      <c r="AC136" s="24">
        <f t="shared" si="81"/>
        <v>0</v>
      </c>
      <c r="AD136" s="24">
        <f t="shared" si="82"/>
        <v>0</v>
      </c>
      <c r="AE136" s="24">
        <f t="shared" si="83"/>
        <v>0</v>
      </c>
      <c r="AF136" s="119" t="str">
        <f>VLOOKUP(P136*1,Referencias!$G:$H,2,0)</f>
        <v>dom</v>
      </c>
      <c r="AZ136" s="35" t="s">
        <v>199</v>
      </c>
      <c r="BA136" s="29">
        <v>3.6805555555555557E-2</v>
      </c>
      <c r="BB136" s="30">
        <v>6.17</v>
      </c>
      <c r="BC136" s="30">
        <v>9.5</v>
      </c>
      <c r="BD136" s="31">
        <v>1</v>
      </c>
      <c r="BF136"/>
      <c r="BG136"/>
      <c r="BH136"/>
      <c r="BI136"/>
      <c r="BR136" s="10"/>
      <c r="BS136" s="10"/>
    </row>
    <row r="137" spans="1:71" ht="14.4" x14ac:dyDescent="0.3">
      <c r="A137" s="36"/>
      <c r="B137" s="36"/>
      <c r="C137" s="36"/>
      <c r="D137" s="36"/>
      <c r="E137" s="36"/>
      <c r="F137" s="36"/>
      <c r="G137" s="36"/>
      <c r="H137" s="36"/>
      <c r="I137" s="36"/>
      <c r="J137" s="37"/>
      <c r="K137" s="37"/>
      <c r="L137" s="37"/>
      <c r="M137" s="37"/>
      <c r="N137" s="7" t="str">
        <f t="shared" si="84"/>
        <v>#LIA7YUQBB</v>
      </c>
      <c r="O137" s="7">
        <f t="shared" si="76"/>
        <v>0</v>
      </c>
      <c r="P137" s="21">
        <f t="shared" si="85"/>
        <v>43233</v>
      </c>
      <c r="Q137" s="22">
        <f>VLOOKUP(R137,Referencias!$D$1:$E$13,2,0)</f>
        <v>5</v>
      </c>
      <c r="R137" s="7" t="str">
        <f t="shared" si="86"/>
        <v>MAI</v>
      </c>
      <c r="S137" s="7">
        <f t="shared" si="77"/>
        <v>0</v>
      </c>
      <c r="T137" s="11">
        <f t="shared" si="87"/>
        <v>13</v>
      </c>
      <c r="U137" s="11">
        <f t="shared" si="78"/>
        <v>0</v>
      </c>
      <c r="V137" s="11" t="e">
        <f>VLOOKUP(C137,Referencias!$A$2:$B$33,2,1)</f>
        <v>#N/A</v>
      </c>
      <c r="W137" s="23" t="str">
        <f t="shared" si="91"/>
        <v/>
      </c>
      <c r="X137" s="11">
        <f t="shared" si="79"/>
        <v>0</v>
      </c>
      <c r="Y137" s="11">
        <f t="shared" si="88"/>
        <v>0</v>
      </c>
      <c r="Z137" s="24">
        <f t="shared" si="89"/>
        <v>0</v>
      </c>
      <c r="AA137" s="25">
        <f t="shared" si="90"/>
        <v>0</v>
      </c>
      <c r="AB137" s="24">
        <f t="shared" si="80"/>
        <v>0</v>
      </c>
      <c r="AC137" s="24">
        <f t="shared" si="81"/>
        <v>0</v>
      </c>
      <c r="AD137" s="24">
        <f t="shared" si="82"/>
        <v>0</v>
      </c>
      <c r="AE137" s="24">
        <f t="shared" si="83"/>
        <v>0</v>
      </c>
      <c r="AF137" s="119" t="str">
        <f>VLOOKUP(P137*1,Referencias!$G:$H,2,0)</f>
        <v>dom</v>
      </c>
      <c r="AZ137" s="35" t="s">
        <v>202</v>
      </c>
      <c r="BA137" s="29">
        <v>2.0833333333333332E-2</v>
      </c>
      <c r="BB137" s="30">
        <v>4.33</v>
      </c>
      <c r="BC137" s="30">
        <v>5.55</v>
      </c>
      <c r="BD137" s="31">
        <v>1</v>
      </c>
      <c r="BF137"/>
      <c r="BG137"/>
      <c r="BH137"/>
      <c r="BI137"/>
      <c r="BR137" s="10"/>
      <c r="BS137" s="10"/>
    </row>
    <row r="138" spans="1:71" ht="14.4" x14ac:dyDescent="0.3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7" t="str">
        <f t="shared" si="84"/>
        <v>#LIA7YUQBB</v>
      </c>
      <c r="O138" s="7">
        <f t="shared" si="76"/>
        <v>0</v>
      </c>
      <c r="P138" s="21">
        <f t="shared" si="85"/>
        <v>43233</v>
      </c>
      <c r="Q138" s="22">
        <f>VLOOKUP(R138,Referencias!$D$1:$E$13,2,0)</f>
        <v>5</v>
      </c>
      <c r="R138" s="7" t="str">
        <f t="shared" si="86"/>
        <v>MAI</v>
      </c>
      <c r="S138" s="7">
        <f t="shared" si="77"/>
        <v>0</v>
      </c>
      <c r="T138" s="11">
        <f t="shared" si="87"/>
        <v>13</v>
      </c>
      <c r="U138" s="11">
        <f t="shared" si="78"/>
        <v>0</v>
      </c>
      <c r="V138" s="11" t="e">
        <f>VLOOKUP(C138,Referencias!$A$2:$B$33,2,1)</f>
        <v>#N/A</v>
      </c>
      <c r="W138" s="23" t="str">
        <f t="shared" si="91"/>
        <v/>
      </c>
      <c r="X138" s="11">
        <f t="shared" si="79"/>
        <v>0</v>
      </c>
      <c r="Y138" s="11">
        <f t="shared" si="88"/>
        <v>0</v>
      </c>
      <c r="Z138" s="24">
        <f t="shared" si="89"/>
        <v>0</v>
      </c>
      <c r="AA138" s="25">
        <f t="shared" si="90"/>
        <v>0</v>
      </c>
      <c r="AB138" s="24">
        <f t="shared" si="80"/>
        <v>0</v>
      </c>
      <c r="AC138" s="24">
        <f t="shared" si="81"/>
        <v>0</v>
      </c>
      <c r="AD138" s="24">
        <f t="shared" si="82"/>
        <v>0</v>
      </c>
      <c r="AE138" s="24">
        <f t="shared" si="83"/>
        <v>0</v>
      </c>
      <c r="AF138" s="119" t="str">
        <f>VLOOKUP(P138*1,Referencias!$G:$H,2,0)</f>
        <v>dom</v>
      </c>
      <c r="AZ138" s="35" t="s">
        <v>198</v>
      </c>
      <c r="BA138" s="29">
        <v>2.0833333333333333E-3</v>
      </c>
      <c r="BB138" s="30">
        <v>1.5</v>
      </c>
      <c r="BC138" s="30">
        <v>2.97</v>
      </c>
      <c r="BD138" s="31">
        <v>1</v>
      </c>
      <c r="BF138"/>
      <c r="BG138"/>
      <c r="BH138"/>
      <c r="BI138"/>
      <c r="BR138" s="10"/>
      <c r="BS138" s="10"/>
    </row>
    <row r="139" spans="1:71" ht="14.4" x14ac:dyDescent="0.3">
      <c r="A139" s="16"/>
      <c r="B139" s="17" t="s">
        <v>81</v>
      </c>
      <c r="C139" s="18">
        <v>0.8256944444444444</v>
      </c>
      <c r="D139" s="7">
        <v>10.6</v>
      </c>
      <c r="E139" s="7" t="s">
        <v>53</v>
      </c>
      <c r="F139" s="7"/>
      <c r="G139" s="19">
        <v>5.21</v>
      </c>
      <c r="H139" s="20">
        <v>146.5</v>
      </c>
      <c r="I139" s="7"/>
      <c r="J139" s="7"/>
      <c r="K139" s="7"/>
      <c r="L139" s="7"/>
      <c r="M139" s="7"/>
      <c r="N139" s="7" t="str">
        <f t="shared" si="84"/>
        <v>#LIKYHVR1B</v>
      </c>
      <c r="O139" s="7" t="str">
        <f t="shared" si="76"/>
        <v>#LIKYHVR1B</v>
      </c>
      <c r="P139" s="21">
        <f t="shared" si="85"/>
        <v>43233</v>
      </c>
      <c r="Q139" s="22">
        <f>VLOOKUP(R139,Referencias!$D$1:$E$13,2,0)</f>
        <v>5</v>
      </c>
      <c r="R139" s="7" t="str">
        <f t="shared" si="86"/>
        <v>MAI</v>
      </c>
      <c r="S139" s="7">
        <f t="shared" si="77"/>
        <v>0</v>
      </c>
      <c r="T139" s="11">
        <f t="shared" si="87"/>
        <v>13</v>
      </c>
      <c r="U139" s="11">
        <f t="shared" si="78"/>
        <v>0</v>
      </c>
      <c r="V139" s="11" t="str">
        <f>VLOOKUP(C139,Referencias!$A$2:$B$33,2,1)</f>
        <v>19 - 20</v>
      </c>
      <c r="W139" s="23">
        <f t="shared" si="91"/>
        <v>2.9166666666666785E-2</v>
      </c>
      <c r="X139" s="11">
        <f t="shared" si="79"/>
        <v>10.6</v>
      </c>
      <c r="Y139" s="11">
        <f t="shared" si="88"/>
        <v>18.718892997034811</v>
      </c>
      <c r="Z139" s="24">
        <f t="shared" si="89"/>
        <v>5.21</v>
      </c>
      <c r="AA139" s="25">
        <f t="shared" si="90"/>
        <v>7.4428571428571138</v>
      </c>
      <c r="AB139" s="24">
        <f t="shared" si="80"/>
        <v>1</v>
      </c>
      <c r="AC139" s="24">
        <f t="shared" si="81"/>
        <v>3.4133222107852674</v>
      </c>
      <c r="AD139" s="24">
        <f t="shared" si="82"/>
        <v>4.1354981737652761</v>
      </c>
      <c r="AE139" s="24">
        <f t="shared" si="83"/>
        <v>4.9032692210509294</v>
      </c>
      <c r="AF139" s="119" t="str">
        <f>VLOOKUP(P139*1,Referencias!$G:$H,2,0)</f>
        <v>dom</v>
      </c>
      <c r="AZ139" s="35" t="s">
        <v>197</v>
      </c>
      <c r="BA139" s="29">
        <v>3.888888888888889E-2</v>
      </c>
      <c r="BB139" s="30">
        <v>5.04</v>
      </c>
      <c r="BC139" s="30">
        <v>8.82</v>
      </c>
      <c r="BD139" s="31">
        <v>1</v>
      </c>
      <c r="BF139"/>
      <c r="BG139"/>
      <c r="BH139"/>
      <c r="BI139"/>
      <c r="BR139" s="10"/>
      <c r="BS139" s="10"/>
    </row>
    <row r="140" spans="1:71" ht="14.4" x14ac:dyDescent="0.3">
      <c r="A140" s="16"/>
      <c r="B140" s="17"/>
      <c r="C140" s="18">
        <v>0.85486111111111118</v>
      </c>
      <c r="D140" s="7"/>
      <c r="E140" s="7"/>
      <c r="F140" s="7"/>
      <c r="G140" s="19"/>
      <c r="H140" s="20"/>
      <c r="I140" s="7"/>
      <c r="J140" s="7"/>
      <c r="K140" s="7"/>
      <c r="L140" s="7"/>
      <c r="M140" s="7"/>
      <c r="N140" s="7" t="str">
        <f t="shared" si="84"/>
        <v>#LIKYHVR1B</v>
      </c>
      <c r="O140" s="7">
        <f t="shared" si="76"/>
        <v>0</v>
      </c>
      <c r="P140" s="21">
        <f t="shared" si="85"/>
        <v>43233</v>
      </c>
      <c r="Q140" s="22">
        <f>VLOOKUP(R140,Referencias!$D$1:$E$13,2,0)</f>
        <v>5</v>
      </c>
      <c r="R140" s="7" t="str">
        <f t="shared" si="86"/>
        <v>MAI</v>
      </c>
      <c r="S140" s="7">
        <f t="shared" si="77"/>
        <v>0</v>
      </c>
      <c r="T140" s="11">
        <f t="shared" si="87"/>
        <v>13</v>
      </c>
      <c r="U140" s="11">
        <f t="shared" si="78"/>
        <v>0</v>
      </c>
      <c r="V140" s="11" t="str">
        <f>VLOOKUP(C140,Referencias!$A$2:$B$33,2,1)</f>
        <v>20 - 21</v>
      </c>
      <c r="W140" s="23" t="str">
        <f t="shared" si="91"/>
        <v/>
      </c>
      <c r="X140" s="11">
        <f t="shared" si="79"/>
        <v>0</v>
      </c>
      <c r="Y140" s="11">
        <f t="shared" si="88"/>
        <v>0</v>
      </c>
      <c r="Z140" s="24">
        <f t="shared" si="89"/>
        <v>0</v>
      </c>
      <c r="AA140" s="25">
        <f t="shared" si="90"/>
        <v>0</v>
      </c>
      <c r="AB140" s="24">
        <f t="shared" si="80"/>
        <v>0</v>
      </c>
      <c r="AC140" s="24">
        <f t="shared" si="81"/>
        <v>0</v>
      </c>
      <c r="AD140" s="24">
        <f t="shared" si="82"/>
        <v>0</v>
      </c>
      <c r="AE140" s="24">
        <f t="shared" si="83"/>
        <v>0</v>
      </c>
      <c r="AF140" s="119" t="str">
        <f>VLOOKUP(P140*1,Referencias!$G:$H,2,0)</f>
        <v>dom</v>
      </c>
      <c r="AZ140" s="35" t="s">
        <v>193</v>
      </c>
      <c r="BA140" s="29">
        <v>2.6388888888888889E-2</v>
      </c>
      <c r="BB140" s="30">
        <v>5.42</v>
      </c>
      <c r="BC140" s="30">
        <v>7.36</v>
      </c>
      <c r="BD140" s="31">
        <v>1</v>
      </c>
      <c r="BF140"/>
      <c r="BG140"/>
      <c r="BH140"/>
      <c r="BI140"/>
      <c r="BR140" s="10"/>
      <c r="BS140" s="10"/>
    </row>
    <row r="141" spans="1:71" ht="14.4" x14ac:dyDescent="0.3">
      <c r="A141" s="36"/>
      <c r="B141" s="36"/>
      <c r="C141" s="36"/>
      <c r="D141" s="36"/>
      <c r="E141" s="36"/>
      <c r="F141" s="36"/>
      <c r="G141" s="36"/>
      <c r="H141" s="36"/>
      <c r="I141" s="36"/>
      <c r="J141" s="37"/>
      <c r="K141" s="37"/>
      <c r="L141" s="37"/>
      <c r="M141" s="37"/>
      <c r="N141" s="7" t="str">
        <f t="shared" si="84"/>
        <v>#LIKYHVR1B</v>
      </c>
      <c r="O141" s="7">
        <f t="shared" si="76"/>
        <v>0</v>
      </c>
      <c r="P141" s="21">
        <f t="shared" si="85"/>
        <v>43233</v>
      </c>
      <c r="Q141" s="22">
        <f>VLOOKUP(R141,Referencias!$D$1:$E$13,2,0)</f>
        <v>5</v>
      </c>
      <c r="R141" s="7" t="str">
        <f t="shared" si="86"/>
        <v>MAI</v>
      </c>
      <c r="S141" s="7">
        <f t="shared" si="77"/>
        <v>0</v>
      </c>
      <c r="T141" s="11">
        <f t="shared" si="87"/>
        <v>13</v>
      </c>
      <c r="U141" s="11">
        <f t="shared" si="78"/>
        <v>0</v>
      </c>
      <c r="V141" s="11" t="e">
        <f>VLOOKUP(C141,Referencias!$A$2:$B$33,2,1)</f>
        <v>#N/A</v>
      </c>
      <c r="W141" s="23" t="str">
        <f t="shared" si="91"/>
        <v/>
      </c>
      <c r="X141" s="11">
        <f t="shared" si="79"/>
        <v>0</v>
      </c>
      <c r="Y141" s="11">
        <f t="shared" si="88"/>
        <v>0</v>
      </c>
      <c r="Z141" s="24">
        <f t="shared" si="89"/>
        <v>0</v>
      </c>
      <c r="AA141" s="25">
        <f t="shared" si="90"/>
        <v>0</v>
      </c>
      <c r="AB141" s="24">
        <f t="shared" si="80"/>
        <v>0</v>
      </c>
      <c r="AC141" s="24">
        <f t="shared" si="81"/>
        <v>0</v>
      </c>
      <c r="AD141" s="24">
        <f t="shared" si="82"/>
        <v>0</v>
      </c>
      <c r="AE141" s="24">
        <f t="shared" si="83"/>
        <v>0</v>
      </c>
      <c r="AF141" s="119" t="str">
        <f>VLOOKUP(P141*1,Referencias!$G:$H,2,0)</f>
        <v>dom</v>
      </c>
      <c r="AZ141" s="35" t="s">
        <v>195</v>
      </c>
      <c r="BA141" s="29">
        <v>2.4999999999999998E-2</v>
      </c>
      <c r="BB141" s="30">
        <v>5.72</v>
      </c>
      <c r="BC141" s="30">
        <v>8.2899999999999991</v>
      </c>
      <c r="BD141" s="31">
        <v>1</v>
      </c>
      <c r="BF141"/>
      <c r="BG141"/>
      <c r="BH141"/>
      <c r="BI141"/>
      <c r="BR141" s="10"/>
      <c r="BS141" s="10"/>
    </row>
    <row r="142" spans="1:71" ht="14.4" x14ac:dyDescent="0.3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7" t="str">
        <f t="shared" si="84"/>
        <v>#LIKYHVR1B</v>
      </c>
      <c r="O142" s="7">
        <f t="shared" si="76"/>
        <v>0</v>
      </c>
      <c r="P142" s="21">
        <f t="shared" si="85"/>
        <v>43233</v>
      </c>
      <c r="Q142" s="22">
        <f>VLOOKUP(R142,Referencias!$D$1:$E$13,2,0)</f>
        <v>5</v>
      </c>
      <c r="R142" s="7" t="str">
        <f t="shared" si="86"/>
        <v>MAI</v>
      </c>
      <c r="S142" s="7">
        <f t="shared" si="77"/>
        <v>0</v>
      </c>
      <c r="T142" s="11">
        <f t="shared" si="87"/>
        <v>13</v>
      </c>
      <c r="U142" s="11">
        <f t="shared" si="78"/>
        <v>0</v>
      </c>
      <c r="V142" s="11" t="e">
        <f>VLOOKUP(C142,Referencias!$A$2:$B$33,2,1)</f>
        <v>#N/A</v>
      </c>
      <c r="W142" s="23" t="str">
        <f t="shared" si="91"/>
        <v/>
      </c>
      <c r="X142" s="11">
        <f t="shared" si="79"/>
        <v>0</v>
      </c>
      <c r="Y142" s="11">
        <f t="shared" si="88"/>
        <v>0</v>
      </c>
      <c r="Z142" s="24">
        <f t="shared" si="89"/>
        <v>0</v>
      </c>
      <c r="AA142" s="25">
        <f t="shared" si="90"/>
        <v>0</v>
      </c>
      <c r="AB142" s="24">
        <f t="shared" si="80"/>
        <v>0</v>
      </c>
      <c r="AC142" s="24">
        <f t="shared" si="81"/>
        <v>0</v>
      </c>
      <c r="AD142" s="24">
        <f t="shared" si="82"/>
        <v>0</v>
      </c>
      <c r="AE142" s="24">
        <f t="shared" si="83"/>
        <v>0</v>
      </c>
      <c r="AF142" s="119" t="str">
        <f>VLOOKUP(P142*1,Referencias!$G:$H,2,0)</f>
        <v>dom</v>
      </c>
      <c r="AZ142" s="35" t="s">
        <v>189</v>
      </c>
      <c r="BA142" s="29">
        <v>4.9999999999999996E-2</v>
      </c>
      <c r="BB142" s="30">
        <v>3.88</v>
      </c>
      <c r="BC142" s="30">
        <v>6.09</v>
      </c>
      <c r="BD142" s="31">
        <v>1</v>
      </c>
      <c r="BF142"/>
      <c r="BG142"/>
      <c r="BH142"/>
      <c r="BI142"/>
      <c r="BR142" s="10"/>
      <c r="BS142" s="10"/>
    </row>
    <row r="143" spans="1:71" ht="14.4" x14ac:dyDescent="0.3">
      <c r="A143" s="16"/>
      <c r="B143" s="17" t="s">
        <v>82</v>
      </c>
      <c r="C143" s="18">
        <v>0.86388888888888893</v>
      </c>
      <c r="D143" s="7">
        <v>5.18</v>
      </c>
      <c r="E143" s="7" t="s">
        <v>62</v>
      </c>
      <c r="F143" s="19">
        <v>0.67</v>
      </c>
      <c r="G143" s="19">
        <v>4.03</v>
      </c>
      <c r="H143" s="20">
        <v>150.53</v>
      </c>
      <c r="I143" s="7"/>
      <c r="J143" s="7"/>
      <c r="K143" s="7"/>
      <c r="L143" s="7"/>
      <c r="M143" s="7"/>
      <c r="N143" s="7" t="str">
        <f t="shared" si="84"/>
        <v>#LIM2NN152</v>
      </c>
      <c r="O143" s="7" t="str">
        <f t="shared" si="76"/>
        <v>#LIM2NN152</v>
      </c>
      <c r="P143" s="21">
        <f t="shared" si="85"/>
        <v>43233</v>
      </c>
      <c r="Q143" s="22">
        <f>VLOOKUP(R143,Referencias!$D$1:$E$13,2,0)</f>
        <v>5</v>
      </c>
      <c r="R143" s="7" t="str">
        <f t="shared" si="86"/>
        <v>MAI</v>
      </c>
      <c r="S143" s="7">
        <f t="shared" si="77"/>
        <v>0</v>
      </c>
      <c r="T143" s="11">
        <f t="shared" si="87"/>
        <v>13</v>
      </c>
      <c r="U143" s="11">
        <f t="shared" si="78"/>
        <v>0</v>
      </c>
      <c r="V143" s="11" t="str">
        <f>VLOOKUP(C143,Referencias!$A$2:$B$33,2,1)</f>
        <v>20 - 21</v>
      </c>
      <c r="W143" s="23">
        <f t="shared" si="91"/>
        <v>1.8749999999999933E-2</v>
      </c>
      <c r="X143" s="11">
        <f t="shared" si="79"/>
        <v>5.18</v>
      </c>
      <c r="Y143" s="11">
        <f t="shared" si="88"/>
        <v>9.1475345023245591</v>
      </c>
      <c r="Z143" s="24">
        <f t="shared" si="89"/>
        <v>4.03</v>
      </c>
      <c r="AA143" s="25">
        <f t="shared" si="90"/>
        <v>8.9555555555555877</v>
      </c>
      <c r="AB143" s="24">
        <f t="shared" si="80"/>
        <v>1</v>
      </c>
      <c r="AC143" s="24">
        <f t="shared" si="81"/>
        <v>2.640247314676512</v>
      </c>
      <c r="AD143" s="24">
        <f t="shared" si="82"/>
        <v>3.1988594319144079</v>
      </c>
      <c r="AE143" s="24">
        <f t="shared" si="83"/>
        <v>3.7927399157073407</v>
      </c>
      <c r="AF143" s="119" t="str">
        <f>VLOOKUP(P143*1,Referencias!$G:$H,2,0)</f>
        <v>dom</v>
      </c>
      <c r="AZ143" s="35" t="s">
        <v>204</v>
      </c>
      <c r="BA143" s="29">
        <v>3.5416666666666666E-2</v>
      </c>
      <c r="BB143" s="30">
        <v>3.62</v>
      </c>
      <c r="BC143" s="30">
        <v>6.07</v>
      </c>
      <c r="BD143" s="31">
        <v>1</v>
      </c>
      <c r="BF143"/>
      <c r="BG143"/>
      <c r="BH143"/>
      <c r="BI143"/>
      <c r="BR143" s="10"/>
      <c r="BS143" s="10"/>
    </row>
    <row r="144" spans="1:71" ht="14.4" x14ac:dyDescent="0.3">
      <c r="A144" s="16"/>
      <c r="B144" s="17"/>
      <c r="C144" s="18">
        <v>0.88263888888888886</v>
      </c>
      <c r="D144" s="7"/>
      <c r="E144" s="7"/>
      <c r="F144" s="7" t="s">
        <v>70</v>
      </c>
      <c r="G144" s="19"/>
      <c r="H144" s="20"/>
      <c r="I144" s="7"/>
      <c r="J144" s="7"/>
      <c r="K144" s="7"/>
      <c r="L144" s="7"/>
      <c r="M144" s="7"/>
      <c r="N144" s="7" t="str">
        <f t="shared" si="84"/>
        <v>#LIM2NN152</v>
      </c>
      <c r="O144" s="7">
        <f t="shared" si="76"/>
        <v>0</v>
      </c>
      <c r="P144" s="21">
        <f t="shared" si="85"/>
        <v>43233</v>
      </c>
      <c r="Q144" s="22">
        <f>VLOOKUP(R144,Referencias!$D$1:$E$13,2,0)</f>
        <v>5</v>
      </c>
      <c r="R144" s="7" t="str">
        <f t="shared" si="86"/>
        <v>MAI</v>
      </c>
      <c r="S144" s="7">
        <f t="shared" si="77"/>
        <v>0</v>
      </c>
      <c r="T144" s="11">
        <f t="shared" si="87"/>
        <v>13</v>
      </c>
      <c r="U144" s="11">
        <f t="shared" si="78"/>
        <v>0</v>
      </c>
      <c r="V144" s="11" t="str">
        <f>VLOOKUP(C144,Referencias!$A$2:$B$33,2,1)</f>
        <v>21 - 22</v>
      </c>
      <c r="W144" s="23" t="str">
        <f t="shared" si="91"/>
        <v/>
      </c>
      <c r="X144" s="11">
        <f t="shared" si="79"/>
        <v>0</v>
      </c>
      <c r="Y144" s="11">
        <f t="shared" si="88"/>
        <v>0</v>
      </c>
      <c r="Z144" s="24">
        <f t="shared" si="89"/>
        <v>0</v>
      </c>
      <c r="AA144" s="25">
        <f t="shared" si="90"/>
        <v>0</v>
      </c>
      <c r="AB144" s="24">
        <f t="shared" si="80"/>
        <v>0</v>
      </c>
      <c r="AC144" s="24">
        <f t="shared" si="81"/>
        <v>0</v>
      </c>
      <c r="AD144" s="24">
        <f t="shared" si="82"/>
        <v>0</v>
      </c>
      <c r="AE144" s="24">
        <f t="shared" si="83"/>
        <v>0</v>
      </c>
      <c r="AF144" s="119" t="str">
        <f>VLOOKUP(P144*1,Referencias!$G:$H,2,0)</f>
        <v>dom</v>
      </c>
      <c r="AZ144" s="35" t="s">
        <v>190</v>
      </c>
      <c r="BA144" s="29">
        <v>2.013888888888889E-2</v>
      </c>
      <c r="BB144" s="30">
        <v>3</v>
      </c>
      <c r="BC144" s="30">
        <v>4.3</v>
      </c>
      <c r="BD144" s="31">
        <v>1</v>
      </c>
      <c r="BF144"/>
      <c r="BG144"/>
      <c r="BH144"/>
      <c r="BI144"/>
      <c r="BR144" s="10"/>
      <c r="BS144" s="10"/>
    </row>
    <row r="145" spans="1:71" ht="14.4" x14ac:dyDescent="0.3">
      <c r="A145" s="36"/>
      <c r="B145" s="36"/>
      <c r="C145" s="36"/>
      <c r="D145" s="36"/>
      <c r="E145" s="36"/>
      <c r="F145" s="36"/>
      <c r="G145" s="36"/>
      <c r="H145" s="36"/>
      <c r="I145" s="36"/>
      <c r="J145" s="37"/>
      <c r="K145" s="37"/>
      <c r="L145" s="37"/>
      <c r="M145" s="37"/>
      <c r="N145" s="7" t="str">
        <f t="shared" si="84"/>
        <v>#LIM2NN152</v>
      </c>
      <c r="O145" s="7">
        <f t="shared" si="76"/>
        <v>0</v>
      </c>
      <c r="P145" s="21">
        <f t="shared" si="85"/>
        <v>43233</v>
      </c>
      <c r="Q145" s="22">
        <f>VLOOKUP(R145,Referencias!$D$1:$E$13,2,0)</f>
        <v>5</v>
      </c>
      <c r="R145" s="7" t="str">
        <f t="shared" si="86"/>
        <v>MAI</v>
      </c>
      <c r="S145" s="7">
        <f t="shared" si="77"/>
        <v>0</v>
      </c>
      <c r="T145" s="11">
        <f t="shared" si="87"/>
        <v>13</v>
      </c>
      <c r="U145" s="11">
        <f t="shared" si="78"/>
        <v>0</v>
      </c>
      <c r="V145" s="11" t="e">
        <f>VLOOKUP(C145,Referencias!$A$2:$B$33,2,1)</f>
        <v>#N/A</v>
      </c>
      <c r="W145" s="23" t="str">
        <f t="shared" si="91"/>
        <v/>
      </c>
      <c r="X145" s="11">
        <f t="shared" si="79"/>
        <v>0</v>
      </c>
      <c r="Y145" s="11">
        <f t="shared" si="88"/>
        <v>0</v>
      </c>
      <c r="Z145" s="24">
        <f t="shared" si="89"/>
        <v>0</v>
      </c>
      <c r="AA145" s="25">
        <f t="shared" si="90"/>
        <v>0</v>
      </c>
      <c r="AB145" s="24">
        <f t="shared" si="80"/>
        <v>0</v>
      </c>
      <c r="AC145" s="24">
        <f t="shared" si="81"/>
        <v>0</v>
      </c>
      <c r="AD145" s="24">
        <f t="shared" si="82"/>
        <v>0</v>
      </c>
      <c r="AE145" s="24">
        <f t="shared" si="83"/>
        <v>0</v>
      </c>
      <c r="AF145" s="119" t="str">
        <f>VLOOKUP(P145*1,Referencias!$G:$H,2,0)</f>
        <v>dom</v>
      </c>
      <c r="AZ145" s="35" t="s">
        <v>196</v>
      </c>
      <c r="BA145" s="29">
        <v>1.6666666666666666E-2</v>
      </c>
      <c r="BB145" s="30">
        <v>3.15</v>
      </c>
      <c r="BC145" s="30">
        <v>4.7300000000000004</v>
      </c>
      <c r="BD145" s="31">
        <v>1</v>
      </c>
      <c r="BF145"/>
      <c r="BG145"/>
      <c r="BH145"/>
      <c r="BI145"/>
      <c r="BR145" s="10"/>
      <c r="BS145" s="10"/>
    </row>
    <row r="146" spans="1:71" ht="14.4" x14ac:dyDescent="0.3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7" t="str">
        <f t="shared" si="84"/>
        <v>#LIM2NN152</v>
      </c>
      <c r="O146" s="7">
        <f t="shared" si="76"/>
        <v>0</v>
      </c>
      <c r="P146" s="21">
        <f t="shared" si="85"/>
        <v>43233</v>
      </c>
      <c r="Q146" s="22">
        <f>VLOOKUP(R146,Referencias!$D$1:$E$13,2,0)</f>
        <v>5</v>
      </c>
      <c r="R146" s="7" t="str">
        <f t="shared" si="86"/>
        <v>MAI</v>
      </c>
      <c r="S146" s="7">
        <f t="shared" si="77"/>
        <v>0</v>
      </c>
      <c r="T146" s="11">
        <f t="shared" si="87"/>
        <v>13</v>
      </c>
      <c r="U146" s="11">
        <f t="shared" si="78"/>
        <v>0</v>
      </c>
      <c r="V146" s="11" t="e">
        <f>VLOOKUP(C146,Referencias!$A$2:$B$33,2,1)</f>
        <v>#N/A</v>
      </c>
      <c r="W146" s="23" t="str">
        <f t="shared" si="91"/>
        <v/>
      </c>
      <c r="X146" s="11">
        <f t="shared" si="79"/>
        <v>0</v>
      </c>
      <c r="Y146" s="11">
        <f t="shared" si="88"/>
        <v>0</v>
      </c>
      <c r="Z146" s="24">
        <f t="shared" si="89"/>
        <v>0</v>
      </c>
      <c r="AA146" s="25">
        <f t="shared" si="90"/>
        <v>0</v>
      </c>
      <c r="AB146" s="24">
        <f t="shared" si="80"/>
        <v>0</v>
      </c>
      <c r="AC146" s="24">
        <f t="shared" si="81"/>
        <v>0</v>
      </c>
      <c r="AD146" s="24">
        <f t="shared" si="82"/>
        <v>0</v>
      </c>
      <c r="AE146" s="24">
        <f t="shared" si="83"/>
        <v>0</v>
      </c>
      <c r="AF146" s="119" t="str">
        <f>VLOOKUP(P146*1,Referencias!$G:$H,2,0)</f>
        <v>dom</v>
      </c>
      <c r="AZ146" s="35" t="s">
        <v>203</v>
      </c>
      <c r="BA146" s="29">
        <v>1.8749999999999999E-2</v>
      </c>
      <c r="BB146" s="30">
        <v>2.97</v>
      </c>
      <c r="BC146" s="30">
        <v>4.0599999999999996</v>
      </c>
      <c r="BD146" s="31">
        <v>1</v>
      </c>
      <c r="BF146"/>
      <c r="BG146"/>
      <c r="BH146"/>
      <c r="BI146"/>
      <c r="BR146" s="10"/>
      <c r="BS146" s="10"/>
    </row>
    <row r="147" spans="1:71" ht="14.4" x14ac:dyDescent="0.3">
      <c r="A147" s="16"/>
      <c r="B147" s="17" t="s">
        <v>83</v>
      </c>
      <c r="C147" s="18">
        <v>0.88263888888888886</v>
      </c>
      <c r="D147" s="7">
        <v>6.9</v>
      </c>
      <c r="E147" s="7" t="s">
        <v>17</v>
      </c>
      <c r="F147" s="7"/>
      <c r="G147" s="19">
        <v>3.91</v>
      </c>
      <c r="H147" s="20">
        <v>154.44</v>
      </c>
      <c r="I147" s="7"/>
      <c r="J147" s="7"/>
      <c r="K147" s="7"/>
      <c r="L147" s="7"/>
      <c r="M147" s="7"/>
      <c r="N147" s="7" t="str">
        <f t="shared" si="84"/>
        <v>#LI7KVVHWC</v>
      </c>
      <c r="O147" s="7" t="str">
        <f t="shared" si="76"/>
        <v>#LI7KVVHWC</v>
      </c>
      <c r="P147" s="21">
        <f t="shared" si="85"/>
        <v>43233</v>
      </c>
      <c r="Q147" s="22">
        <f>VLOOKUP(R147,Referencias!$D$1:$E$13,2,0)</f>
        <v>5</v>
      </c>
      <c r="R147" s="7" t="str">
        <f t="shared" si="86"/>
        <v>MAI</v>
      </c>
      <c r="S147" s="7">
        <f t="shared" si="77"/>
        <v>0</v>
      </c>
      <c r="T147" s="11">
        <f t="shared" si="87"/>
        <v>13</v>
      </c>
      <c r="U147" s="11">
        <f t="shared" si="78"/>
        <v>0</v>
      </c>
      <c r="V147" s="11" t="str">
        <f>VLOOKUP(C147,Referencias!$A$2:$B$33,2,1)</f>
        <v>21 - 22</v>
      </c>
      <c r="W147" s="23">
        <f t="shared" si="91"/>
        <v>2.083333333333337E-2</v>
      </c>
      <c r="X147" s="11">
        <f t="shared" si="79"/>
        <v>6.9</v>
      </c>
      <c r="Y147" s="11">
        <f t="shared" si="88"/>
        <v>12.184939781088699</v>
      </c>
      <c r="Z147" s="24">
        <f t="shared" si="89"/>
        <v>3.91</v>
      </c>
      <c r="AA147" s="25">
        <f t="shared" si="90"/>
        <v>7.8199999999999861</v>
      </c>
      <c r="AB147" s="24">
        <f t="shared" si="80"/>
        <v>1</v>
      </c>
      <c r="AC147" s="24">
        <f t="shared" si="81"/>
        <v>2.561629528631554</v>
      </c>
      <c r="AD147" s="24">
        <f t="shared" si="82"/>
        <v>3.1036080344380483</v>
      </c>
      <c r="AE147" s="24">
        <f t="shared" si="83"/>
        <v>3.6798047321130776</v>
      </c>
      <c r="AF147" s="119" t="str">
        <f>VLOOKUP(P147*1,Referencias!$G:$H,2,0)</f>
        <v>dom</v>
      </c>
      <c r="AZ147" s="35" t="s">
        <v>205</v>
      </c>
      <c r="BA147" s="29">
        <v>2.361111111111111E-2</v>
      </c>
      <c r="BB147" s="30">
        <v>3.91</v>
      </c>
      <c r="BC147" s="30">
        <v>6.56</v>
      </c>
      <c r="BD147" s="31">
        <v>1</v>
      </c>
      <c r="BF147"/>
      <c r="BG147"/>
      <c r="BH147"/>
      <c r="BI147"/>
      <c r="BR147" s="10"/>
      <c r="BS147" s="10"/>
    </row>
    <row r="148" spans="1:71" ht="14.4" x14ac:dyDescent="0.3">
      <c r="A148" s="16"/>
      <c r="B148" s="17"/>
      <c r="C148" s="18">
        <v>0.90347222222222223</v>
      </c>
      <c r="D148" s="7"/>
      <c r="E148" s="7"/>
      <c r="F148" s="7"/>
      <c r="G148" s="19"/>
      <c r="H148" s="20"/>
      <c r="I148" s="7"/>
      <c r="J148" s="7"/>
      <c r="K148" s="7"/>
      <c r="L148" s="7"/>
      <c r="M148" s="7"/>
      <c r="N148" s="7" t="str">
        <f t="shared" si="84"/>
        <v>#LI7KVVHWC</v>
      </c>
      <c r="O148" s="7">
        <f t="shared" si="76"/>
        <v>0</v>
      </c>
      <c r="P148" s="21">
        <f t="shared" si="85"/>
        <v>43233</v>
      </c>
      <c r="Q148" s="22">
        <f>VLOOKUP(R148,Referencias!$D$1:$E$13,2,0)</f>
        <v>5</v>
      </c>
      <c r="R148" s="7" t="str">
        <f t="shared" si="86"/>
        <v>MAI</v>
      </c>
      <c r="S148" s="7">
        <f t="shared" si="77"/>
        <v>0</v>
      </c>
      <c r="T148" s="11">
        <f t="shared" si="87"/>
        <v>13</v>
      </c>
      <c r="U148" s="11">
        <f t="shared" si="78"/>
        <v>0</v>
      </c>
      <c r="V148" s="11" t="str">
        <f>VLOOKUP(C148,Referencias!$A$2:$B$33,2,1)</f>
        <v>21 - 22</v>
      </c>
      <c r="W148" s="23" t="str">
        <f t="shared" si="91"/>
        <v/>
      </c>
      <c r="X148" s="11">
        <f t="shared" si="79"/>
        <v>0</v>
      </c>
      <c r="Y148" s="11">
        <f t="shared" si="88"/>
        <v>0</v>
      </c>
      <c r="Z148" s="24">
        <f t="shared" si="89"/>
        <v>0</v>
      </c>
      <c r="AA148" s="25">
        <f t="shared" si="90"/>
        <v>0</v>
      </c>
      <c r="AB148" s="24">
        <f t="shared" si="80"/>
        <v>0</v>
      </c>
      <c r="AC148" s="24">
        <f t="shared" si="81"/>
        <v>0</v>
      </c>
      <c r="AD148" s="24">
        <f t="shared" si="82"/>
        <v>0</v>
      </c>
      <c r="AE148" s="24">
        <f t="shared" si="83"/>
        <v>0</v>
      </c>
      <c r="AF148" s="119" t="str">
        <f>VLOOKUP(P148*1,Referencias!$G:$H,2,0)</f>
        <v>dom</v>
      </c>
      <c r="AZ148" s="35" t="s">
        <v>192</v>
      </c>
      <c r="BA148" s="29">
        <v>1.6666666666666666E-2</v>
      </c>
      <c r="BB148" s="30">
        <v>3.68</v>
      </c>
      <c r="BC148" s="30">
        <v>6.26</v>
      </c>
      <c r="BD148" s="31">
        <v>1</v>
      </c>
      <c r="BF148"/>
      <c r="BG148"/>
      <c r="BH148"/>
      <c r="BI148"/>
      <c r="BR148" s="10"/>
      <c r="BS148" s="10"/>
    </row>
    <row r="149" spans="1:71" ht="14.4" x14ac:dyDescent="0.3">
      <c r="A149" s="36"/>
      <c r="B149" s="36"/>
      <c r="C149" s="36"/>
      <c r="D149" s="36"/>
      <c r="E149" s="36"/>
      <c r="F149" s="36"/>
      <c r="G149" s="36"/>
      <c r="H149" s="36"/>
      <c r="I149" s="36"/>
      <c r="J149" s="37"/>
      <c r="K149" s="37"/>
      <c r="L149" s="37"/>
      <c r="M149" s="37"/>
      <c r="N149" s="7" t="str">
        <f t="shared" si="84"/>
        <v>#LI7KVVHWC</v>
      </c>
      <c r="O149" s="7">
        <f t="shared" si="76"/>
        <v>0</v>
      </c>
      <c r="P149" s="21">
        <f t="shared" si="85"/>
        <v>43233</v>
      </c>
      <c r="Q149" s="22">
        <f>VLOOKUP(R149,Referencias!$D$1:$E$13,2,0)</f>
        <v>5</v>
      </c>
      <c r="R149" s="7" t="str">
        <f t="shared" si="86"/>
        <v>MAI</v>
      </c>
      <c r="S149" s="7">
        <f t="shared" si="77"/>
        <v>0</v>
      </c>
      <c r="T149" s="11">
        <f t="shared" si="87"/>
        <v>13</v>
      </c>
      <c r="U149" s="11">
        <f t="shared" si="78"/>
        <v>0</v>
      </c>
      <c r="V149" s="11" t="e">
        <f>VLOOKUP(C149,Referencias!$A$2:$B$33,2,1)</f>
        <v>#N/A</v>
      </c>
      <c r="W149" s="23" t="str">
        <f t="shared" si="91"/>
        <v/>
      </c>
      <c r="X149" s="11">
        <f t="shared" si="79"/>
        <v>0</v>
      </c>
      <c r="Y149" s="11">
        <f t="shared" si="88"/>
        <v>0</v>
      </c>
      <c r="Z149" s="24">
        <f t="shared" si="89"/>
        <v>0</v>
      </c>
      <c r="AA149" s="25">
        <f t="shared" si="90"/>
        <v>0</v>
      </c>
      <c r="AB149" s="24">
        <f t="shared" si="80"/>
        <v>0</v>
      </c>
      <c r="AC149" s="24">
        <f t="shared" si="81"/>
        <v>0</v>
      </c>
      <c r="AD149" s="24">
        <f t="shared" si="82"/>
        <v>0</v>
      </c>
      <c r="AE149" s="24">
        <f t="shared" si="83"/>
        <v>0</v>
      </c>
      <c r="AF149" s="119" t="str">
        <f>VLOOKUP(P149*1,Referencias!$G:$H,2,0)</f>
        <v>dom</v>
      </c>
      <c r="AZ149" s="118">
        <v>43248</v>
      </c>
      <c r="BA149" s="29">
        <v>0.21388888888888888</v>
      </c>
      <c r="BB149" s="30">
        <v>29.499999999999996</v>
      </c>
      <c r="BC149" s="30">
        <v>41.510000000000005</v>
      </c>
      <c r="BD149" s="31">
        <v>9</v>
      </c>
      <c r="BF149"/>
      <c r="BG149"/>
      <c r="BH149"/>
      <c r="BI149"/>
      <c r="BR149" s="10"/>
      <c r="BS149" s="10"/>
    </row>
    <row r="150" spans="1:71" ht="14.4" x14ac:dyDescent="0.3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7" t="str">
        <f t="shared" si="84"/>
        <v>#LI7KVVHWC</v>
      </c>
      <c r="O150" s="7">
        <f t="shared" si="76"/>
        <v>0</v>
      </c>
      <c r="P150" s="21">
        <f t="shared" si="85"/>
        <v>43233</v>
      </c>
      <c r="Q150" s="22">
        <f>VLOOKUP(R150,Referencias!$D$1:$E$13,2,0)</f>
        <v>5</v>
      </c>
      <c r="R150" s="7" t="str">
        <f t="shared" si="86"/>
        <v>MAI</v>
      </c>
      <c r="S150" s="7">
        <f t="shared" si="77"/>
        <v>0</v>
      </c>
      <c r="T150" s="11">
        <f t="shared" si="87"/>
        <v>13</v>
      </c>
      <c r="U150" s="11">
        <f t="shared" si="78"/>
        <v>0</v>
      </c>
      <c r="V150" s="11" t="e">
        <f>VLOOKUP(C150,Referencias!$A$2:$B$33,2,1)</f>
        <v>#N/A</v>
      </c>
      <c r="W150" s="23" t="str">
        <f t="shared" si="91"/>
        <v/>
      </c>
      <c r="X150" s="11">
        <f t="shared" si="79"/>
        <v>0</v>
      </c>
      <c r="Y150" s="11">
        <f t="shared" si="88"/>
        <v>0</v>
      </c>
      <c r="Z150" s="24">
        <f t="shared" si="89"/>
        <v>0</v>
      </c>
      <c r="AA150" s="25">
        <f t="shared" si="90"/>
        <v>0</v>
      </c>
      <c r="AB150" s="24">
        <f t="shared" si="80"/>
        <v>0</v>
      </c>
      <c r="AC150" s="24">
        <f t="shared" si="81"/>
        <v>0</v>
      </c>
      <c r="AD150" s="24">
        <f t="shared" si="82"/>
        <v>0</v>
      </c>
      <c r="AE150" s="24">
        <f t="shared" si="83"/>
        <v>0</v>
      </c>
      <c r="AF150" s="119" t="str">
        <f>VLOOKUP(P150*1,Referencias!$G:$H,2,0)</f>
        <v>dom</v>
      </c>
      <c r="AZ150" s="35" t="s">
        <v>221</v>
      </c>
      <c r="BA150" s="29">
        <v>2.8472222222222222E-2</v>
      </c>
      <c r="BB150" s="30">
        <v>3.05</v>
      </c>
      <c r="BC150" s="30">
        <v>4.43</v>
      </c>
      <c r="BD150" s="31">
        <v>1</v>
      </c>
      <c r="BF150"/>
      <c r="BG150"/>
      <c r="BH150"/>
      <c r="BI150"/>
      <c r="BR150" s="10"/>
      <c r="BS150" s="10"/>
    </row>
    <row r="151" spans="1:71" ht="14.4" x14ac:dyDescent="0.3">
      <c r="A151" s="16"/>
      <c r="B151" s="17" t="s">
        <v>84</v>
      </c>
      <c r="C151" s="18">
        <v>0.90347222222222223</v>
      </c>
      <c r="D151" s="7">
        <v>5.21</v>
      </c>
      <c r="E151" s="7" t="s">
        <v>44</v>
      </c>
      <c r="F151" s="7"/>
      <c r="G151" s="19">
        <v>3.33</v>
      </c>
      <c r="H151" s="20">
        <v>157.77000000000001</v>
      </c>
      <c r="I151" s="7"/>
      <c r="J151" s="7"/>
      <c r="K151" s="7"/>
      <c r="L151" s="7"/>
      <c r="M151" s="7"/>
      <c r="N151" s="7" t="str">
        <f t="shared" si="84"/>
        <v>#LIAJLGHXD</v>
      </c>
      <c r="O151" s="7" t="str">
        <f t="shared" si="76"/>
        <v>#LIAJLGHXD</v>
      </c>
      <c r="P151" s="21">
        <f t="shared" si="85"/>
        <v>43233</v>
      </c>
      <c r="Q151" s="22">
        <f>VLOOKUP(R151,Referencias!$D$1:$E$13,2,0)</f>
        <v>5</v>
      </c>
      <c r="R151" s="7" t="str">
        <f t="shared" si="86"/>
        <v>MAI</v>
      </c>
      <c r="S151" s="7">
        <f t="shared" si="77"/>
        <v>0</v>
      </c>
      <c r="T151" s="11">
        <f t="shared" si="87"/>
        <v>13</v>
      </c>
      <c r="U151" s="11">
        <f t="shared" si="78"/>
        <v>0</v>
      </c>
      <c r="V151" s="11" t="str">
        <f>VLOOKUP(C151,Referencias!$A$2:$B$33,2,1)</f>
        <v>21 - 22</v>
      </c>
      <c r="W151" s="23">
        <f t="shared" si="91"/>
        <v>2.3611111111111027E-2</v>
      </c>
      <c r="X151" s="11">
        <f t="shared" si="79"/>
        <v>5.21</v>
      </c>
      <c r="Y151" s="11">
        <f t="shared" si="88"/>
        <v>9.2005125013727707</v>
      </c>
      <c r="Z151" s="24">
        <f t="shared" si="89"/>
        <v>3.33</v>
      </c>
      <c r="AA151" s="25">
        <f t="shared" si="90"/>
        <v>5.876470588235315</v>
      </c>
      <c r="AB151" s="24">
        <f t="shared" si="80"/>
        <v>1</v>
      </c>
      <c r="AC151" s="24">
        <f t="shared" si="81"/>
        <v>2.1816435627475892</v>
      </c>
      <c r="AD151" s="24">
        <f t="shared" si="82"/>
        <v>2.6432262799689772</v>
      </c>
      <c r="AE151" s="24">
        <f t="shared" si="83"/>
        <v>3.1339513447408049</v>
      </c>
      <c r="AF151" s="119" t="str">
        <f>VLOOKUP(P151*1,Referencias!$G:$H,2,0)</f>
        <v>dom</v>
      </c>
      <c r="AZ151" s="35" t="s">
        <v>229</v>
      </c>
      <c r="BA151" s="29">
        <v>2.9861111111111113E-2</v>
      </c>
      <c r="BB151" s="30">
        <v>7.3</v>
      </c>
      <c r="BC151" s="30">
        <v>14.53</v>
      </c>
      <c r="BD151" s="31">
        <v>1</v>
      </c>
      <c r="BF151"/>
      <c r="BG151"/>
      <c r="BH151"/>
      <c r="BI151"/>
      <c r="BR151" s="10"/>
      <c r="BS151" s="10"/>
    </row>
    <row r="152" spans="1:71" ht="14.4" x14ac:dyDescent="0.3">
      <c r="A152" s="16"/>
      <c r="B152" s="17"/>
      <c r="C152" s="18">
        <v>0.92708333333333326</v>
      </c>
      <c r="D152" s="7"/>
      <c r="E152" s="7"/>
      <c r="F152" s="7"/>
      <c r="G152" s="19"/>
      <c r="H152" s="20"/>
      <c r="I152" s="7"/>
      <c r="J152" s="7"/>
      <c r="K152" s="7"/>
      <c r="L152" s="7"/>
      <c r="M152" s="7"/>
      <c r="N152" s="7" t="str">
        <f t="shared" si="84"/>
        <v>#LIAJLGHXD</v>
      </c>
      <c r="O152" s="7">
        <f t="shared" si="76"/>
        <v>0</v>
      </c>
      <c r="P152" s="21">
        <f t="shared" si="85"/>
        <v>43233</v>
      </c>
      <c r="Q152" s="22">
        <f>VLOOKUP(R152,Referencias!$D$1:$E$13,2,0)</f>
        <v>5</v>
      </c>
      <c r="R152" s="7" t="str">
        <f t="shared" si="86"/>
        <v>MAI</v>
      </c>
      <c r="S152" s="7">
        <f t="shared" si="77"/>
        <v>0</v>
      </c>
      <c r="T152" s="11">
        <f t="shared" si="87"/>
        <v>13</v>
      </c>
      <c r="U152" s="11">
        <f t="shared" si="78"/>
        <v>0</v>
      </c>
      <c r="V152" s="11" t="str">
        <f>VLOOKUP(C152,Referencias!$A$2:$B$33,2,1)</f>
        <v>22 - 23</v>
      </c>
      <c r="W152" s="23" t="str">
        <f t="shared" si="91"/>
        <v/>
      </c>
      <c r="X152" s="11">
        <f t="shared" si="79"/>
        <v>0</v>
      </c>
      <c r="Y152" s="11">
        <f t="shared" si="88"/>
        <v>0</v>
      </c>
      <c r="Z152" s="24">
        <f t="shared" si="89"/>
        <v>0</v>
      </c>
      <c r="AA152" s="25">
        <f t="shared" si="90"/>
        <v>0</v>
      </c>
      <c r="AB152" s="24">
        <f t="shared" si="80"/>
        <v>0</v>
      </c>
      <c r="AC152" s="24">
        <f t="shared" si="81"/>
        <v>0</v>
      </c>
      <c r="AD152" s="24">
        <f t="shared" si="82"/>
        <v>0</v>
      </c>
      <c r="AE152" s="24">
        <f t="shared" si="83"/>
        <v>0</v>
      </c>
      <c r="AF152" s="119" t="str">
        <f>VLOOKUP(P152*1,Referencias!$G:$H,2,0)</f>
        <v>dom</v>
      </c>
      <c r="AZ152" s="35" t="s">
        <v>228</v>
      </c>
      <c r="BA152" s="29">
        <v>1.8749999999999999E-2</v>
      </c>
      <c r="BB152" s="30">
        <v>2.91</v>
      </c>
      <c r="BC152" s="30">
        <v>4.05</v>
      </c>
      <c r="BD152" s="31">
        <v>1</v>
      </c>
      <c r="BF152"/>
      <c r="BG152"/>
      <c r="BH152"/>
      <c r="BI152"/>
      <c r="BR152" s="10"/>
      <c r="BS152" s="10"/>
    </row>
    <row r="153" spans="1:71" ht="14.4" x14ac:dyDescent="0.3">
      <c r="A153" s="36"/>
      <c r="B153" s="36"/>
      <c r="C153" s="36"/>
      <c r="D153" s="36"/>
      <c r="E153" s="36"/>
      <c r="F153" s="36"/>
      <c r="G153" s="36"/>
      <c r="H153" s="36"/>
      <c r="I153" s="36"/>
      <c r="J153" s="37"/>
      <c r="K153" s="37"/>
      <c r="L153" s="37"/>
      <c r="M153" s="37"/>
      <c r="N153" s="7" t="str">
        <f t="shared" si="84"/>
        <v>#LIAJLGHXD</v>
      </c>
      <c r="O153" s="7">
        <f t="shared" si="76"/>
        <v>0</v>
      </c>
      <c r="P153" s="21">
        <f t="shared" si="85"/>
        <v>43233</v>
      </c>
      <c r="Q153" s="22">
        <f>VLOOKUP(R153,Referencias!$D$1:$E$13,2,0)</f>
        <v>5</v>
      </c>
      <c r="R153" s="7" t="str">
        <f t="shared" si="86"/>
        <v>MAI</v>
      </c>
      <c r="S153" s="7">
        <f t="shared" si="77"/>
        <v>0</v>
      </c>
      <c r="T153" s="11">
        <f t="shared" si="87"/>
        <v>13</v>
      </c>
      <c r="U153" s="11">
        <f t="shared" si="78"/>
        <v>0</v>
      </c>
      <c r="V153" s="11" t="e">
        <f>VLOOKUP(C153,Referencias!$A$2:$B$33,2,1)</f>
        <v>#N/A</v>
      </c>
      <c r="W153" s="23" t="str">
        <f t="shared" si="91"/>
        <v/>
      </c>
      <c r="X153" s="11">
        <f t="shared" si="79"/>
        <v>0</v>
      </c>
      <c r="Y153" s="11">
        <f t="shared" si="88"/>
        <v>0</v>
      </c>
      <c r="Z153" s="24">
        <f t="shared" si="89"/>
        <v>0</v>
      </c>
      <c r="AA153" s="25">
        <f t="shared" si="90"/>
        <v>0</v>
      </c>
      <c r="AB153" s="24">
        <f t="shared" si="80"/>
        <v>0</v>
      </c>
      <c r="AC153" s="24">
        <f t="shared" si="81"/>
        <v>0</v>
      </c>
      <c r="AD153" s="24">
        <f t="shared" si="82"/>
        <v>0</v>
      </c>
      <c r="AE153" s="24">
        <f t="shared" si="83"/>
        <v>0</v>
      </c>
      <c r="AF153" s="119" t="str">
        <f>VLOOKUP(P153*1,Referencias!$G:$H,2,0)</f>
        <v>dom</v>
      </c>
      <c r="AZ153" s="35" t="s">
        <v>224</v>
      </c>
      <c r="BA153" s="29">
        <v>2.9166666666666664E-2</v>
      </c>
      <c r="BB153" s="30">
        <v>2.59</v>
      </c>
      <c r="BC153" s="30">
        <v>3.13</v>
      </c>
      <c r="BD153" s="31">
        <v>1</v>
      </c>
      <c r="BF153"/>
      <c r="BG153"/>
      <c r="BH153"/>
      <c r="BI153"/>
      <c r="BR153" s="10"/>
      <c r="BS153" s="10"/>
    </row>
    <row r="154" spans="1:71" ht="14.4" x14ac:dyDescent="0.3">
      <c r="A154" s="76"/>
      <c r="B154" s="76"/>
      <c r="C154" s="76"/>
      <c r="D154" s="76"/>
      <c r="E154" s="76"/>
      <c r="F154" s="76"/>
      <c r="G154" s="76"/>
      <c r="H154" s="76"/>
      <c r="I154" s="76"/>
      <c r="J154" s="37"/>
      <c r="K154" s="37"/>
      <c r="L154" s="37"/>
      <c r="M154" s="37"/>
      <c r="N154" s="7" t="str">
        <f t="shared" si="84"/>
        <v>#LIAJLGHXD</v>
      </c>
      <c r="O154" s="7">
        <f t="shared" si="76"/>
        <v>0</v>
      </c>
      <c r="P154" s="21">
        <f t="shared" si="85"/>
        <v>43233</v>
      </c>
      <c r="Q154" s="22">
        <f>VLOOKUP(R154,Referencias!$D$1:$E$13,2,0)</f>
        <v>5</v>
      </c>
      <c r="R154" s="7" t="str">
        <f t="shared" si="86"/>
        <v>MAI</v>
      </c>
      <c r="S154" s="7">
        <f t="shared" si="77"/>
        <v>0</v>
      </c>
      <c r="T154" s="11">
        <f t="shared" si="87"/>
        <v>13</v>
      </c>
      <c r="U154" s="11">
        <f t="shared" si="78"/>
        <v>0</v>
      </c>
      <c r="V154" s="11" t="e">
        <f>VLOOKUP(C154,Referencias!$A$2:$B$33,2,1)</f>
        <v>#N/A</v>
      </c>
      <c r="W154" s="23" t="str">
        <f t="shared" si="91"/>
        <v/>
      </c>
      <c r="X154" s="11">
        <f t="shared" si="79"/>
        <v>0</v>
      </c>
      <c r="Y154" s="11">
        <f t="shared" si="88"/>
        <v>0</v>
      </c>
      <c r="Z154" s="24">
        <f t="shared" si="89"/>
        <v>0</v>
      </c>
      <c r="AA154" s="25">
        <f t="shared" si="90"/>
        <v>0</v>
      </c>
      <c r="AB154" s="24">
        <f t="shared" si="80"/>
        <v>0</v>
      </c>
      <c r="AC154" s="24">
        <f t="shared" si="81"/>
        <v>0</v>
      </c>
      <c r="AD154" s="24">
        <f t="shared" si="82"/>
        <v>0</v>
      </c>
      <c r="AE154" s="24">
        <f t="shared" si="83"/>
        <v>0</v>
      </c>
      <c r="AF154" s="119" t="str">
        <f>VLOOKUP(P154*1,Referencias!$G:$H,2,0)</f>
        <v>dom</v>
      </c>
      <c r="AZ154" s="35" t="s">
        <v>222</v>
      </c>
      <c r="BA154" s="29">
        <v>2.4999999999999998E-2</v>
      </c>
      <c r="BB154" s="30">
        <v>2.2999999999999998</v>
      </c>
      <c r="BC154" s="30">
        <v>2.31</v>
      </c>
      <c r="BD154" s="31">
        <v>1</v>
      </c>
      <c r="BF154"/>
      <c r="BG154"/>
      <c r="BH154"/>
      <c r="BI154"/>
      <c r="BR154" s="10"/>
      <c r="BS154" s="10"/>
    </row>
    <row r="155" spans="1:71" ht="14.4" x14ac:dyDescent="0.3">
      <c r="A155" s="77">
        <v>14</v>
      </c>
      <c r="B155" s="78" t="s">
        <v>103</v>
      </c>
      <c r="C155" s="79">
        <v>0.83333333333333337</v>
      </c>
      <c r="D155" s="80">
        <v>2.25</v>
      </c>
      <c r="E155" s="80" t="s">
        <v>44</v>
      </c>
      <c r="F155" s="80"/>
      <c r="G155" s="81">
        <v>2.2799999999999998</v>
      </c>
      <c r="H155" s="82">
        <v>2.2799999999999998</v>
      </c>
      <c r="I155" s="80"/>
      <c r="J155" s="7"/>
      <c r="K155" s="7"/>
      <c r="L155" s="7"/>
      <c r="M155" s="7"/>
      <c r="N155" s="7" t="str">
        <f t="shared" si="84"/>
        <v>#LINCCQPES </v>
      </c>
      <c r="O155" s="7" t="str">
        <f t="shared" si="76"/>
        <v>#LINCCQPES </v>
      </c>
      <c r="P155" s="21">
        <f t="shared" si="85"/>
        <v>43234</v>
      </c>
      <c r="Q155" s="22">
        <f>VLOOKUP(R155,Referencias!$D$1:$E$13,2,0)</f>
        <v>5</v>
      </c>
      <c r="R155" s="7" t="str">
        <f t="shared" si="86"/>
        <v>MAI</v>
      </c>
      <c r="S155" s="7" t="str">
        <f t="shared" si="77"/>
        <v>MAI</v>
      </c>
      <c r="T155" s="11">
        <f t="shared" si="87"/>
        <v>14</v>
      </c>
      <c r="U155" s="11">
        <f t="shared" si="78"/>
        <v>14</v>
      </c>
      <c r="V155" s="11" t="str">
        <f>VLOOKUP(C155,Referencias!$A$2:$B$33,2,1)</f>
        <v>19 - 20</v>
      </c>
      <c r="W155" s="23">
        <f t="shared" si="91"/>
        <v>1.9444444444444375E-2</v>
      </c>
      <c r="X155" s="11">
        <f t="shared" si="79"/>
        <v>2.25</v>
      </c>
      <c r="Y155" s="11">
        <f t="shared" si="88"/>
        <v>3.97334992861588</v>
      </c>
      <c r="Z155" s="24">
        <f t="shared" si="89"/>
        <v>2.2799999999999998</v>
      </c>
      <c r="AA155" s="25">
        <f t="shared" si="90"/>
        <v>4.885714285714303</v>
      </c>
      <c r="AB155" s="24">
        <f t="shared" si="80"/>
        <v>1</v>
      </c>
      <c r="AC155" s="24">
        <f t="shared" si="81"/>
        <v>1.493737934854205</v>
      </c>
      <c r="AD155" s="24">
        <f t="shared" si="82"/>
        <v>1.8097765520508311</v>
      </c>
      <c r="AE155" s="24">
        <f t="shared" si="83"/>
        <v>2.1457684882910013</v>
      </c>
      <c r="AF155" s="119" t="str">
        <f>VLOOKUP(P155*1,Referencias!$G:$H,2,0)</f>
        <v>seg</v>
      </c>
      <c r="AZ155" s="35" t="s">
        <v>220</v>
      </c>
      <c r="BA155" s="29">
        <v>2.6388888888888889E-2</v>
      </c>
      <c r="BB155" s="30">
        <v>3.15</v>
      </c>
      <c r="BC155" s="30">
        <v>4.72</v>
      </c>
      <c r="BD155" s="31">
        <v>1</v>
      </c>
      <c r="BF155"/>
      <c r="BG155"/>
      <c r="BH155"/>
      <c r="BI155"/>
      <c r="BR155" s="10"/>
      <c r="BS155" s="10"/>
    </row>
    <row r="156" spans="1:71" ht="14.4" x14ac:dyDescent="0.3">
      <c r="A156" s="77" t="s">
        <v>19</v>
      </c>
      <c r="B156" s="78"/>
      <c r="C156" s="79">
        <v>0.85277777777777775</v>
      </c>
      <c r="D156" s="80"/>
      <c r="E156" s="80"/>
      <c r="F156" s="80"/>
      <c r="G156" s="81"/>
      <c r="H156" s="82"/>
      <c r="I156" s="80"/>
      <c r="J156" s="7"/>
      <c r="K156" s="7"/>
      <c r="L156" s="7"/>
      <c r="M156" s="7"/>
      <c r="N156" s="7" t="str">
        <f t="shared" si="84"/>
        <v>#LINCCQPES </v>
      </c>
      <c r="O156" s="7">
        <f t="shared" si="76"/>
        <v>0</v>
      </c>
      <c r="P156" s="21">
        <f t="shared" si="85"/>
        <v>43234</v>
      </c>
      <c r="Q156" s="22">
        <f>VLOOKUP(R156,Referencias!$D$1:$E$13,2,0)</f>
        <v>5</v>
      </c>
      <c r="R156" s="7" t="str">
        <f t="shared" si="86"/>
        <v>MAI</v>
      </c>
      <c r="S156" s="7">
        <f t="shared" si="77"/>
        <v>0</v>
      </c>
      <c r="T156" s="11">
        <f t="shared" si="87"/>
        <v>14</v>
      </c>
      <c r="U156" s="11">
        <f t="shared" si="78"/>
        <v>0</v>
      </c>
      <c r="V156" s="11" t="str">
        <f>VLOOKUP(C156,Referencias!$A$2:$B$33,2,1)</f>
        <v>20 - 21</v>
      </c>
      <c r="W156" s="23" t="str">
        <f t="shared" si="91"/>
        <v/>
      </c>
      <c r="X156" s="11">
        <f t="shared" si="79"/>
        <v>0</v>
      </c>
      <c r="Y156" s="11">
        <f t="shared" si="88"/>
        <v>0</v>
      </c>
      <c r="Z156" s="24">
        <f t="shared" si="89"/>
        <v>0</v>
      </c>
      <c r="AA156" s="25">
        <f t="shared" si="90"/>
        <v>0</v>
      </c>
      <c r="AB156" s="24">
        <f t="shared" si="80"/>
        <v>0</v>
      </c>
      <c r="AC156" s="24">
        <f t="shared" si="81"/>
        <v>0</v>
      </c>
      <c r="AD156" s="24">
        <f t="shared" si="82"/>
        <v>0</v>
      </c>
      <c r="AE156" s="24">
        <f t="shared" si="83"/>
        <v>0</v>
      </c>
      <c r="AF156" s="119" t="str">
        <f>VLOOKUP(P156*1,Referencias!$G:$H,2,0)</f>
        <v>seg</v>
      </c>
      <c r="AZ156" s="35" t="s">
        <v>223</v>
      </c>
      <c r="BA156" s="29">
        <v>1.4583333333333332E-2</v>
      </c>
      <c r="BB156" s="30">
        <v>2.56</v>
      </c>
      <c r="BC156" s="30">
        <v>3.02</v>
      </c>
      <c r="BD156" s="31">
        <v>1</v>
      </c>
      <c r="BF156"/>
      <c r="BG156"/>
      <c r="BH156"/>
      <c r="BI156"/>
      <c r="BR156" s="10"/>
      <c r="BS156" s="10"/>
    </row>
    <row r="157" spans="1:71" ht="14.4" x14ac:dyDescent="0.3">
      <c r="A157" s="83"/>
      <c r="B157" s="83"/>
      <c r="C157" s="83"/>
      <c r="D157" s="83"/>
      <c r="E157" s="83"/>
      <c r="F157" s="83"/>
      <c r="G157" s="83"/>
      <c r="H157" s="83"/>
      <c r="I157" s="83"/>
      <c r="J157" s="7"/>
      <c r="K157" s="7"/>
      <c r="L157" s="7"/>
      <c r="M157" s="7"/>
      <c r="N157" s="7" t="str">
        <f t="shared" si="84"/>
        <v>#LINCCQPES </v>
      </c>
      <c r="O157" s="7">
        <f t="shared" si="76"/>
        <v>0</v>
      </c>
      <c r="P157" s="21">
        <f t="shared" si="85"/>
        <v>43234</v>
      </c>
      <c r="Q157" s="22">
        <f>VLOOKUP(R157,Referencias!$D$1:$E$13,2,0)</f>
        <v>5</v>
      </c>
      <c r="R157" s="7" t="str">
        <f t="shared" si="86"/>
        <v>MAI</v>
      </c>
      <c r="S157" s="7">
        <f t="shared" si="77"/>
        <v>0</v>
      </c>
      <c r="T157" s="11">
        <f t="shared" si="87"/>
        <v>14</v>
      </c>
      <c r="U157" s="11">
        <f t="shared" si="78"/>
        <v>0</v>
      </c>
      <c r="V157" s="11" t="e">
        <f>VLOOKUP(C157,Referencias!$A$2:$B$33,2,1)</f>
        <v>#N/A</v>
      </c>
      <c r="W157" s="23" t="str">
        <f t="shared" si="91"/>
        <v/>
      </c>
      <c r="X157" s="11">
        <f t="shared" si="79"/>
        <v>0</v>
      </c>
      <c r="Y157" s="11">
        <f t="shared" si="88"/>
        <v>0</v>
      </c>
      <c r="Z157" s="24">
        <f t="shared" si="89"/>
        <v>0</v>
      </c>
      <c r="AA157" s="25">
        <f t="shared" si="90"/>
        <v>0</v>
      </c>
      <c r="AB157" s="24">
        <f t="shared" si="80"/>
        <v>0</v>
      </c>
      <c r="AC157" s="24">
        <f t="shared" si="81"/>
        <v>0</v>
      </c>
      <c r="AD157" s="24">
        <f t="shared" si="82"/>
        <v>0</v>
      </c>
      <c r="AE157" s="24">
        <f t="shared" si="83"/>
        <v>0</v>
      </c>
      <c r="AF157" s="119" t="str">
        <f>VLOOKUP(P157*1,Referencias!$G:$H,2,0)</f>
        <v>seg</v>
      </c>
      <c r="AZ157" s="35" t="s">
        <v>225</v>
      </c>
      <c r="BA157" s="29">
        <v>1.5277777777777777E-2</v>
      </c>
      <c r="BB157" s="30">
        <v>2.54</v>
      </c>
      <c r="BC157" s="30">
        <v>3</v>
      </c>
      <c r="BD157" s="31">
        <v>1</v>
      </c>
      <c r="BF157"/>
      <c r="BG157"/>
      <c r="BH157"/>
      <c r="BI157"/>
      <c r="BR157" s="10"/>
      <c r="BS157" s="10"/>
    </row>
    <row r="158" spans="1:71" ht="14.4" x14ac:dyDescent="0.3">
      <c r="A158" s="76"/>
      <c r="B158" s="76"/>
      <c r="C158" s="76"/>
      <c r="D158" s="76"/>
      <c r="E158" s="76"/>
      <c r="F158" s="76"/>
      <c r="G158" s="76"/>
      <c r="H158" s="76"/>
      <c r="I158" s="76"/>
      <c r="J158" s="7"/>
      <c r="K158" s="7"/>
      <c r="L158" s="7"/>
      <c r="M158" s="7"/>
      <c r="N158" s="7" t="str">
        <f t="shared" si="84"/>
        <v>#LINCCQPES </v>
      </c>
      <c r="O158" s="7">
        <f t="shared" si="76"/>
        <v>0</v>
      </c>
      <c r="P158" s="21">
        <f t="shared" si="85"/>
        <v>43234</v>
      </c>
      <c r="Q158" s="22">
        <f>VLOOKUP(R158,Referencias!$D$1:$E$13,2,0)</f>
        <v>5</v>
      </c>
      <c r="R158" s="7" t="str">
        <f t="shared" si="86"/>
        <v>MAI</v>
      </c>
      <c r="S158" s="7">
        <f t="shared" si="77"/>
        <v>0</v>
      </c>
      <c r="T158" s="11">
        <f t="shared" si="87"/>
        <v>14</v>
      </c>
      <c r="U158" s="11">
        <f t="shared" si="78"/>
        <v>0</v>
      </c>
      <c r="V158" s="11" t="e">
        <f>VLOOKUP(C158,Referencias!$A$2:$B$33,2,1)</f>
        <v>#N/A</v>
      </c>
      <c r="W158" s="23" t="str">
        <f t="shared" si="91"/>
        <v/>
      </c>
      <c r="X158" s="11">
        <f t="shared" si="79"/>
        <v>0</v>
      </c>
      <c r="Y158" s="11">
        <f t="shared" si="88"/>
        <v>0</v>
      </c>
      <c r="Z158" s="24">
        <f t="shared" si="89"/>
        <v>0</v>
      </c>
      <c r="AA158" s="25">
        <f t="shared" si="90"/>
        <v>0</v>
      </c>
      <c r="AB158" s="24">
        <f t="shared" si="80"/>
        <v>0</v>
      </c>
      <c r="AC158" s="24">
        <f t="shared" si="81"/>
        <v>0</v>
      </c>
      <c r="AD158" s="24">
        <f t="shared" si="82"/>
        <v>0</v>
      </c>
      <c r="AE158" s="24">
        <f t="shared" si="83"/>
        <v>0</v>
      </c>
      <c r="AF158" s="119" t="str">
        <f>VLOOKUP(P158*1,Referencias!$G:$H,2,0)</f>
        <v>seg</v>
      </c>
      <c r="AZ158" s="35" t="s">
        <v>226</v>
      </c>
      <c r="BA158" s="29">
        <v>2.6388888888888889E-2</v>
      </c>
      <c r="BB158" s="30">
        <v>3.1</v>
      </c>
      <c r="BC158" s="30">
        <v>2.3199999999999998</v>
      </c>
      <c r="BD158" s="31">
        <v>1</v>
      </c>
      <c r="BF158"/>
      <c r="BG158"/>
      <c r="BH158"/>
      <c r="BI158"/>
      <c r="BR158" s="10"/>
      <c r="BS158" s="10"/>
    </row>
    <row r="159" spans="1:71" ht="14.4" x14ac:dyDescent="0.3">
      <c r="A159" s="77"/>
      <c r="B159" s="78" t="s">
        <v>104</v>
      </c>
      <c r="C159" s="79">
        <v>0.85277777777777775</v>
      </c>
      <c r="D159" s="80">
        <v>4.6500000000000004</v>
      </c>
      <c r="E159" s="80" t="s">
        <v>85</v>
      </c>
      <c r="F159" s="80"/>
      <c r="G159" s="81">
        <v>3.63</v>
      </c>
      <c r="H159" s="82">
        <v>5.91</v>
      </c>
      <c r="I159" s="80"/>
      <c r="J159" s="37"/>
      <c r="K159" s="37"/>
      <c r="L159" s="37"/>
      <c r="M159" s="37"/>
      <c r="N159" s="7" t="str">
        <f t="shared" si="84"/>
        <v>#LISZLGZZK </v>
      </c>
      <c r="O159" s="7" t="str">
        <f t="shared" si="76"/>
        <v>#LISZLGZZK </v>
      </c>
      <c r="P159" s="21">
        <f t="shared" si="85"/>
        <v>43234</v>
      </c>
      <c r="Q159" s="22">
        <f>VLOOKUP(R159,Referencias!$D$1:$E$13,2,0)</f>
        <v>5</v>
      </c>
      <c r="R159" s="7" t="str">
        <f t="shared" si="86"/>
        <v>MAI</v>
      </c>
      <c r="S159" s="7">
        <f t="shared" si="77"/>
        <v>0</v>
      </c>
      <c r="T159" s="11">
        <f t="shared" si="87"/>
        <v>14</v>
      </c>
      <c r="U159" s="11">
        <f t="shared" si="78"/>
        <v>0</v>
      </c>
      <c r="V159" s="11" t="str">
        <f>VLOOKUP(C159,Referencias!$A$2:$B$33,2,1)</f>
        <v>20 - 21</v>
      </c>
      <c r="W159" s="23">
        <f t="shared" si="91"/>
        <v>2.8472222222222232E-2</v>
      </c>
      <c r="X159" s="11">
        <f t="shared" si="79"/>
        <v>4.6500000000000004</v>
      </c>
      <c r="Y159" s="11">
        <f t="shared" si="88"/>
        <v>8.2115898524728195</v>
      </c>
      <c r="Z159" s="24">
        <f t="shared" si="89"/>
        <v>3.63</v>
      </c>
      <c r="AA159" s="25">
        <f t="shared" si="90"/>
        <v>5.3121951219512171</v>
      </c>
      <c r="AB159" s="24">
        <f t="shared" si="80"/>
        <v>1</v>
      </c>
      <c r="AC159" s="24">
        <f t="shared" si="81"/>
        <v>2.3781880278599847</v>
      </c>
      <c r="AD159" s="24">
        <f t="shared" si="82"/>
        <v>2.8813547736598757</v>
      </c>
      <c r="AE159" s="24">
        <f t="shared" si="83"/>
        <v>3.416289303726463</v>
      </c>
      <c r="AF159" s="119" t="str">
        <f>VLOOKUP(P159*1,Referencias!$G:$H,2,0)</f>
        <v>seg</v>
      </c>
      <c r="AZ159" s="118">
        <v>43249</v>
      </c>
      <c r="BA159" s="29">
        <v>0.14930555555555558</v>
      </c>
      <c r="BB159" s="30">
        <v>20.96</v>
      </c>
      <c r="BC159" s="30">
        <v>32.489999999999995</v>
      </c>
      <c r="BD159" s="31">
        <v>6</v>
      </c>
      <c r="BF159"/>
      <c r="BG159"/>
      <c r="BH159"/>
      <c r="BI159"/>
      <c r="BR159" s="10"/>
      <c r="BS159" s="10"/>
    </row>
    <row r="160" spans="1:71" ht="14.4" x14ac:dyDescent="0.3">
      <c r="A160" s="77"/>
      <c r="B160" s="78"/>
      <c r="C160" s="79">
        <v>0.88124999999999998</v>
      </c>
      <c r="D160" s="80"/>
      <c r="E160" s="80"/>
      <c r="F160" s="80"/>
      <c r="G160" s="81"/>
      <c r="H160" s="82"/>
      <c r="I160" s="80"/>
      <c r="J160" s="37"/>
      <c r="K160" s="37"/>
      <c r="L160" s="37"/>
      <c r="M160" s="37"/>
      <c r="N160" s="7" t="str">
        <f t="shared" si="84"/>
        <v>#LISZLGZZK </v>
      </c>
      <c r="O160" s="7">
        <f t="shared" si="76"/>
        <v>0</v>
      </c>
      <c r="P160" s="21">
        <f t="shared" si="85"/>
        <v>43234</v>
      </c>
      <c r="Q160" s="22">
        <f>VLOOKUP(R160,Referencias!$D$1:$E$13,2,0)</f>
        <v>5</v>
      </c>
      <c r="R160" s="7" t="str">
        <f t="shared" si="86"/>
        <v>MAI</v>
      </c>
      <c r="S160" s="7">
        <f t="shared" si="77"/>
        <v>0</v>
      </c>
      <c r="T160" s="11">
        <f t="shared" si="87"/>
        <v>14</v>
      </c>
      <c r="U160" s="11">
        <f t="shared" si="78"/>
        <v>0</v>
      </c>
      <c r="V160" s="11" t="str">
        <f>VLOOKUP(C160,Referencias!$A$2:$B$33,2,1)</f>
        <v>21 - 22</v>
      </c>
      <c r="W160" s="23" t="str">
        <f t="shared" si="91"/>
        <v/>
      </c>
      <c r="X160" s="11">
        <f t="shared" si="79"/>
        <v>0</v>
      </c>
      <c r="Y160" s="11">
        <f t="shared" si="88"/>
        <v>0</v>
      </c>
      <c r="Z160" s="24">
        <f t="shared" si="89"/>
        <v>0</v>
      </c>
      <c r="AA160" s="25">
        <f t="shared" si="90"/>
        <v>0</v>
      </c>
      <c r="AB160" s="24">
        <f t="shared" si="80"/>
        <v>0</v>
      </c>
      <c r="AC160" s="24">
        <f t="shared" si="81"/>
        <v>0</v>
      </c>
      <c r="AD160" s="24">
        <f t="shared" si="82"/>
        <v>0</v>
      </c>
      <c r="AE160" s="24">
        <f t="shared" si="83"/>
        <v>0</v>
      </c>
      <c r="AF160" s="119" t="str">
        <f>VLOOKUP(P160*1,Referencias!$G:$H,2,0)</f>
        <v>seg</v>
      </c>
      <c r="AZ160" s="11" t="s">
        <v>399</v>
      </c>
      <c r="BA160" s="29">
        <v>2.1527777777777781E-2</v>
      </c>
      <c r="BB160" s="30">
        <v>2.4</v>
      </c>
      <c r="BC160" s="30">
        <v>2.57</v>
      </c>
      <c r="BD160" s="31">
        <v>1</v>
      </c>
      <c r="BF160"/>
      <c r="BG160"/>
      <c r="BH160"/>
      <c r="BI160"/>
      <c r="BR160" s="10"/>
      <c r="BS160" s="10"/>
    </row>
    <row r="161" spans="1:71" ht="14.4" x14ac:dyDescent="0.3">
      <c r="A161" s="83"/>
      <c r="B161" s="83"/>
      <c r="C161" s="83"/>
      <c r="D161" s="83"/>
      <c r="E161" s="83"/>
      <c r="F161" s="83"/>
      <c r="G161" s="83"/>
      <c r="H161" s="83"/>
      <c r="I161" s="83"/>
      <c r="J161" s="7"/>
      <c r="K161" s="7"/>
      <c r="L161" s="7"/>
      <c r="M161" s="7"/>
      <c r="N161" s="7" t="str">
        <f t="shared" si="84"/>
        <v>#LISZLGZZK </v>
      </c>
      <c r="O161" s="7">
        <f t="shared" si="76"/>
        <v>0</v>
      </c>
      <c r="P161" s="21">
        <f t="shared" si="85"/>
        <v>43234</v>
      </c>
      <c r="Q161" s="22">
        <f>VLOOKUP(R161,Referencias!$D$1:$E$13,2,0)</f>
        <v>5</v>
      </c>
      <c r="R161" s="7" t="str">
        <f t="shared" si="86"/>
        <v>MAI</v>
      </c>
      <c r="S161" s="7">
        <f t="shared" si="77"/>
        <v>0</v>
      </c>
      <c r="T161" s="11">
        <f t="shared" si="87"/>
        <v>14</v>
      </c>
      <c r="U161" s="11">
        <f t="shared" si="78"/>
        <v>0</v>
      </c>
      <c r="V161" s="11" t="e">
        <f>VLOOKUP(C161,Referencias!$A$2:$B$33,2,1)</f>
        <v>#N/A</v>
      </c>
      <c r="W161" s="23" t="str">
        <f t="shared" si="91"/>
        <v/>
      </c>
      <c r="X161" s="11">
        <f t="shared" si="79"/>
        <v>0</v>
      </c>
      <c r="Y161" s="11">
        <f t="shared" si="88"/>
        <v>0</v>
      </c>
      <c r="Z161" s="24">
        <f t="shared" si="89"/>
        <v>0</v>
      </c>
      <c r="AA161" s="25">
        <f t="shared" si="90"/>
        <v>0</v>
      </c>
      <c r="AB161" s="24">
        <f t="shared" si="80"/>
        <v>0</v>
      </c>
      <c r="AC161" s="24">
        <f t="shared" si="81"/>
        <v>0</v>
      </c>
      <c r="AD161" s="24">
        <f t="shared" si="82"/>
        <v>0</v>
      </c>
      <c r="AE161" s="24">
        <f t="shared" si="83"/>
        <v>0</v>
      </c>
      <c r="AF161" s="119" t="str">
        <f>VLOOKUP(P161*1,Referencias!$G:$H,2,0)</f>
        <v>seg</v>
      </c>
      <c r="AZ161" s="11" t="s">
        <v>400</v>
      </c>
      <c r="BA161" s="29">
        <v>2.2222222222222223E-2</v>
      </c>
      <c r="BB161" s="30">
        <v>2.73</v>
      </c>
      <c r="BC161" s="30">
        <v>3.54</v>
      </c>
      <c r="BD161" s="31">
        <v>1</v>
      </c>
      <c r="BF161"/>
      <c r="BG161"/>
      <c r="BH161"/>
      <c r="BI161"/>
      <c r="BR161" s="10"/>
      <c r="BS161" s="10"/>
    </row>
    <row r="162" spans="1:71" ht="14.4" x14ac:dyDescent="0.3">
      <c r="A162" s="76"/>
      <c r="B162" s="76"/>
      <c r="C162" s="76"/>
      <c r="D162" s="76"/>
      <c r="E162" s="76"/>
      <c r="F162" s="76"/>
      <c r="G162" s="76"/>
      <c r="H162" s="76"/>
      <c r="I162" s="76"/>
      <c r="J162" s="7"/>
      <c r="K162" s="7"/>
      <c r="L162" s="7"/>
      <c r="M162" s="7"/>
      <c r="N162" s="7" t="str">
        <f t="shared" si="84"/>
        <v>#LISZLGZZK </v>
      </c>
      <c r="O162" s="7">
        <f t="shared" si="76"/>
        <v>0</v>
      </c>
      <c r="P162" s="21">
        <f t="shared" si="85"/>
        <v>43234</v>
      </c>
      <c r="Q162" s="22">
        <f>VLOOKUP(R162,Referencias!$D$1:$E$13,2,0)</f>
        <v>5</v>
      </c>
      <c r="R162" s="7" t="str">
        <f t="shared" si="86"/>
        <v>MAI</v>
      </c>
      <c r="S162" s="7">
        <f t="shared" si="77"/>
        <v>0</v>
      </c>
      <c r="T162" s="11">
        <f t="shared" si="87"/>
        <v>14</v>
      </c>
      <c r="U162" s="11">
        <f t="shared" si="78"/>
        <v>0</v>
      </c>
      <c r="V162" s="11" t="e">
        <f>VLOOKUP(C162,Referencias!$A$2:$B$33,2,1)</f>
        <v>#N/A</v>
      </c>
      <c r="W162" s="23" t="str">
        <f t="shared" si="91"/>
        <v/>
      </c>
      <c r="X162" s="11">
        <f t="shared" si="79"/>
        <v>0</v>
      </c>
      <c r="Y162" s="11">
        <f t="shared" si="88"/>
        <v>0</v>
      </c>
      <c r="Z162" s="24">
        <f t="shared" si="89"/>
        <v>0</v>
      </c>
      <c r="AA162" s="25">
        <f t="shared" si="90"/>
        <v>0</v>
      </c>
      <c r="AB162" s="24">
        <f t="shared" si="80"/>
        <v>0</v>
      </c>
      <c r="AC162" s="24">
        <f t="shared" si="81"/>
        <v>0</v>
      </c>
      <c r="AD162" s="24">
        <f t="shared" si="82"/>
        <v>0</v>
      </c>
      <c r="AE162" s="24">
        <f t="shared" si="83"/>
        <v>0</v>
      </c>
      <c r="AF162" s="119" t="str">
        <f>VLOOKUP(P162*1,Referencias!$G:$H,2,0)</f>
        <v>seg</v>
      </c>
      <c r="AZ162" s="11" t="s">
        <v>404</v>
      </c>
      <c r="BA162" s="29">
        <v>2.361111111111111E-2</v>
      </c>
      <c r="BB162" s="30">
        <v>6.13</v>
      </c>
      <c r="BC162" s="30">
        <v>12.34</v>
      </c>
      <c r="BD162" s="31">
        <v>1</v>
      </c>
      <c r="BF162"/>
      <c r="BG162"/>
      <c r="BH162"/>
      <c r="BI162"/>
      <c r="BR162" s="10"/>
      <c r="BS162" s="10"/>
    </row>
    <row r="163" spans="1:71" ht="14.4" x14ac:dyDescent="0.3">
      <c r="A163" s="77"/>
      <c r="B163" s="78" t="s">
        <v>105</v>
      </c>
      <c r="C163" s="79">
        <v>0.88124999999999998</v>
      </c>
      <c r="D163" s="80">
        <v>3.94</v>
      </c>
      <c r="E163" s="80" t="s">
        <v>86</v>
      </c>
      <c r="F163" s="80"/>
      <c r="G163" s="81">
        <v>3.06</v>
      </c>
      <c r="H163" s="82">
        <v>8.9700000000000006</v>
      </c>
      <c r="I163" s="80"/>
      <c r="J163" s="37"/>
      <c r="K163" s="37"/>
      <c r="L163" s="37"/>
      <c r="M163" s="37"/>
      <c r="N163" s="7" t="str">
        <f t="shared" si="84"/>
        <v>#LIL1MGJLH </v>
      </c>
      <c r="O163" s="7" t="str">
        <f t="shared" si="76"/>
        <v>#LIL1MGJLH </v>
      </c>
      <c r="P163" s="21">
        <f t="shared" si="85"/>
        <v>43234</v>
      </c>
      <c r="Q163" s="22">
        <f>VLOOKUP(R163,Referencias!$D$1:$E$13,2,0)</f>
        <v>5</v>
      </c>
      <c r="R163" s="7" t="str">
        <f t="shared" si="86"/>
        <v>MAI</v>
      </c>
      <c r="S163" s="7">
        <f t="shared" si="77"/>
        <v>0</v>
      </c>
      <c r="T163" s="11">
        <f t="shared" si="87"/>
        <v>14</v>
      </c>
      <c r="U163" s="11">
        <f t="shared" si="78"/>
        <v>0</v>
      </c>
      <c r="V163" s="11" t="str">
        <f>VLOOKUP(C163,Referencias!$A$2:$B$33,2,1)</f>
        <v>21 - 22</v>
      </c>
      <c r="W163" s="23">
        <f t="shared" si="91"/>
        <v>1.6666666666666718E-2</v>
      </c>
      <c r="X163" s="11">
        <f t="shared" si="79"/>
        <v>3.94</v>
      </c>
      <c r="Y163" s="11">
        <f t="shared" si="88"/>
        <v>6.957777208331807</v>
      </c>
      <c r="Z163" s="24">
        <f t="shared" si="89"/>
        <v>3.06</v>
      </c>
      <c r="AA163" s="25">
        <f t="shared" si="90"/>
        <v>7.6499999999999764</v>
      </c>
      <c r="AB163" s="24">
        <f t="shared" si="80"/>
        <v>1</v>
      </c>
      <c r="AC163" s="24">
        <f t="shared" si="81"/>
        <v>2.0047535441464333</v>
      </c>
      <c r="AD163" s="24">
        <f t="shared" si="82"/>
        <v>2.4289106356471684</v>
      </c>
      <c r="AE163" s="24">
        <f t="shared" si="83"/>
        <v>2.8798471816537128</v>
      </c>
      <c r="AF163" s="119" t="str">
        <f>VLOOKUP(P163*1,Referencias!$G:$H,2,0)</f>
        <v>seg</v>
      </c>
      <c r="AZ163" s="11" t="s">
        <v>403</v>
      </c>
      <c r="BA163" s="29">
        <v>2.2916666666666669E-2</v>
      </c>
      <c r="BB163" s="30">
        <v>3.27</v>
      </c>
      <c r="BC163" s="30">
        <v>4.21</v>
      </c>
      <c r="BD163" s="31">
        <v>1</v>
      </c>
      <c r="BF163"/>
      <c r="BG163"/>
      <c r="BH163"/>
      <c r="BI163"/>
      <c r="BR163" s="10"/>
      <c r="BS163" s="10"/>
    </row>
    <row r="164" spans="1:71" ht="14.4" x14ac:dyDescent="0.3">
      <c r="A164" s="77"/>
      <c r="B164" s="78"/>
      <c r="C164" s="79">
        <v>0.8979166666666667</v>
      </c>
      <c r="D164" s="80"/>
      <c r="E164" s="80"/>
      <c r="F164" s="80"/>
      <c r="G164" s="81"/>
      <c r="H164" s="82"/>
      <c r="I164" s="80"/>
      <c r="J164" s="37"/>
      <c r="K164" s="37"/>
      <c r="L164" s="37"/>
      <c r="M164" s="37"/>
      <c r="N164" s="7" t="str">
        <f t="shared" si="84"/>
        <v>#LIL1MGJLH </v>
      </c>
      <c r="O164" s="7">
        <f t="shared" si="76"/>
        <v>0</v>
      </c>
      <c r="P164" s="21">
        <f t="shared" si="85"/>
        <v>43234</v>
      </c>
      <c r="Q164" s="22">
        <f>VLOOKUP(R164,Referencias!$D$1:$E$13,2,0)</f>
        <v>5</v>
      </c>
      <c r="R164" s="7" t="str">
        <f t="shared" si="86"/>
        <v>MAI</v>
      </c>
      <c r="S164" s="7">
        <f t="shared" si="77"/>
        <v>0</v>
      </c>
      <c r="T164" s="11">
        <f t="shared" si="87"/>
        <v>14</v>
      </c>
      <c r="U164" s="11">
        <f t="shared" si="78"/>
        <v>0</v>
      </c>
      <c r="V164" s="11" t="str">
        <f>VLOOKUP(C164,Referencias!$A$2:$B$33,2,1)</f>
        <v>21 - 22</v>
      </c>
      <c r="W164" s="23" t="str">
        <f t="shared" si="91"/>
        <v/>
      </c>
      <c r="X164" s="11">
        <f t="shared" si="79"/>
        <v>0</v>
      </c>
      <c r="Y164" s="11">
        <f t="shared" si="88"/>
        <v>0</v>
      </c>
      <c r="Z164" s="24">
        <f t="shared" si="89"/>
        <v>0</v>
      </c>
      <c r="AA164" s="25">
        <f t="shared" si="90"/>
        <v>0</v>
      </c>
      <c r="AB164" s="24">
        <f t="shared" si="80"/>
        <v>0</v>
      </c>
      <c r="AC164" s="24">
        <f t="shared" si="81"/>
        <v>0</v>
      </c>
      <c r="AD164" s="24">
        <f t="shared" si="82"/>
        <v>0</v>
      </c>
      <c r="AE164" s="24">
        <f t="shared" si="83"/>
        <v>0</v>
      </c>
      <c r="AF164" s="119" t="str">
        <f>VLOOKUP(P164*1,Referencias!$G:$H,2,0)</f>
        <v>seg</v>
      </c>
      <c r="AZ164" s="11" t="s">
        <v>401</v>
      </c>
      <c r="BA164" s="29">
        <v>1.9444444444444445E-2</v>
      </c>
      <c r="BB164" s="30">
        <v>2.5099999999999998</v>
      </c>
      <c r="BC164" s="30">
        <v>2.9</v>
      </c>
      <c r="BD164" s="31">
        <v>1</v>
      </c>
      <c r="BF164"/>
      <c r="BG164"/>
      <c r="BH164"/>
      <c r="BI164"/>
      <c r="BR164" s="10"/>
      <c r="BS164" s="10"/>
    </row>
    <row r="165" spans="1:71" ht="14.4" x14ac:dyDescent="0.3">
      <c r="A165" s="83"/>
      <c r="B165" s="83"/>
      <c r="C165" s="83"/>
      <c r="D165" s="83"/>
      <c r="E165" s="83"/>
      <c r="F165" s="83"/>
      <c r="G165" s="83"/>
      <c r="H165" s="83"/>
      <c r="I165" s="83"/>
      <c r="J165" s="7"/>
      <c r="K165" s="7"/>
      <c r="L165" s="7"/>
      <c r="M165" s="7"/>
      <c r="N165" s="7" t="str">
        <f t="shared" si="84"/>
        <v>#LIL1MGJLH </v>
      </c>
      <c r="O165" s="7">
        <f t="shared" si="76"/>
        <v>0</v>
      </c>
      <c r="P165" s="21">
        <f t="shared" si="85"/>
        <v>43234</v>
      </c>
      <c r="Q165" s="22">
        <f>VLOOKUP(R165,Referencias!$D$1:$E$13,2,0)</f>
        <v>5</v>
      </c>
      <c r="R165" s="7" t="str">
        <f t="shared" si="86"/>
        <v>MAI</v>
      </c>
      <c r="S165" s="7">
        <f t="shared" si="77"/>
        <v>0</v>
      </c>
      <c r="T165" s="11">
        <f t="shared" si="87"/>
        <v>14</v>
      </c>
      <c r="U165" s="11">
        <f t="shared" si="78"/>
        <v>0</v>
      </c>
      <c r="V165" s="11" t="e">
        <f>VLOOKUP(C165,Referencias!$A$2:$B$33,2,1)</f>
        <v>#N/A</v>
      </c>
      <c r="W165" s="23" t="str">
        <f t="shared" si="91"/>
        <v/>
      </c>
      <c r="X165" s="11">
        <f t="shared" si="79"/>
        <v>0</v>
      </c>
      <c r="Y165" s="11">
        <f t="shared" si="88"/>
        <v>0</v>
      </c>
      <c r="Z165" s="24">
        <f t="shared" si="89"/>
        <v>0</v>
      </c>
      <c r="AA165" s="25">
        <f t="shared" si="90"/>
        <v>0</v>
      </c>
      <c r="AB165" s="24">
        <f t="shared" si="80"/>
        <v>0</v>
      </c>
      <c r="AC165" s="24">
        <f t="shared" si="81"/>
        <v>0</v>
      </c>
      <c r="AD165" s="24">
        <f t="shared" si="82"/>
        <v>0</v>
      </c>
      <c r="AE165" s="24">
        <f t="shared" si="83"/>
        <v>0</v>
      </c>
      <c r="AF165" s="119" t="str">
        <f>VLOOKUP(P165*1,Referencias!$G:$H,2,0)</f>
        <v>seg</v>
      </c>
      <c r="AZ165" s="11" t="s">
        <v>402</v>
      </c>
      <c r="BA165" s="29">
        <v>3.9583333333333331E-2</v>
      </c>
      <c r="BB165" s="30">
        <v>3.92</v>
      </c>
      <c r="BC165" s="30">
        <v>6.93</v>
      </c>
      <c r="BD165" s="31">
        <v>1</v>
      </c>
      <c r="BF165"/>
      <c r="BG165"/>
      <c r="BH165"/>
      <c r="BI165"/>
      <c r="BR165" s="10"/>
      <c r="BS165" s="10"/>
    </row>
    <row r="166" spans="1:71" ht="14.4" x14ac:dyDescent="0.3">
      <c r="A166" s="76"/>
      <c r="B166" s="76"/>
      <c r="C166" s="76"/>
      <c r="D166" s="76"/>
      <c r="E166" s="76"/>
      <c r="F166" s="76"/>
      <c r="G166" s="76"/>
      <c r="H166" s="76"/>
      <c r="I166" s="76"/>
      <c r="J166" s="7"/>
      <c r="K166" s="7"/>
      <c r="L166" s="7"/>
      <c r="M166" s="7"/>
      <c r="N166" s="7" t="str">
        <f t="shared" si="84"/>
        <v>#LIL1MGJLH </v>
      </c>
      <c r="O166" s="7">
        <f t="shared" si="76"/>
        <v>0</v>
      </c>
      <c r="P166" s="21">
        <f t="shared" si="85"/>
        <v>43234</v>
      </c>
      <c r="Q166" s="22">
        <f>VLOOKUP(R166,Referencias!$D$1:$E$13,2,0)</f>
        <v>5</v>
      </c>
      <c r="R166" s="7" t="str">
        <f t="shared" si="86"/>
        <v>MAI</v>
      </c>
      <c r="S166" s="7">
        <f t="shared" si="77"/>
        <v>0</v>
      </c>
      <c r="T166" s="11">
        <f t="shared" si="87"/>
        <v>14</v>
      </c>
      <c r="U166" s="11">
        <f t="shared" si="78"/>
        <v>0</v>
      </c>
      <c r="V166" s="11" t="e">
        <f>VLOOKUP(C166,Referencias!$A$2:$B$33,2,1)</f>
        <v>#N/A</v>
      </c>
      <c r="W166" s="23" t="str">
        <f t="shared" si="91"/>
        <v/>
      </c>
      <c r="X166" s="11">
        <f t="shared" si="79"/>
        <v>0</v>
      </c>
      <c r="Y166" s="11">
        <f t="shared" si="88"/>
        <v>0</v>
      </c>
      <c r="Z166" s="24">
        <f t="shared" si="89"/>
        <v>0</v>
      </c>
      <c r="AA166" s="25">
        <f t="shared" si="90"/>
        <v>0</v>
      </c>
      <c r="AB166" s="24">
        <f t="shared" si="80"/>
        <v>0</v>
      </c>
      <c r="AC166" s="24">
        <f t="shared" si="81"/>
        <v>0</v>
      </c>
      <c r="AD166" s="24">
        <f t="shared" si="82"/>
        <v>0</v>
      </c>
      <c r="AE166" s="24">
        <f t="shared" si="83"/>
        <v>0</v>
      </c>
      <c r="AF166" s="119" t="str">
        <f>VLOOKUP(P166*1,Referencias!$G:$H,2,0)</f>
        <v>seg</v>
      </c>
      <c r="AZ166" s="118">
        <v>43250</v>
      </c>
      <c r="BA166" s="29">
        <v>0.25555555555555554</v>
      </c>
      <c r="BB166" s="30">
        <v>50.95</v>
      </c>
      <c r="BC166" s="30">
        <v>85.850000000000009</v>
      </c>
      <c r="BD166" s="31">
        <v>11</v>
      </c>
      <c r="BF166"/>
      <c r="BG166"/>
      <c r="BH166"/>
      <c r="BI166"/>
      <c r="BR166" s="10"/>
      <c r="BS166" s="10"/>
    </row>
    <row r="167" spans="1:71" ht="14.4" x14ac:dyDescent="0.3">
      <c r="A167" s="77"/>
      <c r="B167" s="78" t="s">
        <v>106</v>
      </c>
      <c r="C167" s="79">
        <v>0.8979166666666667</v>
      </c>
      <c r="D167" s="80">
        <v>1.6</v>
      </c>
      <c r="E167" s="80" t="s">
        <v>72</v>
      </c>
      <c r="F167" s="80"/>
      <c r="G167" s="81">
        <v>2.2799999999999998</v>
      </c>
      <c r="H167" s="82">
        <v>11.25</v>
      </c>
      <c r="I167" s="80"/>
      <c r="J167" s="37"/>
      <c r="K167" s="37"/>
      <c r="L167" s="37"/>
      <c r="M167" s="37"/>
      <c r="N167" s="7" t="str">
        <f t="shared" si="84"/>
        <v>#LIKCFWWSF </v>
      </c>
      <c r="O167" s="7" t="str">
        <f t="shared" si="76"/>
        <v>#LIKCFWWSF </v>
      </c>
      <c r="P167" s="21">
        <f t="shared" si="85"/>
        <v>43234</v>
      </c>
      <c r="Q167" s="22">
        <f>VLOOKUP(R167,Referencias!$D$1:$E$13,2,0)</f>
        <v>5</v>
      </c>
      <c r="R167" s="7" t="str">
        <f t="shared" si="86"/>
        <v>MAI</v>
      </c>
      <c r="S167" s="7">
        <f t="shared" si="77"/>
        <v>0</v>
      </c>
      <c r="T167" s="11">
        <f t="shared" si="87"/>
        <v>14</v>
      </c>
      <c r="U167" s="11">
        <f t="shared" si="78"/>
        <v>0</v>
      </c>
      <c r="V167" s="11" t="str">
        <f>VLOOKUP(C167,Referencias!$A$2:$B$33,2,1)</f>
        <v>21 - 22</v>
      </c>
      <c r="W167" s="23">
        <f t="shared" si="91"/>
        <v>1.4583333333333282E-2</v>
      </c>
      <c r="X167" s="11">
        <f t="shared" si="79"/>
        <v>1.6</v>
      </c>
      <c r="Y167" s="11">
        <f t="shared" si="88"/>
        <v>2.8254932825712924</v>
      </c>
      <c r="Z167" s="24">
        <f t="shared" si="89"/>
        <v>2.2799999999999998</v>
      </c>
      <c r="AA167" s="25">
        <f t="shared" si="90"/>
        <v>6.5142857142857364</v>
      </c>
      <c r="AB167" s="24">
        <f t="shared" si="80"/>
        <v>1</v>
      </c>
      <c r="AC167" s="24">
        <f t="shared" si="81"/>
        <v>1.493737934854205</v>
      </c>
      <c r="AD167" s="24">
        <f t="shared" si="82"/>
        <v>1.8097765520508311</v>
      </c>
      <c r="AE167" s="24">
        <f t="shared" si="83"/>
        <v>2.1457684882910013</v>
      </c>
      <c r="AF167" s="119" t="str">
        <f>VLOOKUP(P167*1,Referencias!$G:$H,2,0)</f>
        <v>seg</v>
      </c>
      <c r="AZ167" s="11" t="s">
        <v>407</v>
      </c>
      <c r="BA167" s="29">
        <v>1.8749999999999999E-2</v>
      </c>
      <c r="BB167" s="30">
        <v>2.83</v>
      </c>
      <c r="BC167" s="30">
        <v>3.81</v>
      </c>
      <c r="BD167" s="31">
        <v>1</v>
      </c>
      <c r="BF167"/>
      <c r="BG167"/>
      <c r="BH167"/>
      <c r="BI167"/>
      <c r="BR167" s="10"/>
      <c r="BS167" s="10"/>
    </row>
    <row r="168" spans="1:71" ht="14.4" x14ac:dyDescent="0.3">
      <c r="A168" s="77"/>
      <c r="B168" s="78"/>
      <c r="C168" s="79">
        <v>0.91249999999999998</v>
      </c>
      <c r="D168" s="80"/>
      <c r="E168" s="80"/>
      <c r="F168" s="80"/>
      <c r="G168" s="81"/>
      <c r="H168" s="82"/>
      <c r="I168" s="80"/>
      <c r="J168" s="37"/>
      <c r="K168" s="37"/>
      <c r="L168" s="37"/>
      <c r="M168" s="37"/>
      <c r="N168" s="7" t="str">
        <f t="shared" si="84"/>
        <v>#LIKCFWWSF </v>
      </c>
      <c r="O168" s="7">
        <f t="shared" si="76"/>
        <v>0</v>
      </c>
      <c r="P168" s="21">
        <f t="shared" si="85"/>
        <v>43234</v>
      </c>
      <c r="Q168" s="22">
        <f>VLOOKUP(R168,Referencias!$D$1:$E$13,2,0)</f>
        <v>5</v>
      </c>
      <c r="R168" s="7" t="str">
        <f t="shared" si="86"/>
        <v>MAI</v>
      </c>
      <c r="S168" s="7">
        <f t="shared" si="77"/>
        <v>0</v>
      </c>
      <c r="T168" s="11">
        <f t="shared" si="87"/>
        <v>14</v>
      </c>
      <c r="U168" s="11">
        <f t="shared" si="78"/>
        <v>0</v>
      </c>
      <c r="V168" s="11" t="str">
        <f>VLOOKUP(C168,Referencias!$A$2:$B$33,2,1)</f>
        <v>21 - 22</v>
      </c>
      <c r="W168" s="23" t="str">
        <f t="shared" si="91"/>
        <v/>
      </c>
      <c r="X168" s="11">
        <f t="shared" si="79"/>
        <v>0</v>
      </c>
      <c r="Y168" s="11">
        <f t="shared" si="88"/>
        <v>0</v>
      </c>
      <c r="Z168" s="24">
        <f t="shared" si="89"/>
        <v>0</v>
      </c>
      <c r="AA168" s="25">
        <f t="shared" si="90"/>
        <v>0</v>
      </c>
      <c r="AB168" s="24">
        <f t="shared" si="80"/>
        <v>0</v>
      </c>
      <c r="AC168" s="24">
        <f t="shared" si="81"/>
        <v>0</v>
      </c>
      <c r="AD168" s="24">
        <f t="shared" si="82"/>
        <v>0</v>
      </c>
      <c r="AE168" s="24">
        <f t="shared" si="83"/>
        <v>0</v>
      </c>
      <c r="AF168" s="119" t="str">
        <f>VLOOKUP(P168*1,Referencias!$G:$H,2,0)</f>
        <v>seg</v>
      </c>
      <c r="AZ168" s="11" t="s">
        <v>409</v>
      </c>
      <c r="BA168" s="29">
        <v>2.7777777777777776E-2</v>
      </c>
      <c r="BB168" s="30">
        <v>3.39</v>
      </c>
      <c r="BC168" s="30">
        <v>5.42</v>
      </c>
      <c r="BD168" s="31">
        <v>1</v>
      </c>
      <c r="BF168"/>
      <c r="BG168"/>
      <c r="BH168"/>
      <c r="BI168"/>
      <c r="BR168" s="10"/>
      <c r="BS168" s="10"/>
    </row>
    <row r="169" spans="1:71" ht="14.4" x14ac:dyDescent="0.3">
      <c r="A169" s="83"/>
      <c r="B169" s="83"/>
      <c r="C169" s="83"/>
      <c r="D169" s="83"/>
      <c r="E169" s="83"/>
      <c r="F169" s="83"/>
      <c r="G169" s="83"/>
      <c r="H169" s="83"/>
      <c r="I169" s="83"/>
      <c r="J169" s="7"/>
      <c r="K169" s="7"/>
      <c r="L169" s="7"/>
      <c r="M169" s="7"/>
      <c r="N169" s="7" t="str">
        <f t="shared" si="84"/>
        <v>#LIKCFWWSF </v>
      </c>
      <c r="O169" s="7">
        <f t="shared" si="76"/>
        <v>0</v>
      </c>
      <c r="P169" s="21">
        <f t="shared" si="85"/>
        <v>43234</v>
      </c>
      <c r="Q169" s="22">
        <f>VLOOKUP(R169,Referencias!$D$1:$E$13,2,0)</f>
        <v>5</v>
      </c>
      <c r="R169" s="7" t="str">
        <f t="shared" si="86"/>
        <v>MAI</v>
      </c>
      <c r="S169" s="7">
        <f t="shared" si="77"/>
        <v>0</v>
      </c>
      <c r="T169" s="11">
        <f t="shared" si="87"/>
        <v>14</v>
      </c>
      <c r="U169" s="11">
        <f t="shared" si="78"/>
        <v>0</v>
      </c>
      <c r="V169" s="11" t="e">
        <f>VLOOKUP(C169,Referencias!$A$2:$B$33,2,1)</f>
        <v>#N/A</v>
      </c>
      <c r="W169" s="23" t="str">
        <f t="shared" si="91"/>
        <v/>
      </c>
      <c r="X169" s="11">
        <f t="shared" si="79"/>
        <v>0</v>
      </c>
      <c r="Y169" s="11">
        <f t="shared" si="88"/>
        <v>0</v>
      </c>
      <c r="Z169" s="24">
        <f t="shared" si="89"/>
        <v>0</v>
      </c>
      <c r="AA169" s="25">
        <f t="shared" si="90"/>
        <v>0</v>
      </c>
      <c r="AB169" s="24">
        <f t="shared" si="80"/>
        <v>0</v>
      </c>
      <c r="AC169" s="24">
        <f t="shared" si="81"/>
        <v>0</v>
      </c>
      <c r="AD169" s="24">
        <f t="shared" si="82"/>
        <v>0</v>
      </c>
      <c r="AE169" s="24">
        <f t="shared" si="83"/>
        <v>0</v>
      </c>
      <c r="AF169" s="119" t="str">
        <f>VLOOKUP(P169*1,Referencias!$G:$H,2,0)</f>
        <v>seg</v>
      </c>
      <c r="AZ169" s="11" t="s">
        <v>406</v>
      </c>
      <c r="BA169" s="29">
        <v>1.5972222222222224E-2</v>
      </c>
      <c r="BB169" s="30">
        <v>4.32</v>
      </c>
      <c r="BC169" s="30">
        <v>5.23</v>
      </c>
      <c r="BD169" s="31">
        <v>1</v>
      </c>
      <c r="BF169"/>
      <c r="BG169"/>
      <c r="BH169"/>
      <c r="BI169"/>
      <c r="BR169" s="10"/>
      <c r="BS169" s="10"/>
    </row>
    <row r="170" spans="1:71" ht="14.4" x14ac:dyDescent="0.3">
      <c r="A170" s="76"/>
      <c r="B170" s="76"/>
      <c r="C170" s="76"/>
      <c r="D170" s="76"/>
      <c r="E170" s="76"/>
      <c r="F170" s="76"/>
      <c r="G170" s="76"/>
      <c r="H170" s="76"/>
      <c r="I170" s="76"/>
      <c r="J170" s="7"/>
      <c r="K170" s="7"/>
      <c r="L170" s="7"/>
      <c r="M170" s="7"/>
      <c r="N170" s="7" t="str">
        <f t="shared" si="84"/>
        <v>#LIKCFWWSF </v>
      </c>
      <c r="O170" s="7">
        <f t="shared" si="76"/>
        <v>0</v>
      </c>
      <c r="P170" s="21">
        <f t="shared" si="85"/>
        <v>43234</v>
      </c>
      <c r="Q170" s="22">
        <f>VLOOKUP(R170,Referencias!$D$1:$E$13,2,0)</f>
        <v>5</v>
      </c>
      <c r="R170" s="7" t="str">
        <f t="shared" si="86"/>
        <v>MAI</v>
      </c>
      <c r="S170" s="7">
        <f t="shared" si="77"/>
        <v>0</v>
      </c>
      <c r="T170" s="11">
        <f t="shared" si="87"/>
        <v>14</v>
      </c>
      <c r="U170" s="11">
        <f t="shared" si="78"/>
        <v>0</v>
      </c>
      <c r="V170" s="11" t="e">
        <f>VLOOKUP(C170,Referencias!$A$2:$B$33,2,1)</f>
        <v>#N/A</v>
      </c>
      <c r="W170" s="23" t="str">
        <f t="shared" si="91"/>
        <v/>
      </c>
      <c r="X170" s="11">
        <f t="shared" si="79"/>
        <v>0</v>
      </c>
      <c r="Y170" s="11">
        <f t="shared" si="88"/>
        <v>0</v>
      </c>
      <c r="Z170" s="24">
        <f t="shared" si="89"/>
        <v>0</v>
      </c>
      <c r="AA170" s="25">
        <f t="shared" si="90"/>
        <v>0</v>
      </c>
      <c r="AB170" s="24">
        <f t="shared" si="80"/>
        <v>0</v>
      </c>
      <c r="AC170" s="24">
        <f t="shared" si="81"/>
        <v>0</v>
      </c>
      <c r="AD170" s="24">
        <f t="shared" si="82"/>
        <v>0</v>
      </c>
      <c r="AE170" s="24">
        <f t="shared" si="83"/>
        <v>0</v>
      </c>
      <c r="AF170" s="119" t="str">
        <f>VLOOKUP(P170*1,Referencias!$G:$H,2,0)</f>
        <v>seg</v>
      </c>
      <c r="AZ170" s="11" t="s">
        <v>412</v>
      </c>
      <c r="BA170" s="29">
        <v>3.4722222222222224E-2</v>
      </c>
      <c r="BB170" s="30">
        <v>8.91</v>
      </c>
      <c r="BC170" s="30">
        <v>17.43</v>
      </c>
      <c r="BD170" s="31">
        <v>1</v>
      </c>
      <c r="BF170"/>
      <c r="BG170"/>
      <c r="BH170"/>
      <c r="BI170"/>
      <c r="BR170" s="10"/>
      <c r="BS170" s="10"/>
    </row>
    <row r="171" spans="1:71" ht="14.4" x14ac:dyDescent="0.3">
      <c r="A171" s="77"/>
      <c r="B171" s="78" t="s">
        <v>107</v>
      </c>
      <c r="C171" s="79">
        <v>0.91319444444444453</v>
      </c>
      <c r="D171" s="80">
        <v>0.95</v>
      </c>
      <c r="E171" s="80" t="s">
        <v>74</v>
      </c>
      <c r="F171" s="80"/>
      <c r="G171" s="81">
        <v>2.29</v>
      </c>
      <c r="H171" s="82">
        <v>13.54</v>
      </c>
      <c r="I171" s="80"/>
      <c r="J171" s="37"/>
      <c r="K171" s="37"/>
      <c r="L171" s="37"/>
      <c r="M171" s="37"/>
      <c r="N171" s="7" t="str">
        <f t="shared" si="84"/>
        <v>#LIUBFZCQM </v>
      </c>
      <c r="O171" s="7" t="str">
        <f t="shared" si="76"/>
        <v>#LIUBFZCQM </v>
      </c>
      <c r="P171" s="21">
        <f t="shared" si="85"/>
        <v>43234</v>
      </c>
      <c r="Q171" s="22">
        <f>VLOOKUP(R171,Referencias!$D$1:$E$13,2,0)</f>
        <v>5</v>
      </c>
      <c r="R171" s="7" t="str">
        <f t="shared" si="86"/>
        <v>MAI</v>
      </c>
      <c r="S171" s="7">
        <f t="shared" si="77"/>
        <v>0</v>
      </c>
      <c r="T171" s="11">
        <f t="shared" si="87"/>
        <v>14</v>
      </c>
      <c r="U171" s="11">
        <f t="shared" si="78"/>
        <v>0</v>
      </c>
      <c r="V171" s="11" t="str">
        <f>VLOOKUP(C171,Referencias!$A$2:$B$33,2,1)</f>
        <v>21 - 22</v>
      </c>
      <c r="W171" s="23">
        <f t="shared" si="91"/>
        <v>1.8055555555555491E-2</v>
      </c>
      <c r="X171" s="11">
        <f t="shared" si="79"/>
        <v>0.95</v>
      </c>
      <c r="Y171" s="11">
        <f t="shared" si="88"/>
        <v>1.6776366365267048</v>
      </c>
      <c r="Z171" s="24">
        <f t="shared" si="89"/>
        <v>2.29</v>
      </c>
      <c r="AA171" s="25">
        <f t="shared" si="90"/>
        <v>5.2846153846154031</v>
      </c>
      <c r="AB171" s="24">
        <f t="shared" si="80"/>
        <v>1</v>
      </c>
      <c r="AC171" s="24">
        <f t="shared" si="81"/>
        <v>1.5002894170246184</v>
      </c>
      <c r="AD171" s="24">
        <f t="shared" si="82"/>
        <v>1.8177141685071945</v>
      </c>
      <c r="AE171" s="24">
        <f t="shared" si="83"/>
        <v>2.1551797535905237</v>
      </c>
      <c r="AF171" s="119" t="str">
        <f>VLOOKUP(P171*1,Referencias!$G:$H,2,0)</f>
        <v>seg</v>
      </c>
      <c r="AZ171" s="11" t="s">
        <v>405</v>
      </c>
      <c r="BA171" s="29">
        <v>2.7777777777777776E-2</v>
      </c>
      <c r="BB171" s="30">
        <v>4.04</v>
      </c>
      <c r="BC171" s="30">
        <v>7.28</v>
      </c>
      <c r="BD171" s="31">
        <v>1</v>
      </c>
      <c r="BF171"/>
      <c r="BG171"/>
      <c r="BH171"/>
      <c r="BI171"/>
      <c r="BR171" s="10"/>
      <c r="BS171" s="10"/>
    </row>
    <row r="172" spans="1:71" ht="14.4" x14ac:dyDescent="0.3">
      <c r="A172" s="77"/>
      <c r="B172" s="78"/>
      <c r="C172" s="79">
        <v>0.93125000000000002</v>
      </c>
      <c r="D172" s="80"/>
      <c r="E172" s="80"/>
      <c r="F172" s="80"/>
      <c r="G172" s="81"/>
      <c r="H172" s="82"/>
      <c r="I172" s="80"/>
      <c r="J172" s="37"/>
      <c r="K172" s="37"/>
      <c r="L172" s="37"/>
      <c r="M172" s="37"/>
      <c r="N172" s="7" t="str">
        <f t="shared" si="84"/>
        <v>#LIUBFZCQM </v>
      </c>
      <c r="O172" s="7">
        <f t="shared" si="76"/>
        <v>0</v>
      </c>
      <c r="P172" s="21">
        <f t="shared" si="85"/>
        <v>43234</v>
      </c>
      <c r="Q172" s="22">
        <f>VLOOKUP(R172,Referencias!$D$1:$E$13,2,0)</f>
        <v>5</v>
      </c>
      <c r="R172" s="7" t="str">
        <f t="shared" si="86"/>
        <v>MAI</v>
      </c>
      <c r="S172" s="7">
        <f t="shared" si="77"/>
        <v>0</v>
      </c>
      <c r="T172" s="11">
        <f t="shared" si="87"/>
        <v>14</v>
      </c>
      <c r="U172" s="11">
        <f t="shared" si="78"/>
        <v>0</v>
      </c>
      <c r="V172" s="11" t="str">
        <f>VLOOKUP(C172,Referencias!$A$2:$B$33,2,1)</f>
        <v>22 - 23</v>
      </c>
      <c r="W172" s="23" t="str">
        <f t="shared" si="91"/>
        <v/>
      </c>
      <c r="X172" s="11">
        <f t="shared" si="79"/>
        <v>0</v>
      </c>
      <c r="Y172" s="11">
        <f t="shared" si="88"/>
        <v>0</v>
      </c>
      <c r="Z172" s="24">
        <f t="shared" si="89"/>
        <v>0</v>
      </c>
      <c r="AA172" s="25">
        <f t="shared" si="90"/>
        <v>0</v>
      </c>
      <c r="AB172" s="24">
        <f t="shared" si="80"/>
        <v>0</v>
      </c>
      <c r="AC172" s="24">
        <f t="shared" si="81"/>
        <v>0</v>
      </c>
      <c r="AD172" s="24">
        <f t="shared" si="82"/>
        <v>0</v>
      </c>
      <c r="AE172" s="24">
        <f t="shared" si="83"/>
        <v>0</v>
      </c>
      <c r="AF172" s="119" t="str">
        <f>VLOOKUP(P172*1,Referencias!$G:$H,2,0)</f>
        <v>seg</v>
      </c>
      <c r="AZ172" s="11" t="s">
        <v>415</v>
      </c>
      <c r="BA172" s="29">
        <v>2.4999999999999998E-2</v>
      </c>
      <c r="BB172" s="30">
        <v>7.85</v>
      </c>
      <c r="BC172" s="30">
        <v>15.25</v>
      </c>
      <c r="BD172" s="31">
        <v>1</v>
      </c>
      <c r="BF172"/>
      <c r="BG172"/>
      <c r="BH172"/>
      <c r="BI172"/>
      <c r="BR172" s="10"/>
      <c r="BS172" s="10"/>
    </row>
    <row r="173" spans="1:71" ht="14.4" x14ac:dyDescent="0.3">
      <c r="A173" s="83"/>
      <c r="B173" s="83"/>
      <c r="C173" s="83"/>
      <c r="D173" s="83"/>
      <c r="E173" s="83"/>
      <c r="F173" s="83"/>
      <c r="G173" s="83"/>
      <c r="H173" s="83"/>
      <c r="I173" s="83"/>
      <c r="J173" s="7"/>
      <c r="K173" s="7"/>
      <c r="L173" s="7"/>
      <c r="M173" s="7"/>
      <c r="N173" s="7" t="str">
        <f t="shared" si="84"/>
        <v>#LIUBFZCQM </v>
      </c>
      <c r="O173" s="7">
        <f t="shared" si="76"/>
        <v>0</v>
      </c>
      <c r="P173" s="21">
        <f t="shared" si="85"/>
        <v>43234</v>
      </c>
      <c r="Q173" s="22">
        <f>VLOOKUP(R173,Referencias!$D$1:$E$13,2,0)</f>
        <v>5</v>
      </c>
      <c r="R173" s="7" t="str">
        <f t="shared" si="86"/>
        <v>MAI</v>
      </c>
      <c r="S173" s="7">
        <f t="shared" si="77"/>
        <v>0</v>
      </c>
      <c r="T173" s="11">
        <f t="shared" si="87"/>
        <v>14</v>
      </c>
      <c r="U173" s="11">
        <f t="shared" si="78"/>
        <v>0</v>
      </c>
      <c r="V173" s="11" t="e">
        <f>VLOOKUP(C173,Referencias!$A$2:$B$33,2,1)</f>
        <v>#N/A</v>
      </c>
      <c r="W173" s="23" t="str">
        <f t="shared" si="91"/>
        <v/>
      </c>
      <c r="X173" s="11">
        <f t="shared" si="79"/>
        <v>0</v>
      </c>
      <c r="Y173" s="11">
        <f t="shared" si="88"/>
        <v>0</v>
      </c>
      <c r="Z173" s="24">
        <f t="shared" si="89"/>
        <v>0</v>
      </c>
      <c r="AA173" s="25">
        <f t="shared" si="90"/>
        <v>0</v>
      </c>
      <c r="AB173" s="24">
        <f t="shared" si="80"/>
        <v>0</v>
      </c>
      <c r="AC173" s="24">
        <f t="shared" si="81"/>
        <v>0</v>
      </c>
      <c r="AD173" s="24">
        <f t="shared" si="82"/>
        <v>0</v>
      </c>
      <c r="AE173" s="24">
        <f t="shared" si="83"/>
        <v>0</v>
      </c>
      <c r="AF173" s="119" t="str">
        <f>VLOOKUP(P173*1,Referencias!$G:$H,2,0)</f>
        <v>seg</v>
      </c>
      <c r="AZ173" s="11" t="s">
        <v>413</v>
      </c>
      <c r="BA173" s="29">
        <v>6.9444444444444441E-3</v>
      </c>
      <c r="BB173" s="30">
        <v>2.52</v>
      </c>
      <c r="BC173" s="30">
        <v>2.92</v>
      </c>
      <c r="BD173" s="31">
        <v>1</v>
      </c>
      <c r="BF173"/>
      <c r="BG173"/>
      <c r="BH173"/>
      <c r="BI173"/>
      <c r="BR173" s="10"/>
      <c r="BS173" s="10"/>
    </row>
    <row r="174" spans="1:71" ht="14.4" x14ac:dyDescent="0.3">
      <c r="A174" s="76"/>
      <c r="B174" s="76"/>
      <c r="C174" s="76"/>
      <c r="D174" s="76"/>
      <c r="E174" s="76"/>
      <c r="F174" s="76"/>
      <c r="G174" s="76"/>
      <c r="H174" s="76"/>
      <c r="I174" s="76"/>
      <c r="J174" s="7"/>
      <c r="K174" s="7"/>
      <c r="L174" s="7"/>
      <c r="M174" s="7"/>
      <c r="N174" s="7" t="str">
        <f t="shared" si="84"/>
        <v>#LIUBFZCQM </v>
      </c>
      <c r="O174" s="7">
        <f t="shared" si="76"/>
        <v>0</v>
      </c>
      <c r="P174" s="21">
        <f t="shared" si="85"/>
        <v>43234</v>
      </c>
      <c r="Q174" s="22">
        <f>VLOOKUP(R174,Referencias!$D$1:$E$13,2,0)</f>
        <v>5</v>
      </c>
      <c r="R174" s="7" t="str">
        <f t="shared" si="86"/>
        <v>MAI</v>
      </c>
      <c r="S174" s="7">
        <f t="shared" si="77"/>
        <v>0</v>
      </c>
      <c r="T174" s="11">
        <f t="shared" si="87"/>
        <v>14</v>
      </c>
      <c r="U174" s="11">
        <f t="shared" si="78"/>
        <v>0</v>
      </c>
      <c r="V174" s="11" t="e">
        <f>VLOOKUP(C174,Referencias!$A$2:$B$33,2,1)</f>
        <v>#N/A</v>
      </c>
      <c r="W174" s="23" t="str">
        <f t="shared" si="91"/>
        <v/>
      </c>
      <c r="X174" s="11">
        <f t="shared" si="79"/>
        <v>0</v>
      </c>
      <c r="Y174" s="11">
        <f t="shared" si="88"/>
        <v>0</v>
      </c>
      <c r="Z174" s="24">
        <f t="shared" si="89"/>
        <v>0</v>
      </c>
      <c r="AA174" s="25">
        <f t="shared" si="90"/>
        <v>0</v>
      </c>
      <c r="AB174" s="24">
        <f t="shared" si="80"/>
        <v>0</v>
      </c>
      <c r="AC174" s="24">
        <f t="shared" si="81"/>
        <v>0</v>
      </c>
      <c r="AD174" s="24">
        <f t="shared" si="82"/>
        <v>0</v>
      </c>
      <c r="AE174" s="24">
        <f t="shared" si="83"/>
        <v>0</v>
      </c>
      <c r="AF174" s="119" t="str">
        <f>VLOOKUP(P174*1,Referencias!$G:$H,2,0)</f>
        <v>seg</v>
      </c>
      <c r="AZ174" s="11" t="s">
        <v>408</v>
      </c>
      <c r="BA174" s="29">
        <v>2.361111111111111E-2</v>
      </c>
      <c r="BB174" s="30">
        <v>3.87</v>
      </c>
      <c r="BC174" s="30">
        <v>6.79</v>
      </c>
      <c r="BD174" s="31">
        <v>1</v>
      </c>
      <c r="BF174"/>
      <c r="BG174"/>
      <c r="BH174"/>
      <c r="BI174"/>
      <c r="BR174" s="10"/>
      <c r="BS174" s="10"/>
    </row>
    <row r="175" spans="1:71" ht="14.4" x14ac:dyDescent="0.3">
      <c r="A175" s="77"/>
      <c r="B175" s="78" t="s">
        <v>108</v>
      </c>
      <c r="C175" s="79">
        <v>0.93194444444444446</v>
      </c>
      <c r="D175" s="80">
        <v>1.6</v>
      </c>
      <c r="E175" s="80" t="s">
        <v>87</v>
      </c>
      <c r="F175" s="80"/>
      <c r="G175" s="81">
        <v>2.64</v>
      </c>
      <c r="H175" s="82">
        <v>16.18</v>
      </c>
      <c r="I175" s="80"/>
      <c r="J175" s="37"/>
      <c r="K175" s="37"/>
      <c r="L175" s="37"/>
      <c r="M175" s="37"/>
      <c r="N175" s="7" t="str">
        <f t="shared" si="84"/>
        <v>#LIYHWGVTL </v>
      </c>
      <c r="O175" s="7" t="str">
        <f t="shared" si="76"/>
        <v>#LIYHWGVTL </v>
      </c>
      <c r="P175" s="21">
        <f t="shared" si="85"/>
        <v>43234</v>
      </c>
      <c r="Q175" s="22">
        <f>VLOOKUP(R175,Referencias!$D$1:$E$13,2,0)</f>
        <v>5</v>
      </c>
      <c r="R175" s="7" t="str">
        <f t="shared" si="86"/>
        <v>MAI</v>
      </c>
      <c r="S175" s="7">
        <f t="shared" si="77"/>
        <v>0</v>
      </c>
      <c r="T175" s="11">
        <f t="shared" si="87"/>
        <v>14</v>
      </c>
      <c r="U175" s="11">
        <f t="shared" si="78"/>
        <v>0</v>
      </c>
      <c r="V175" s="11" t="str">
        <f>VLOOKUP(C175,Referencias!$A$2:$B$33,2,1)</f>
        <v>22 - 23</v>
      </c>
      <c r="W175" s="23">
        <f t="shared" si="91"/>
        <v>1.8055555555555602E-2</v>
      </c>
      <c r="X175" s="11">
        <f t="shared" si="79"/>
        <v>1.6</v>
      </c>
      <c r="Y175" s="11">
        <f t="shared" si="88"/>
        <v>2.8254932825712924</v>
      </c>
      <c r="Z175" s="24">
        <f t="shared" si="89"/>
        <v>2.64</v>
      </c>
      <c r="AA175" s="25">
        <f t="shared" si="90"/>
        <v>6.0923076923076769</v>
      </c>
      <c r="AB175" s="24">
        <f t="shared" si="80"/>
        <v>1</v>
      </c>
      <c r="AC175" s="24">
        <f t="shared" si="81"/>
        <v>1.7295912929890798</v>
      </c>
      <c r="AD175" s="24">
        <f t="shared" si="82"/>
        <v>2.0955307444799098</v>
      </c>
      <c r="AE175" s="24">
        <f t="shared" si="83"/>
        <v>2.4845740390737916</v>
      </c>
      <c r="AF175" s="119" t="str">
        <f>VLOOKUP(P175*1,Referencias!$G:$H,2,0)</f>
        <v>seg</v>
      </c>
      <c r="AZ175" s="11" t="s">
        <v>414</v>
      </c>
      <c r="BA175" s="29">
        <v>2.4999999999999998E-2</v>
      </c>
      <c r="BB175" s="30">
        <v>6.46</v>
      </c>
      <c r="BC175" s="30">
        <v>11.11</v>
      </c>
      <c r="BD175" s="31">
        <v>1</v>
      </c>
      <c r="BF175"/>
      <c r="BG175"/>
      <c r="BH175"/>
      <c r="BI175"/>
      <c r="BR175" s="10"/>
      <c r="BS175" s="10"/>
    </row>
    <row r="176" spans="1:71" ht="14.4" x14ac:dyDescent="0.3">
      <c r="A176" s="77"/>
      <c r="B176" s="78"/>
      <c r="C176" s="79">
        <v>0.95000000000000007</v>
      </c>
      <c r="D176" s="80"/>
      <c r="E176" s="80"/>
      <c r="F176" s="80"/>
      <c r="G176" s="81"/>
      <c r="H176" s="82"/>
      <c r="I176" s="80"/>
      <c r="J176" s="37"/>
      <c r="K176" s="37"/>
      <c r="L176" s="37"/>
      <c r="M176" s="37"/>
      <c r="N176" s="7" t="str">
        <f t="shared" si="84"/>
        <v>#LIYHWGVTL </v>
      </c>
      <c r="O176" s="7">
        <f t="shared" si="76"/>
        <v>0</v>
      </c>
      <c r="P176" s="21">
        <f t="shared" si="85"/>
        <v>43234</v>
      </c>
      <c r="Q176" s="22">
        <f>VLOOKUP(R176,Referencias!$D$1:$E$13,2,0)</f>
        <v>5</v>
      </c>
      <c r="R176" s="7" t="str">
        <f t="shared" si="86"/>
        <v>MAI</v>
      </c>
      <c r="S176" s="7">
        <f t="shared" si="77"/>
        <v>0</v>
      </c>
      <c r="T176" s="11">
        <f t="shared" si="87"/>
        <v>14</v>
      </c>
      <c r="U176" s="11">
        <f t="shared" si="78"/>
        <v>0</v>
      </c>
      <c r="V176" s="11" t="str">
        <f>VLOOKUP(C176,Referencias!$A$2:$B$33,2,1)</f>
        <v>22 - 23</v>
      </c>
      <c r="W176" s="23" t="str">
        <f t="shared" si="91"/>
        <v/>
      </c>
      <c r="X176" s="11">
        <f t="shared" si="79"/>
        <v>0</v>
      </c>
      <c r="Y176" s="11">
        <f t="shared" si="88"/>
        <v>0</v>
      </c>
      <c r="Z176" s="24">
        <f t="shared" si="89"/>
        <v>0</v>
      </c>
      <c r="AA176" s="25">
        <f t="shared" si="90"/>
        <v>0</v>
      </c>
      <c r="AB176" s="24">
        <f t="shared" si="80"/>
        <v>0</v>
      </c>
      <c r="AC176" s="24">
        <f t="shared" si="81"/>
        <v>0</v>
      </c>
      <c r="AD176" s="24">
        <f t="shared" si="82"/>
        <v>0</v>
      </c>
      <c r="AE176" s="24">
        <f t="shared" si="83"/>
        <v>0</v>
      </c>
      <c r="AF176" s="119" t="str">
        <f>VLOOKUP(P176*1,Referencias!$G:$H,2,0)</f>
        <v>seg</v>
      </c>
      <c r="AZ176" s="11" t="s">
        <v>410</v>
      </c>
      <c r="BA176" s="29">
        <v>1.8055555555555557E-2</v>
      </c>
      <c r="BB176" s="30">
        <v>2.98</v>
      </c>
      <c r="BC176" s="30">
        <v>4.09</v>
      </c>
      <c r="BD176" s="31">
        <v>1</v>
      </c>
      <c r="BF176"/>
      <c r="BG176"/>
      <c r="BH176"/>
      <c r="BI176"/>
      <c r="BR176" s="10"/>
      <c r="BS176" s="10"/>
    </row>
    <row r="177" spans="1:71" ht="14.4" x14ac:dyDescent="0.3">
      <c r="A177" s="83"/>
      <c r="B177" s="83"/>
      <c r="C177" s="83"/>
      <c r="D177" s="83"/>
      <c r="E177" s="83"/>
      <c r="F177" s="83"/>
      <c r="G177" s="83"/>
      <c r="H177" s="83"/>
      <c r="I177" s="83"/>
      <c r="J177" s="7"/>
      <c r="K177" s="7"/>
      <c r="L177" s="7"/>
      <c r="M177" s="7"/>
      <c r="N177" s="7" t="str">
        <f t="shared" si="84"/>
        <v>#LIYHWGVTL </v>
      </c>
      <c r="O177" s="7">
        <f t="shared" si="76"/>
        <v>0</v>
      </c>
      <c r="P177" s="21">
        <f t="shared" si="85"/>
        <v>43234</v>
      </c>
      <c r="Q177" s="22">
        <f>VLOOKUP(R177,Referencias!$D$1:$E$13,2,0)</f>
        <v>5</v>
      </c>
      <c r="R177" s="7" t="str">
        <f t="shared" si="86"/>
        <v>MAI</v>
      </c>
      <c r="S177" s="7">
        <f t="shared" si="77"/>
        <v>0</v>
      </c>
      <c r="T177" s="11">
        <f t="shared" si="87"/>
        <v>14</v>
      </c>
      <c r="U177" s="11">
        <f t="shared" si="78"/>
        <v>0</v>
      </c>
      <c r="V177" s="11" t="e">
        <f>VLOOKUP(C177,Referencias!$A$2:$B$33,2,1)</f>
        <v>#N/A</v>
      </c>
      <c r="W177" s="23" t="str">
        <f t="shared" si="91"/>
        <v/>
      </c>
      <c r="X177" s="11">
        <f t="shared" si="79"/>
        <v>0</v>
      </c>
      <c r="Y177" s="11">
        <f t="shared" si="88"/>
        <v>0</v>
      </c>
      <c r="Z177" s="24">
        <f t="shared" si="89"/>
        <v>0</v>
      </c>
      <c r="AA177" s="25">
        <f t="shared" si="90"/>
        <v>0</v>
      </c>
      <c r="AB177" s="24">
        <f t="shared" si="80"/>
        <v>0</v>
      </c>
      <c r="AC177" s="24">
        <f t="shared" si="81"/>
        <v>0</v>
      </c>
      <c r="AD177" s="24">
        <f t="shared" si="82"/>
        <v>0</v>
      </c>
      <c r="AE177" s="24">
        <f t="shared" si="83"/>
        <v>0</v>
      </c>
      <c r="AF177" s="119" t="str">
        <f>VLOOKUP(P177*1,Referencias!$G:$H,2,0)</f>
        <v>seg</v>
      </c>
      <c r="AZ177" s="11" t="s">
        <v>411</v>
      </c>
      <c r="BA177" s="29">
        <v>3.1944444444444449E-2</v>
      </c>
      <c r="BB177" s="30">
        <v>3.78</v>
      </c>
      <c r="BC177" s="30">
        <v>6.52</v>
      </c>
      <c r="BD177" s="31">
        <v>1</v>
      </c>
      <c r="BF177"/>
      <c r="BG177"/>
      <c r="BH177"/>
      <c r="BI177"/>
      <c r="BR177" s="10"/>
      <c r="BS177" s="10"/>
    </row>
    <row r="178" spans="1:71" ht="14.4" x14ac:dyDescent="0.3">
      <c r="A178" s="76"/>
      <c r="B178" s="76"/>
      <c r="C178" s="76"/>
      <c r="D178" s="76"/>
      <c r="E178" s="76"/>
      <c r="F178" s="76"/>
      <c r="G178" s="76"/>
      <c r="H178" s="76"/>
      <c r="I178" s="76"/>
      <c r="J178" s="7"/>
      <c r="K178" s="7"/>
      <c r="L178" s="7"/>
      <c r="M178" s="7"/>
      <c r="N178" s="7" t="str">
        <f t="shared" si="84"/>
        <v>#LIYHWGVTL </v>
      </c>
      <c r="O178" s="7">
        <f t="shared" si="76"/>
        <v>0</v>
      </c>
      <c r="P178" s="21">
        <f t="shared" si="85"/>
        <v>43234</v>
      </c>
      <c r="Q178" s="22">
        <f>VLOOKUP(R178,Referencias!$D$1:$E$13,2,0)</f>
        <v>5</v>
      </c>
      <c r="R178" s="7" t="str">
        <f t="shared" si="86"/>
        <v>MAI</v>
      </c>
      <c r="S178" s="7">
        <f t="shared" si="77"/>
        <v>0</v>
      </c>
      <c r="T178" s="11">
        <f t="shared" si="87"/>
        <v>14</v>
      </c>
      <c r="U178" s="11">
        <f t="shared" si="78"/>
        <v>0</v>
      </c>
      <c r="V178" s="11" t="e">
        <f>VLOOKUP(C178,Referencias!$A$2:$B$33,2,1)</f>
        <v>#N/A</v>
      </c>
      <c r="W178" s="23" t="str">
        <f t="shared" si="91"/>
        <v/>
      </c>
      <c r="X178" s="11">
        <f t="shared" si="79"/>
        <v>0</v>
      </c>
      <c r="Y178" s="11">
        <f t="shared" si="88"/>
        <v>0</v>
      </c>
      <c r="Z178" s="24">
        <f t="shared" si="89"/>
        <v>0</v>
      </c>
      <c r="AA178" s="25">
        <f t="shared" si="90"/>
        <v>0</v>
      </c>
      <c r="AB178" s="24">
        <f t="shared" si="80"/>
        <v>0</v>
      </c>
      <c r="AC178" s="24">
        <f t="shared" si="81"/>
        <v>0</v>
      </c>
      <c r="AD178" s="24">
        <f t="shared" si="82"/>
        <v>0</v>
      </c>
      <c r="AE178" s="24">
        <f t="shared" si="83"/>
        <v>0</v>
      </c>
      <c r="AF178" s="119" t="str">
        <f>VLOOKUP(P178*1,Referencias!$G:$H,2,0)</f>
        <v>seg</v>
      </c>
      <c r="AZ178" s="118">
        <v>43252</v>
      </c>
      <c r="BA178" s="29">
        <v>0.30208333333333331</v>
      </c>
      <c r="BB178" s="30">
        <v>42.180000000000007</v>
      </c>
      <c r="BC178" s="30">
        <v>62.41</v>
      </c>
      <c r="BD178" s="31">
        <v>12</v>
      </c>
      <c r="BF178"/>
      <c r="BG178"/>
      <c r="BH178"/>
      <c r="BI178"/>
      <c r="BR178" s="10"/>
      <c r="BS178" s="10"/>
    </row>
    <row r="179" spans="1:71" ht="14.4" x14ac:dyDescent="0.3">
      <c r="A179" s="77"/>
      <c r="B179" s="78" t="s">
        <v>109</v>
      </c>
      <c r="C179" s="79">
        <v>0.94305555555555554</v>
      </c>
      <c r="D179" s="80">
        <v>5.42</v>
      </c>
      <c r="E179" s="80" t="s">
        <v>29</v>
      </c>
      <c r="F179" s="80"/>
      <c r="G179" s="81">
        <v>1.5</v>
      </c>
      <c r="H179" s="82">
        <v>17.68</v>
      </c>
      <c r="I179" s="80"/>
      <c r="J179" s="37"/>
      <c r="K179" s="37"/>
      <c r="L179" s="37"/>
      <c r="M179" s="37"/>
      <c r="N179" s="7" t="str">
        <f t="shared" si="84"/>
        <v>#LI2NDJZEM </v>
      </c>
      <c r="O179" s="7" t="str">
        <f t="shared" si="76"/>
        <v>#LI2NDJZEM </v>
      </c>
      <c r="P179" s="21">
        <f t="shared" si="85"/>
        <v>43234</v>
      </c>
      <c r="Q179" s="22">
        <f>VLOOKUP(R179,Referencias!$D$1:$E$13,2,0)</f>
        <v>5</v>
      </c>
      <c r="R179" s="7" t="str">
        <f t="shared" si="86"/>
        <v>MAI</v>
      </c>
      <c r="S179" s="7">
        <f t="shared" si="77"/>
        <v>0</v>
      </c>
      <c r="T179" s="11">
        <f t="shared" si="87"/>
        <v>14</v>
      </c>
      <c r="U179" s="11">
        <f t="shared" si="78"/>
        <v>0</v>
      </c>
      <c r="V179" s="11" t="str">
        <f>VLOOKUP(C179,Referencias!$A$2:$B$33,2,1)</f>
        <v>22 - 23</v>
      </c>
      <c r="W179" s="23">
        <f t="shared" si="91"/>
        <v>1.9444444444444486E-2</v>
      </c>
      <c r="X179" s="11">
        <f t="shared" si="79"/>
        <v>5.42</v>
      </c>
      <c r="Y179" s="11">
        <f t="shared" si="88"/>
        <v>9.5713584947102532</v>
      </c>
      <c r="Z179" s="24">
        <f t="shared" si="89"/>
        <v>1.5</v>
      </c>
      <c r="AA179" s="25">
        <f t="shared" si="90"/>
        <v>3.2142857142857073</v>
      </c>
      <c r="AB179" s="24">
        <f t="shared" si="80"/>
        <v>1</v>
      </c>
      <c r="AC179" s="24">
        <f t="shared" si="81"/>
        <v>0.98272232556197714</v>
      </c>
      <c r="AD179" s="24">
        <f t="shared" si="82"/>
        <v>1.1906424684544943</v>
      </c>
      <c r="AE179" s="24">
        <f t="shared" si="83"/>
        <v>1.4116897949282905</v>
      </c>
      <c r="AF179" s="119" t="str">
        <f>VLOOKUP(P179*1,Referencias!$G:$H,2,0)</f>
        <v>seg</v>
      </c>
      <c r="AZ179" s="11" t="s">
        <v>266</v>
      </c>
      <c r="BA179" s="29">
        <v>1.1805555555555555E-2</v>
      </c>
      <c r="BB179" s="30">
        <v>2.77</v>
      </c>
      <c r="BC179" s="30">
        <v>3.65</v>
      </c>
      <c r="BD179" s="31">
        <v>1</v>
      </c>
      <c r="BF179"/>
      <c r="BG179"/>
      <c r="BH179"/>
      <c r="BI179"/>
      <c r="BR179" s="10"/>
      <c r="BS179" s="10"/>
    </row>
    <row r="180" spans="1:71" ht="14.4" x14ac:dyDescent="0.3">
      <c r="A180" s="77"/>
      <c r="B180" s="78"/>
      <c r="C180" s="79">
        <v>0.96250000000000002</v>
      </c>
      <c r="D180" s="80"/>
      <c r="E180" s="80"/>
      <c r="F180" s="80"/>
      <c r="G180" s="81"/>
      <c r="H180" s="82"/>
      <c r="I180" s="80"/>
      <c r="J180" s="37"/>
      <c r="K180" s="37"/>
      <c r="L180" s="37"/>
      <c r="M180" s="37"/>
      <c r="N180" s="7" t="str">
        <f t="shared" si="84"/>
        <v>#LI2NDJZEM </v>
      </c>
      <c r="O180" s="7">
        <f t="shared" si="76"/>
        <v>0</v>
      </c>
      <c r="P180" s="21">
        <f t="shared" si="85"/>
        <v>43234</v>
      </c>
      <c r="Q180" s="22">
        <f>VLOOKUP(R180,Referencias!$D$1:$E$13,2,0)</f>
        <v>5</v>
      </c>
      <c r="R180" s="7" t="str">
        <f t="shared" si="86"/>
        <v>MAI</v>
      </c>
      <c r="S180" s="7">
        <f t="shared" si="77"/>
        <v>0</v>
      </c>
      <c r="T180" s="11">
        <f t="shared" si="87"/>
        <v>14</v>
      </c>
      <c r="U180" s="11">
        <f t="shared" si="78"/>
        <v>0</v>
      </c>
      <c r="V180" s="11" t="str">
        <f>VLOOKUP(C180,Referencias!$A$2:$B$33,2,1)</f>
        <v>23 - 24</v>
      </c>
      <c r="W180" s="23" t="str">
        <f t="shared" si="91"/>
        <v/>
      </c>
      <c r="X180" s="11">
        <f t="shared" si="79"/>
        <v>0</v>
      </c>
      <c r="Y180" s="11">
        <f t="shared" si="88"/>
        <v>0</v>
      </c>
      <c r="Z180" s="24">
        <f t="shared" si="89"/>
        <v>0</v>
      </c>
      <c r="AA180" s="25">
        <f t="shared" si="90"/>
        <v>0</v>
      </c>
      <c r="AB180" s="24">
        <f t="shared" si="80"/>
        <v>0</v>
      </c>
      <c r="AC180" s="24">
        <f t="shared" si="81"/>
        <v>0</v>
      </c>
      <c r="AD180" s="24">
        <f t="shared" si="82"/>
        <v>0</v>
      </c>
      <c r="AE180" s="24">
        <f t="shared" si="83"/>
        <v>0</v>
      </c>
      <c r="AF180" s="119" t="str">
        <f>VLOOKUP(P180*1,Referencias!$G:$H,2,0)</f>
        <v>seg</v>
      </c>
      <c r="AZ180" s="11" t="s">
        <v>260</v>
      </c>
      <c r="BA180" s="29">
        <v>3.5416666666666666E-2</v>
      </c>
      <c r="BB180" s="30">
        <v>5.05</v>
      </c>
      <c r="BC180" s="30">
        <v>7.98</v>
      </c>
      <c r="BD180" s="31">
        <v>1</v>
      </c>
      <c r="BF180"/>
      <c r="BG180"/>
      <c r="BH180"/>
      <c r="BI180"/>
      <c r="BR180" s="10"/>
      <c r="BS180" s="10"/>
    </row>
    <row r="181" spans="1:71" ht="15" thickBot="1" x14ac:dyDescent="0.35">
      <c r="A181" s="84"/>
      <c r="B181" s="84"/>
      <c r="C181" s="84"/>
      <c r="D181" s="84"/>
      <c r="E181" s="84"/>
      <c r="F181" s="84"/>
      <c r="G181" s="84"/>
      <c r="H181" s="84"/>
      <c r="I181" s="84"/>
      <c r="J181" s="7"/>
      <c r="K181" s="7"/>
      <c r="L181" s="7"/>
      <c r="M181" s="7"/>
      <c r="N181" s="7" t="str">
        <f t="shared" si="84"/>
        <v>#LI2NDJZEM </v>
      </c>
      <c r="O181" s="7">
        <f t="shared" si="76"/>
        <v>0</v>
      </c>
      <c r="P181" s="21">
        <f t="shared" si="85"/>
        <v>43234</v>
      </c>
      <c r="Q181" s="22">
        <f>VLOOKUP(R181,Referencias!$D$1:$E$13,2,0)</f>
        <v>5</v>
      </c>
      <c r="R181" s="7" t="str">
        <f t="shared" si="86"/>
        <v>MAI</v>
      </c>
      <c r="S181" s="7">
        <f t="shared" si="77"/>
        <v>0</v>
      </c>
      <c r="T181" s="11">
        <f t="shared" si="87"/>
        <v>14</v>
      </c>
      <c r="U181" s="11">
        <f t="shared" si="78"/>
        <v>0</v>
      </c>
      <c r="V181" s="11" t="e">
        <f>VLOOKUP(C181,Referencias!$A$2:$B$33,2,1)</f>
        <v>#N/A</v>
      </c>
      <c r="W181" s="23" t="str">
        <f t="shared" si="91"/>
        <v/>
      </c>
      <c r="X181" s="11">
        <f t="shared" si="79"/>
        <v>0</v>
      </c>
      <c r="Y181" s="11">
        <f t="shared" si="88"/>
        <v>0</v>
      </c>
      <c r="Z181" s="24">
        <f t="shared" si="89"/>
        <v>0</v>
      </c>
      <c r="AA181" s="25">
        <f t="shared" si="90"/>
        <v>0</v>
      </c>
      <c r="AB181" s="24">
        <f t="shared" si="80"/>
        <v>0</v>
      </c>
      <c r="AC181" s="24">
        <f t="shared" si="81"/>
        <v>0</v>
      </c>
      <c r="AD181" s="24">
        <f t="shared" si="82"/>
        <v>0</v>
      </c>
      <c r="AE181" s="24">
        <f t="shared" si="83"/>
        <v>0</v>
      </c>
      <c r="AF181" s="119" t="str">
        <f>VLOOKUP(P181*1,Referencias!$G:$H,2,0)</f>
        <v>seg</v>
      </c>
      <c r="AZ181" s="11" t="s">
        <v>267</v>
      </c>
      <c r="BA181" s="29">
        <v>2.0833333333333332E-2</v>
      </c>
      <c r="BB181" s="30">
        <v>3.4</v>
      </c>
      <c r="BC181" s="30">
        <v>5.44</v>
      </c>
      <c r="BD181" s="31">
        <v>1</v>
      </c>
      <c r="BF181"/>
      <c r="BG181"/>
      <c r="BH181"/>
      <c r="BI181"/>
      <c r="BR181" s="10"/>
      <c r="BS181" s="10"/>
    </row>
    <row r="182" spans="1:71" ht="14.4" x14ac:dyDescent="0.3">
      <c r="A182" s="77">
        <v>15</v>
      </c>
      <c r="B182" s="85" t="s">
        <v>110</v>
      </c>
      <c r="C182" s="79">
        <v>0.52083333333333337</v>
      </c>
      <c r="D182" s="86">
        <v>3.13</v>
      </c>
      <c r="E182" s="86" t="s">
        <v>66</v>
      </c>
      <c r="F182" s="86"/>
      <c r="G182" s="87">
        <v>3.44</v>
      </c>
      <c r="H182" s="88">
        <v>21.12</v>
      </c>
      <c r="I182" s="89" t="s">
        <v>333</v>
      </c>
      <c r="J182" s="7"/>
      <c r="K182" s="7"/>
      <c r="L182" s="7"/>
      <c r="M182" s="7"/>
      <c r="N182" s="7" t="str">
        <f t="shared" si="84"/>
        <v>#LIARLUMGL </v>
      </c>
      <c r="O182" s="7" t="str">
        <f t="shared" si="76"/>
        <v>#LIARLUMGL </v>
      </c>
      <c r="P182" s="21">
        <f t="shared" si="85"/>
        <v>43235</v>
      </c>
      <c r="Q182" s="22">
        <f>VLOOKUP(R182,Referencias!$D$1:$E$13,2,0)</f>
        <v>5</v>
      </c>
      <c r="R182" s="7" t="str">
        <f t="shared" si="86"/>
        <v>MAI</v>
      </c>
      <c r="S182" s="7" t="str">
        <f t="shared" si="77"/>
        <v>MAI</v>
      </c>
      <c r="T182" s="11">
        <f t="shared" si="87"/>
        <v>15</v>
      </c>
      <c r="U182" s="11">
        <f t="shared" si="78"/>
        <v>15</v>
      </c>
      <c r="V182" s="11" t="str">
        <f>VLOOKUP(C182,Referencias!$A$2:$B$33,2,1)</f>
        <v>12 - 13</v>
      </c>
      <c r="W182" s="23">
        <f t="shared" si="91"/>
        <v>4.2361111111111072E-2</v>
      </c>
      <c r="X182" s="11">
        <f t="shared" si="79"/>
        <v>3.13</v>
      </c>
      <c r="Y182" s="11">
        <f t="shared" si="88"/>
        <v>5.5273712340300909</v>
      </c>
      <c r="Z182" s="24">
        <f t="shared" si="89"/>
        <v>3.44</v>
      </c>
      <c r="AA182" s="25">
        <f t="shared" si="90"/>
        <v>3.3836065573770524</v>
      </c>
      <c r="AB182" s="24">
        <f t="shared" si="80"/>
        <v>1</v>
      </c>
      <c r="AC182" s="24">
        <f t="shared" si="81"/>
        <v>2.2537098666221342</v>
      </c>
      <c r="AD182" s="24">
        <f t="shared" si="82"/>
        <v>2.7305400609889734</v>
      </c>
      <c r="AE182" s="24">
        <f t="shared" si="83"/>
        <v>3.2374752630355461</v>
      </c>
      <c r="AF182" s="119" t="str">
        <f>VLOOKUP(P182*1,Referencias!$G:$H,2,0)</f>
        <v>ter</v>
      </c>
      <c r="AZ182" s="11" t="s">
        <v>268</v>
      </c>
      <c r="BA182" s="29">
        <v>2.4999999999999998E-2</v>
      </c>
      <c r="BB182" s="30">
        <v>2.68</v>
      </c>
      <c r="BC182" s="30">
        <v>3.4</v>
      </c>
      <c r="BD182" s="31">
        <v>1</v>
      </c>
      <c r="BF182"/>
      <c r="BG182"/>
      <c r="BH182"/>
      <c r="BI182"/>
      <c r="BR182" s="10"/>
      <c r="BS182" s="10"/>
    </row>
    <row r="183" spans="1:71" ht="14.4" x14ac:dyDescent="0.3">
      <c r="A183" s="77" t="s">
        <v>19</v>
      </c>
      <c r="B183" s="78"/>
      <c r="C183" s="79">
        <v>0.56319444444444444</v>
      </c>
      <c r="D183" s="80"/>
      <c r="E183" s="80"/>
      <c r="F183" s="80"/>
      <c r="G183" s="81"/>
      <c r="H183" s="82"/>
      <c r="I183" s="77"/>
      <c r="J183" s="41"/>
      <c r="K183" s="41"/>
      <c r="L183" s="41"/>
      <c r="M183" s="41"/>
      <c r="N183" s="7" t="str">
        <f t="shared" si="84"/>
        <v>#LIARLUMGL </v>
      </c>
      <c r="O183" s="7">
        <f t="shared" si="76"/>
        <v>0</v>
      </c>
      <c r="P183" s="21">
        <f t="shared" si="85"/>
        <v>43235</v>
      </c>
      <c r="Q183" s="22">
        <f>VLOOKUP(R183,Referencias!$D$1:$E$13,2,0)</f>
        <v>5</v>
      </c>
      <c r="R183" s="7" t="str">
        <f t="shared" si="86"/>
        <v>MAI</v>
      </c>
      <c r="S183" s="7">
        <f t="shared" si="77"/>
        <v>0</v>
      </c>
      <c r="T183" s="11">
        <f t="shared" si="87"/>
        <v>15</v>
      </c>
      <c r="U183" s="11">
        <f t="shared" si="78"/>
        <v>0</v>
      </c>
      <c r="V183" s="11" t="str">
        <f>VLOOKUP(C183,Referencias!$A$2:$B$33,2,1)</f>
        <v>13 - 14</v>
      </c>
      <c r="W183" s="23" t="str">
        <f t="shared" si="91"/>
        <v/>
      </c>
      <c r="X183" s="11">
        <f t="shared" si="79"/>
        <v>0</v>
      </c>
      <c r="Y183" s="11">
        <f t="shared" si="88"/>
        <v>0</v>
      </c>
      <c r="Z183" s="24">
        <f t="shared" si="89"/>
        <v>0</v>
      </c>
      <c r="AA183" s="25">
        <f t="shared" si="90"/>
        <v>0</v>
      </c>
      <c r="AB183" s="24">
        <f t="shared" si="80"/>
        <v>0</v>
      </c>
      <c r="AC183" s="24">
        <f t="shared" si="81"/>
        <v>0</v>
      </c>
      <c r="AD183" s="24">
        <f t="shared" si="82"/>
        <v>0</v>
      </c>
      <c r="AE183" s="24">
        <f t="shared" si="83"/>
        <v>0</v>
      </c>
      <c r="AF183" s="119" t="str">
        <f>VLOOKUP(P183*1,Referencias!$G:$H,2,0)</f>
        <v>ter</v>
      </c>
      <c r="AZ183" s="11" t="s">
        <v>259</v>
      </c>
      <c r="BA183" s="29">
        <v>1.8055555555555557E-2</v>
      </c>
      <c r="BB183" s="30">
        <v>2.93</v>
      </c>
      <c r="BC183" s="30">
        <v>3.9</v>
      </c>
      <c r="BD183" s="31">
        <v>1</v>
      </c>
      <c r="BF183"/>
      <c r="BG183"/>
      <c r="BH183"/>
      <c r="BI183"/>
      <c r="BR183" s="10"/>
      <c r="BS183" s="10"/>
    </row>
    <row r="184" spans="1:71" ht="14.4" x14ac:dyDescent="0.3">
      <c r="A184" s="83"/>
      <c r="B184" s="83"/>
      <c r="C184" s="83"/>
      <c r="D184" s="83"/>
      <c r="E184" s="83"/>
      <c r="F184" s="83"/>
      <c r="G184" s="83"/>
      <c r="H184" s="83"/>
      <c r="I184" s="83"/>
      <c r="J184" s="16"/>
      <c r="K184" s="16"/>
      <c r="L184" s="16"/>
      <c r="M184" s="16"/>
      <c r="N184" s="7" t="str">
        <f t="shared" si="84"/>
        <v>#LIARLUMGL </v>
      </c>
      <c r="O184" s="7">
        <f t="shared" si="76"/>
        <v>0</v>
      </c>
      <c r="P184" s="21">
        <f t="shared" si="85"/>
        <v>43235</v>
      </c>
      <c r="Q184" s="22">
        <f>VLOOKUP(R184,Referencias!$D$1:$E$13,2,0)</f>
        <v>5</v>
      </c>
      <c r="R184" s="7" t="str">
        <f t="shared" si="86"/>
        <v>MAI</v>
      </c>
      <c r="S184" s="7">
        <f t="shared" si="77"/>
        <v>0</v>
      </c>
      <c r="T184" s="11">
        <f t="shared" si="87"/>
        <v>15</v>
      </c>
      <c r="U184" s="11">
        <f t="shared" si="78"/>
        <v>0</v>
      </c>
      <c r="V184" s="11" t="e">
        <f>VLOOKUP(C184,Referencias!$A$2:$B$33,2,1)</f>
        <v>#N/A</v>
      </c>
      <c r="W184" s="23" t="str">
        <f t="shared" si="91"/>
        <v/>
      </c>
      <c r="X184" s="11">
        <f t="shared" si="79"/>
        <v>0</v>
      </c>
      <c r="Y184" s="11">
        <f t="shared" si="88"/>
        <v>0</v>
      </c>
      <c r="Z184" s="24">
        <f t="shared" si="89"/>
        <v>0</v>
      </c>
      <c r="AA184" s="25">
        <f t="shared" si="90"/>
        <v>0</v>
      </c>
      <c r="AB184" s="24">
        <f t="shared" si="80"/>
        <v>0</v>
      </c>
      <c r="AC184" s="24">
        <f t="shared" si="81"/>
        <v>0</v>
      </c>
      <c r="AD184" s="24">
        <f t="shared" si="82"/>
        <v>0</v>
      </c>
      <c r="AE184" s="24">
        <f t="shared" si="83"/>
        <v>0</v>
      </c>
      <c r="AF184" s="119" t="str">
        <f>VLOOKUP(P184*1,Referencias!$G:$H,2,0)</f>
        <v>ter</v>
      </c>
      <c r="AZ184" s="11" t="s">
        <v>261</v>
      </c>
      <c r="BA184" s="29">
        <v>2.9166666666666664E-2</v>
      </c>
      <c r="BB184" s="30">
        <v>3.47</v>
      </c>
      <c r="BC184" s="30">
        <v>5.66</v>
      </c>
      <c r="BD184" s="31">
        <v>1</v>
      </c>
      <c r="BF184"/>
      <c r="BG184"/>
      <c r="BH184"/>
      <c r="BI184"/>
      <c r="BR184" s="10"/>
      <c r="BS184" s="10"/>
    </row>
    <row r="185" spans="1:71" ht="14.4" x14ac:dyDescent="0.3">
      <c r="A185" s="76"/>
      <c r="B185" s="76"/>
      <c r="C185" s="76"/>
      <c r="D185" s="76"/>
      <c r="E185" s="76"/>
      <c r="F185" s="76"/>
      <c r="G185" s="76"/>
      <c r="H185" s="76"/>
      <c r="I185" s="76"/>
      <c r="J185" s="16"/>
      <c r="K185" s="16"/>
      <c r="L185" s="16"/>
      <c r="M185" s="16"/>
      <c r="N185" s="7" t="str">
        <f t="shared" si="84"/>
        <v>#LIARLUMGL </v>
      </c>
      <c r="O185" s="7">
        <f t="shared" si="76"/>
        <v>0</v>
      </c>
      <c r="P185" s="21">
        <f t="shared" si="85"/>
        <v>43235</v>
      </c>
      <c r="Q185" s="22">
        <f>VLOOKUP(R185,Referencias!$D$1:$E$13,2,0)</f>
        <v>5</v>
      </c>
      <c r="R185" s="7" t="str">
        <f t="shared" si="86"/>
        <v>MAI</v>
      </c>
      <c r="S185" s="7">
        <f t="shared" si="77"/>
        <v>0</v>
      </c>
      <c r="T185" s="11">
        <f t="shared" si="87"/>
        <v>15</v>
      </c>
      <c r="U185" s="11">
        <f t="shared" si="78"/>
        <v>0</v>
      </c>
      <c r="V185" s="11" t="e">
        <f>VLOOKUP(C185,Referencias!$A$2:$B$33,2,1)</f>
        <v>#N/A</v>
      </c>
      <c r="W185" s="23" t="str">
        <f t="shared" si="91"/>
        <v/>
      </c>
      <c r="X185" s="11">
        <f t="shared" si="79"/>
        <v>0</v>
      </c>
      <c r="Y185" s="11">
        <f t="shared" si="88"/>
        <v>0</v>
      </c>
      <c r="Z185" s="24">
        <f t="shared" si="89"/>
        <v>0</v>
      </c>
      <c r="AA185" s="25">
        <f t="shared" si="90"/>
        <v>0</v>
      </c>
      <c r="AB185" s="24">
        <f t="shared" si="80"/>
        <v>0</v>
      </c>
      <c r="AC185" s="24">
        <f t="shared" si="81"/>
        <v>0</v>
      </c>
      <c r="AD185" s="24">
        <f t="shared" si="82"/>
        <v>0</v>
      </c>
      <c r="AE185" s="24">
        <f t="shared" si="83"/>
        <v>0</v>
      </c>
      <c r="AF185" s="119" t="str">
        <f>VLOOKUP(P185*1,Referencias!$G:$H,2,0)</f>
        <v>ter</v>
      </c>
      <c r="AZ185" s="11" t="s">
        <v>258</v>
      </c>
      <c r="BA185" s="29">
        <v>3.3333333333333333E-2</v>
      </c>
      <c r="BB185" s="30">
        <v>3.32</v>
      </c>
      <c r="BC185" s="30">
        <v>3.87</v>
      </c>
      <c r="BD185" s="31">
        <v>1</v>
      </c>
      <c r="BF185"/>
      <c r="BG185"/>
      <c r="BH185"/>
      <c r="BI185"/>
      <c r="BR185" s="10"/>
      <c r="BS185" s="10"/>
    </row>
    <row r="186" spans="1:71" ht="14.4" x14ac:dyDescent="0.3">
      <c r="A186" s="77"/>
      <c r="B186" s="78" t="s">
        <v>111</v>
      </c>
      <c r="C186" s="79">
        <v>0.56319444444444444</v>
      </c>
      <c r="D186" s="80">
        <v>4.29</v>
      </c>
      <c r="E186" s="80" t="s">
        <v>86</v>
      </c>
      <c r="F186" s="80"/>
      <c r="G186" s="81">
        <v>3.2</v>
      </c>
      <c r="H186" s="82">
        <v>24.32</v>
      </c>
      <c r="I186" s="80"/>
      <c r="J186" s="37"/>
      <c r="K186" s="37"/>
      <c r="L186" s="37"/>
      <c r="M186" s="37"/>
      <c r="N186" s="7" t="str">
        <f t="shared" si="84"/>
        <v>#LIAPAL5MF </v>
      </c>
      <c r="O186" s="7" t="str">
        <f t="shared" si="76"/>
        <v>#LIAPAL5MF </v>
      </c>
      <c r="P186" s="21">
        <f t="shared" si="85"/>
        <v>43235</v>
      </c>
      <c r="Q186" s="22">
        <f>VLOOKUP(R186,Referencias!$D$1:$E$13,2,0)</f>
        <v>5</v>
      </c>
      <c r="R186" s="7" t="str">
        <f t="shared" si="86"/>
        <v>MAI</v>
      </c>
      <c r="S186" s="7">
        <f t="shared" si="77"/>
        <v>0</v>
      </c>
      <c r="T186" s="11">
        <f t="shared" si="87"/>
        <v>15</v>
      </c>
      <c r="U186" s="11">
        <f t="shared" si="78"/>
        <v>0</v>
      </c>
      <c r="V186" s="11" t="str">
        <f>VLOOKUP(C186,Referencias!$A$2:$B$33,2,1)</f>
        <v>13 - 14</v>
      </c>
      <c r="W186" s="23">
        <f t="shared" si="91"/>
        <v>2.2916666666666696E-2</v>
      </c>
      <c r="X186" s="11">
        <f t="shared" si="79"/>
        <v>4.29</v>
      </c>
      <c r="Y186" s="11">
        <f t="shared" si="88"/>
        <v>7.5758538638942774</v>
      </c>
      <c r="Z186" s="24">
        <f t="shared" si="89"/>
        <v>3.2</v>
      </c>
      <c r="AA186" s="25">
        <f t="shared" si="90"/>
        <v>5.8181818181818112</v>
      </c>
      <c r="AB186" s="24">
        <f t="shared" si="80"/>
        <v>1</v>
      </c>
      <c r="AC186" s="24">
        <f t="shared" si="81"/>
        <v>2.0964742945322179</v>
      </c>
      <c r="AD186" s="24">
        <f t="shared" si="82"/>
        <v>2.5400372660362542</v>
      </c>
      <c r="AE186" s="24">
        <f t="shared" si="83"/>
        <v>3.0116048958470198</v>
      </c>
      <c r="AF186" s="119" t="str">
        <f>VLOOKUP(P186*1,Referencias!$G:$H,2,0)</f>
        <v>ter</v>
      </c>
      <c r="AZ186" s="11" t="s">
        <v>263</v>
      </c>
      <c r="BA186" s="29">
        <v>3.6111111111111115E-2</v>
      </c>
      <c r="BB186" s="30">
        <v>4.82</v>
      </c>
      <c r="BC186" s="30">
        <v>9.5</v>
      </c>
      <c r="BD186" s="31">
        <v>1</v>
      </c>
      <c r="BF186"/>
      <c r="BG186"/>
      <c r="BH186"/>
      <c r="BI186"/>
      <c r="BR186" s="10"/>
      <c r="BS186" s="10"/>
    </row>
    <row r="187" spans="1:71" ht="14.4" x14ac:dyDescent="0.3">
      <c r="A187" s="77"/>
      <c r="B187" s="78"/>
      <c r="C187" s="79">
        <v>0.58611111111111114</v>
      </c>
      <c r="D187" s="80"/>
      <c r="E187" s="80"/>
      <c r="F187" s="80"/>
      <c r="G187" s="81"/>
      <c r="H187" s="82"/>
      <c r="I187" s="80"/>
      <c r="J187" s="37"/>
      <c r="K187" s="37"/>
      <c r="L187" s="37"/>
      <c r="M187" s="37"/>
      <c r="N187" s="7" t="str">
        <f t="shared" si="84"/>
        <v>#LIAPAL5MF </v>
      </c>
      <c r="O187" s="7">
        <f t="shared" si="76"/>
        <v>0</v>
      </c>
      <c r="P187" s="21">
        <f t="shared" si="85"/>
        <v>43235</v>
      </c>
      <c r="Q187" s="22">
        <f>VLOOKUP(R187,Referencias!$D$1:$E$13,2,0)</f>
        <v>5</v>
      </c>
      <c r="R187" s="7" t="str">
        <f t="shared" si="86"/>
        <v>MAI</v>
      </c>
      <c r="S187" s="7">
        <f t="shared" si="77"/>
        <v>0</v>
      </c>
      <c r="T187" s="11">
        <f t="shared" si="87"/>
        <v>15</v>
      </c>
      <c r="U187" s="11">
        <f t="shared" si="78"/>
        <v>0</v>
      </c>
      <c r="V187" s="11" t="str">
        <f>VLOOKUP(C187,Referencias!$A$2:$B$33,2,1)</f>
        <v>14 - 15</v>
      </c>
      <c r="W187" s="23" t="str">
        <f t="shared" si="91"/>
        <v/>
      </c>
      <c r="X187" s="11">
        <f t="shared" si="79"/>
        <v>0</v>
      </c>
      <c r="Y187" s="11">
        <f t="shared" si="88"/>
        <v>0</v>
      </c>
      <c r="Z187" s="24">
        <f t="shared" si="89"/>
        <v>0</v>
      </c>
      <c r="AA187" s="25">
        <f t="shared" si="90"/>
        <v>0</v>
      </c>
      <c r="AB187" s="24">
        <f t="shared" si="80"/>
        <v>0</v>
      </c>
      <c r="AC187" s="24">
        <f t="shared" si="81"/>
        <v>0</v>
      </c>
      <c r="AD187" s="24">
        <f t="shared" si="82"/>
        <v>0</v>
      </c>
      <c r="AE187" s="24">
        <f t="shared" si="83"/>
        <v>0</v>
      </c>
      <c r="AF187" s="119" t="str">
        <f>VLOOKUP(P187*1,Referencias!$G:$H,2,0)</f>
        <v>ter</v>
      </c>
      <c r="AZ187" s="11" t="s">
        <v>265</v>
      </c>
      <c r="BA187" s="29">
        <v>2.9861111111111113E-2</v>
      </c>
      <c r="BB187" s="30">
        <v>4.68</v>
      </c>
      <c r="BC187" s="30">
        <v>5.93</v>
      </c>
      <c r="BD187" s="31">
        <v>1</v>
      </c>
      <c r="BF187"/>
      <c r="BG187"/>
      <c r="BH187"/>
      <c r="BI187"/>
      <c r="BR187" s="10"/>
      <c r="BS187" s="10"/>
    </row>
    <row r="188" spans="1:71" ht="14.4" x14ac:dyDescent="0.3">
      <c r="A188" s="83"/>
      <c r="B188" s="83"/>
      <c r="C188" s="83"/>
      <c r="D188" s="83"/>
      <c r="E188" s="83"/>
      <c r="F188" s="83"/>
      <c r="G188" s="83"/>
      <c r="H188" s="83"/>
      <c r="I188" s="83"/>
      <c r="J188" s="7"/>
      <c r="K188" s="7"/>
      <c r="L188" s="7"/>
      <c r="M188" s="7"/>
      <c r="N188" s="7" t="str">
        <f t="shared" si="84"/>
        <v>#LIAPAL5MF </v>
      </c>
      <c r="O188" s="7">
        <f t="shared" si="76"/>
        <v>0</v>
      </c>
      <c r="P188" s="21">
        <f t="shared" si="85"/>
        <v>43235</v>
      </c>
      <c r="Q188" s="22">
        <f>VLOOKUP(R188,Referencias!$D$1:$E$13,2,0)</f>
        <v>5</v>
      </c>
      <c r="R188" s="7" t="str">
        <f t="shared" si="86"/>
        <v>MAI</v>
      </c>
      <c r="S188" s="7">
        <f t="shared" si="77"/>
        <v>0</v>
      </c>
      <c r="T188" s="11">
        <f t="shared" si="87"/>
        <v>15</v>
      </c>
      <c r="U188" s="11">
        <f t="shared" si="78"/>
        <v>0</v>
      </c>
      <c r="V188" s="11" t="e">
        <f>VLOOKUP(C188,Referencias!$A$2:$B$33,2,1)</f>
        <v>#N/A</v>
      </c>
      <c r="W188" s="23" t="str">
        <f t="shared" si="91"/>
        <v/>
      </c>
      <c r="X188" s="11">
        <f t="shared" si="79"/>
        <v>0</v>
      </c>
      <c r="Y188" s="11">
        <f t="shared" si="88"/>
        <v>0</v>
      </c>
      <c r="Z188" s="24">
        <f t="shared" si="89"/>
        <v>0</v>
      </c>
      <c r="AA188" s="25">
        <f t="shared" si="90"/>
        <v>0</v>
      </c>
      <c r="AB188" s="24">
        <f t="shared" si="80"/>
        <v>0</v>
      </c>
      <c r="AC188" s="24">
        <f t="shared" si="81"/>
        <v>0</v>
      </c>
      <c r="AD188" s="24">
        <f t="shared" si="82"/>
        <v>0</v>
      </c>
      <c r="AE188" s="24">
        <f t="shared" si="83"/>
        <v>0</v>
      </c>
      <c r="AF188" s="119" t="str">
        <f>VLOOKUP(P188*1,Referencias!$G:$H,2,0)</f>
        <v>ter</v>
      </c>
      <c r="AZ188" s="11" t="s">
        <v>264</v>
      </c>
      <c r="BA188" s="29">
        <v>2.0833333333333332E-2</v>
      </c>
      <c r="BB188" s="30">
        <v>4.17</v>
      </c>
      <c r="BC188" s="30">
        <v>7.65</v>
      </c>
      <c r="BD188" s="31">
        <v>1</v>
      </c>
      <c r="BF188"/>
      <c r="BG188"/>
      <c r="BH188"/>
      <c r="BI188"/>
      <c r="BR188" s="10"/>
      <c r="BS188" s="10"/>
    </row>
    <row r="189" spans="1:71" ht="14.4" x14ac:dyDescent="0.3">
      <c r="A189" s="76"/>
      <c r="B189" s="76"/>
      <c r="C189" s="76"/>
      <c r="D189" s="76"/>
      <c r="E189" s="76"/>
      <c r="F189" s="76"/>
      <c r="G189" s="76"/>
      <c r="H189" s="76"/>
      <c r="I189" s="76"/>
      <c r="J189" s="7"/>
      <c r="K189" s="7"/>
      <c r="L189" s="7"/>
      <c r="M189" s="7"/>
      <c r="N189" s="7" t="str">
        <f t="shared" si="84"/>
        <v>#LIAPAL5MF </v>
      </c>
      <c r="O189" s="7">
        <f t="shared" si="76"/>
        <v>0</v>
      </c>
      <c r="P189" s="21">
        <f t="shared" si="85"/>
        <v>43235</v>
      </c>
      <c r="Q189" s="22">
        <f>VLOOKUP(R189,Referencias!$D$1:$E$13,2,0)</f>
        <v>5</v>
      </c>
      <c r="R189" s="7" t="str">
        <f t="shared" si="86"/>
        <v>MAI</v>
      </c>
      <c r="S189" s="7">
        <f t="shared" si="77"/>
        <v>0</v>
      </c>
      <c r="T189" s="11">
        <f t="shared" si="87"/>
        <v>15</v>
      </c>
      <c r="U189" s="11">
        <f t="shared" si="78"/>
        <v>0</v>
      </c>
      <c r="V189" s="11" t="e">
        <f>VLOOKUP(C189,Referencias!$A$2:$B$33,2,1)</f>
        <v>#N/A</v>
      </c>
      <c r="W189" s="23" t="str">
        <f t="shared" si="91"/>
        <v/>
      </c>
      <c r="X189" s="11">
        <f t="shared" si="79"/>
        <v>0</v>
      </c>
      <c r="Y189" s="11">
        <f t="shared" si="88"/>
        <v>0</v>
      </c>
      <c r="Z189" s="24">
        <f t="shared" si="89"/>
        <v>0</v>
      </c>
      <c r="AA189" s="25">
        <f t="shared" si="90"/>
        <v>0</v>
      </c>
      <c r="AB189" s="24">
        <f t="shared" si="80"/>
        <v>0</v>
      </c>
      <c r="AC189" s="24">
        <f t="shared" si="81"/>
        <v>0</v>
      </c>
      <c r="AD189" s="24">
        <f t="shared" si="82"/>
        <v>0</v>
      </c>
      <c r="AE189" s="24">
        <f t="shared" si="83"/>
        <v>0</v>
      </c>
      <c r="AF189" s="119" t="str">
        <f>VLOOKUP(P189*1,Referencias!$G:$H,2,0)</f>
        <v>ter</v>
      </c>
      <c r="AZ189" s="11" t="s">
        <v>269</v>
      </c>
      <c r="BA189" s="29">
        <v>2.1527777777777781E-2</v>
      </c>
      <c r="BB189" s="30">
        <v>2.83</v>
      </c>
      <c r="BC189" s="30">
        <v>3.82</v>
      </c>
      <c r="BD189" s="31">
        <v>1</v>
      </c>
      <c r="BF189"/>
      <c r="BG189"/>
      <c r="BH189"/>
      <c r="BI189"/>
      <c r="BR189" s="10"/>
      <c r="BS189" s="10"/>
    </row>
    <row r="190" spans="1:71" ht="14.4" x14ac:dyDescent="0.3">
      <c r="A190" s="77"/>
      <c r="B190" s="78" t="s">
        <v>112</v>
      </c>
      <c r="C190" s="79">
        <v>0.80833333333333324</v>
      </c>
      <c r="D190" s="80">
        <v>2.94</v>
      </c>
      <c r="E190" s="80" t="s">
        <v>17</v>
      </c>
      <c r="F190" s="80"/>
      <c r="G190" s="81">
        <v>2.52</v>
      </c>
      <c r="H190" s="82">
        <v>26.84</v>
      </c>
      <c r="I190" s="80"/>
      <c r="J190" s="37"/>
      <c r="K190" s="37"/>
      <c r="L190" s="37"/>
      <c r="M190" s="37"/>
      <c r="N190" s="7" t="str">
        <f t="shared" si="84"/>
        <v>#LI3PCTLNS </v>
      </c>
      <c r="O190" s="7" t="str">
        <f t="shared" si="76"/>
        <v>#LI3PCTLNS </v>
      </c>
      <c r="P190" s="21">
        <f t="shared" si="85"/>
        <v>43235</v>
      </c>
      <c r="Q190" s="22">
        <f>VLOOKUP(R190,Referencias!$D$1:$E$13,2,0)</f>
        <v>5</v>
      </c>
      <c r="R190" s="7" t="str">
        <f t="shared" si="86"/>
        <v>MAI</v>
      </c>
      <c r="S190" s="7">
        <f t="shared" si="77"/>
        <v>0</v>
      </c>
      <c r="T190" s="11">
        <f t="shared" si="87"/>
        <v>15</v>
      </c>
      <c r="U190" s="11">
        <f t="shared" si="78"/>
        <v>0</v>
      </c>
      <c r="V190" s="11" t="str">
        <f>VLOOKUP(C190,Referencias!$A$2:$B$33,2,1)</f>
        <v>19 - 20</v>
      </c>
      <c r="W190" s="23">
        <f t="shared" si="91"/>
        <v>1.9444444444444597E-2</v>
      </c>
      <c r="X190" s="11">
        <f t="shared" si="79"/>
        <v>2.94</v>
      </c>
      <c r="Y190" s="11">
        <f t="shared" si="88"/>
        <v>5.1918439067247499</v>
      </c>
      <c r="Z190" s="24">
        <f t="shared" si="89"/>
        <v>2.52</v>
      </c>
      <c r="AA190" s="25">
        <f t="shared" si="90"/>
        <v>5.3999999999999577</v>
      </c>
      <c r="AB190" s="24">
        <f t="shared" si="80"/>
        <v>1</v>
      </c>
      <c r="AC190" s="24">
        <f t="shared" si="81"/>
        <v>1.6509735069441216</v>
      </c>
      <c r="AD190" s="24">
        <f t="shared" si="82"/>
        <v>2.0002793470035503</v>
      </c>
      <c r="AE190" s="24">
        <f t="shared" si="83"/>
        <v>2.371638855479528</v>
      </c>
      <c r="AF190" s="119" t="str">
        <f>VLOOKUP(P190*1,Referencias!$G:$H,2,0)</f>
        <v>ter</v>
      </c>
      <c r="AZ190" s="11" t="s">
        <v>262</v>
      </c>
      <c r="BA190" s="29">
        <v>2.013888888888889E-2</v>
      </c>
      <c r="BB190" s="30">
        <v>2.06</v>
      </c>
      <c r="BC190" s="30">
        <v>1.61</v>
      </c>
      <c r="BD190" s="31">
        <v>1</v>
      </c>
      <c r="BF190"/>
      <c r="BG190"/>
      <c r="BH190"/>
      <c r="BI190"/>
      <c r="BR190" s="10"/>
      <c r="BS190" s="10"/>
    </row>
    <row r="191" spans="1:71" ht="14.4" x14ac:dyDescent="0.3">
      <c r="A191" s="77"/>
      <c r="B191" s="78"/>
      <c r="C191" s="79">
        <v>0.82777777777777783</v>
      </c>
      <c r="D191" s="80"/>
      <c r="E191" s="80"/>
      <c r="F191" s="80"/>
      <c r="G191" s="81"/>
      <c r="H191" s="82"/>
      <c r="I191" s="80"/>
      <c r="J191" s="37"/>
      <c r="K191" s="37"/>
      <c r="L191" s="37"/>
      <c r="M191" s="37"/>
      <c r="N191" s="7" t="str">
        <f t="shared" si="84"/>
        <v>#LI3PCTLNS </v>
      </c>
      <c r="O191" s="7">
        <f t="shared" si="76"/>
        <v>0</v>
      </c>
      <c r="P191" s="21">
        <f t="shared" si="85"/>
        <v>43235</v>
      </c>
      <c r="Q191" s="22">
        <f>VLOOKUP(R191,Referencias!$D$1:$E$13,2,0)</f>
        <v>5</v>
      </c>
      <c r="R191" s="7" t="str">
        <f t="shared" si="86"/>
        <v>MAI</v>
      </c>
      <c r="S191" s="7">
        <f t="shared" si="77"/>
        <v>0</v>
      </c>
      <c r="T191" s="11">
        <f t="shared" si="87"/>
        <v>15</v>
      </c>
      <c r="U191" s="11">
        <f t="shared" si="78"/>
        <v>0</v>
      </c>
      <c r="V191" s="11" t="str">
        <f>VLOOKUP(C191,Referencias!$A$2:$B$33,2,1)</f>
        <v>19 - 20</v>
      </c>
      <c r="W191" s="23" t="str">
        <f t="shared" si="91"/>
        <v/>
      </c>
      <c r="X191" s="11">
        <f t="shared" si="79"/>
        <v>0</v>
      </c>
      <c r="Y191" s="11">
        <f t="shared" si="88"/>
        <v>0</v>
      </c>
      <c r="Z191" s="24">
        <f t="shared" si="89"/>
        <v>0</v>
      </c>
      <c r="AA191" s="25">
        <f t="shared" si="90"/>
        <v>0</v>
      </c>
      <c r="AB191" s="24">
        <f t="shared" si="80"/>
        <v>0</v>
      </c>
      <c r="AC191" s="24">
        <f t="shared" si="81"/>
        <v>0</v>
      </c>
      <c r="AD191" s="24">
        <f t="shared" si="82"/>
        <v>0</v>
      </c>
      <c r="AE191" s="24">
        <f t="shared" si="83"/>
        <v>0</v>
      </c>
      <c r="AF191" s="119" t="str">
        <f>VLOOKUP(P191*1,Referencias!$G:$H,2,0)</f>
        <v>ter</v>
      </c>
      <c r="AZ191" s="118">
        <v>43253</v>
      </c>
      <c r="BA191" s="29">
        <v>0.2638888888888889</v>
      </c>
      <c r="BB191" s="30">
        <v>40.009999999999991</v>
      </c>
      <c r="BC191" s="30">
        <v>70.23</v>
      </c>
      <c r="BD191" s="31">
        <v>9</v>
      </c>
      <c r="BF191"/>
      <c r="BG191"/>
      <c r="BH191"/>
      <c r="BI191"/>
      <c r="BR191" s="10"/>
      <c r="BS191" s="10"/>
    </row>
    <row r="192" spans="1:71" ht="14.4" x14ac:dyDescent="0.3">
      <c r="A192" s="83"/>
      <c r="B192" s="83"/>
      <c r="C192" s="83"/>
      <c r="D192" s="83"/>
      <c r="E192" s="83"/>
      <c r="F192" s="83"/>
      <c r="G192" s="83"/>
      <c r="H192" s="83"/>
      <c r="I192" s="83"/>
      <c r="J192" s="7"/>
      <c r="K192" s="7"/>
      <c r="L192" s="7"/>
      <c r="M192" s="7"/>
      <c r="N192" s="7" t="str">
        <f t="shared" si="84"/>
        <v>#LI3PCTLNS </v>
      </c>
      <c r="O192" s="7">
        <f t="shared" si="76"/>
        <v>0</v>
      </c>
      <c r="P192" s="21">
        <f t="shared" si="85"/>
        <v>43235</v>
      </c>
      <c r="Q192" s="22">
        <f>VLOOKUP(R192,Referencias!$D$1:$E$13,2,0)</f>
        <v>5</v>
      </c>
      <c r="R192" s="7" t="str">
        <f t="shared" si="86"/>
        <v>MAI</v>
      </c>
      <c r="S192" s="7">
        <f t="shared" si="77"/>
        <v>0</v>
      </c>
      <c r="T192" s="11">
        <f t="shared" si="87"/>
        <v>15</v>
      </c>
      <c r="U192" s="11">
        <f t="shared" si="78"/>
        <v>0</v>
      </c>
      <c r="V192" s="11" t="e">
        <f>VLOOKUP(C192,Referencias!$A$2:$B$33,2,1)</f>
        <v>#N/A</v>
      </c>
      <c r="W192" s="23" t="str">
        <f t="shared" si="91"/>
        <v/>
      </c>
      <c r="X192" s="11">
        <f t="shared" si="79"/>
        <v>0</v>
      </c>
      <c r="Y192" s="11">
        <f t="shared" si="88"/>
        <v>0</v>
      </c>
      <c r="Z192" s="24">
        <f t="shared" si="89"/>
        <v>0</v>
      </c>
      <c r="AA192" s="25">
        <f t="shared" si="90"/>
        <v>0</v>
      </c>
      <c r="AB192" s="24">
        <f t="shared" si="80"/>
        <v>0</v>
      </c>
      <c r="AC192" s="24">
        <f t="shared" si="81"/>
        <v>0</v>
      </c>
      <c r="AD192" s="24">
        <f t="shared" si="82"/>
        <v>0</v>
      </c>
      <c r="AE192" s="24">
        <f t="shared" si="83"/>
        <v>0</v>
      </c>
      <c r="AF192" s="119" t="str">
        <f>VLOOKUP(P192*1,Referencias!$G:$H,2,0)</f>
        <v>ter</v>
      </c>
      <c r="AZ192" s="11" t="s">
        <v>343</v>
      </c>
      <c r="BA192" s="29">
        <v>4.8611111111111112E-2</v>
      </c>
      <c r="BB192" s="30">
        <v>6.88</v>
      </c>
      <c r="BC192" s="30">
        <v>15.39</v>
      </c>
      <c r="BD192" s="31">
        <v>1</v>
      </c>
      <c r="BF192"/>
      <c r="BG192"/>
      <c r="BH192"/>
      <c r="BI192"/>
      <c r="BR192" s="10"/>
      <c r="BS192" s="10"/>
    </row>
    <row r="193" spans="1:71" ht="14.4" x14ac:dyDescent="0.3">
      <c r="A193" s="76"/>
      <c r="B193" s="76"/>
      <c r="C193" s="76"/>
      <c r="D193" s="76"/>
      <c r="E193" s="76"/>
      <c r="F193" s="76"/>
      <c r="G193" s="76"/>
      <c r="H193" s="76"/>
      <c r="I193" s="76"/>
      <c r="J193" s="7"/>
      <c r="K193" s="7"/>
      <c r="L193" s="7"/>
      <c r="M193" s="7"/>
      <c r="N193" s="7" t="str">
        <f t="shared" si="84"/>
        <v>#LI3PCTLNS </v>
      </c>
      <c r="O193" s="7">
        <f t="shared" si="76"/>
        <v>0</v>
      </c>
      <c r="P193" s="21">
        <f t="shared" si="85"/>
        <v>43235</v>
      </c>
      <c r="Q193" s="22">
        <f>VLOOKUP(R193,Referencias!$D$1:$E$13,2,0)</f>
        <v>5</v>
      </c>
      <c r="R193" s="7" t="str">
        <f t="shared" si="86"/>
        <v>MAI</v>
      </c>
      <c r="S193" s="7">
        <f t="shared" si="77"/>
        <v>0</v>
      </c>
      <c r="T193" s="11">
        <f t="shared" si="87"/>
        <v>15</v>
      </c>
      <c r="U193" s="11">
        <f t="shared" si="78"/>
        <v>0</v>
      </c>
      <c r="V193" s="11" t="e">
        <f>VLOOKUP(C193,Referencias!$A$2:$B$33,2,1)</f>
        <v>#N/A</v>
      </c>
      <c r="W193" s="23" t="str">
        <f t="shared" si="91"/>
        <v/>
      </c>
      <c r="X193" s="11">
        <f t="shared" si="79"/>
        <v>0</v>
      </c>
      <c r="Y193" s="11">
        <f t="shared" si="88"/>
        <v>0</v>
      </c>
      <c r="Z193" s="24">
        <f t="shared" si="89"/>
        <v>0</v>
      </c>
      <c r="AA193" s="25">
        <f t="shared" si="90"/>
        <v>0</v>
      </c>
      <c r="AB193" s="24">
        <f t="shared" si="80"/>
        <v>0</v>
      </c>
      <c r="AC193" s="24">
        <f t="shared" si="81"/>
        <v>0</v>
      </c>
      <c r="AD193" s="24">
        <f t="shared" si="82"/>
        <v>0</v>
      </c>
      <c r="AE193" s="24">
        <f t="shared" si="83"/>
        <v>0</v>
      </c>
      <c r="AF193" s="119" t="str">
        <f>VLOOKUP(P193*1,Referencias!$G:$H,2,0)</f>
        <v>ter</v>
      </c>
      <c r="AZ193" s="11" t="s">
        <v>342</v>
      </c>
      <c r="BA193" s="29">
        <v>2.2916666666666669E-2</v>
      </c>
      <c r="BB193" s="30">
        <v>2.5499999999999998</v>
      </c>
      <c r="BC193" s="30">
        <v>2.11</v>
      </c>
      <c r="BD193" s="31">
        <v>1</v>
      </c>
      <c r="BF193"/>
      <c r="BG193"/>
      <c r="BH193"/>
      <c r="BI193"/>
      <c r="BR193" s="10"/>
      <c r="BS193" s="10"/>
    </row>
    <row r="194" spans="1:71" ht="14.4" x14ac:dyDescent="0.3">
      <c r="A194" s="77"/>
      <c r="B194" s="78" t="s">
        <v>113</v>
      </c>
      <c r="C194" s="79">
        <v>0.82777777777777783</v>
      </c>
      <c r="D194" s="80">
        <v>9.74</v>
      </c>
      <c r="E194" s="80" t="s">
        <v>74</v>
      </c>
      <c r="F194" s="80"/>
      <c r="G194" s="81">
        <v>5.37</v>
      </c>
      <c r="H194" s="82">
        <v>32.21</v>
      </c>
      <c r="I194" s="80"/>
      <c r="J194" s="37"/>
      <c r="K194" s="37"/>
      <c r="L194" s="37"/>
      <c r="M194" s="37"/>
      <c r="N194" s="7" t="str">
        <f t="shared" si="84"/>
        <v>#LIEZHTTS9 </v>
      </c>
      <c r="O194" s="7" t="str">
        <f t="shared" ref="O194:O257" si="92">IF(X194&gt;0,B194,0)</f>
        <v>#LIEZHTTS9 </v>
      </c>
      <c r="P194" s="21">
        <f t="shared" si="85"/>
        <v>43235</v>
      </c>
      <c r="Q194" s="22">
        <f>VLOOKUP(R194,Referencias!$D$1:$E$13,2,0)</f>
        <v>5</v>
      </c>
      <c r="R194" s="7" t="str">
        <f t="shared" si="86"/>
        <v>MAI</v>
      </c>
      <c r="S194" s="7">
        <f t="shared" ref="S194:S257" si="93">IF(X194&gt;0,A195,0)</f>
        <v>0</v>
      </c>
      <c r="T194" s="11">
        <f t="shared" si="87"/>
        <v>15</v>
      </c>
      <c r="U194" s="11">
        <f t="shared" ref="U194:U257" si="94">IF(X194&gt;0,A194,0)</f>
        <v>0</v>
      </c>
      <c r="V194" s="11" t="str">
        <f>VLOOKUP(C194,Referencias!$A$2:$B$33,2,1)</f>
        <v>19 - 20</v>
      </c>
      <c r="W194" s="23">
        <f t="shared" si="91"/>
        <v>2.4999999999999911E-2</v>
      </c>
      <c r="X194" s="11">
        <f t="shared" ref="X194:X257" si="95">D194*1</f>
        <v>9.74</v>
      </c>
      <c r="Y194" s="11">
        <f t="shared" si="88"/>
        <v>17.200190357652744</v>
      </c>
      <c r="Z194" s="24">
        <f t="shared" si="89"/>
        <v>5.37</v>
      </c>
      <c r="AA194" s="25">
        <f t="shared" si="90"/>
        <v>8.9500000000000313</v>
      </c>
      <c r="AB194" s="24">
        <f t="shared" ref="AB194:AB257" si="96">IF(O194&gt;0,1,0)</f>
        <v>1</v>
      </c>
      <c r="AC194" s="24">
        <f t="shared" ref="AC194:AC257" si="97">Z194*$AL$14</f>
        <v>3.5181459255118783</v>
      </c>
      <c r="AD194" s="24">
        <f t="shared" ref="AD194:AD257" si="98">Z194*$AN$14</f>
        <v>4.2625000370670891</v>
      </c>
      <c r="AE194" s="24">
        <f t="shared" ref="AE194:AE257" si="99">Z194*$AL$26</f>
        <v>5.05384946584328</v>
      </c>
      <c r="AF194" s="119" t="str">
        <f>VLOOKUP(P194*1,Referencias!$G:$H,2,0)</f>
        <v>ter</v>
      </c>
      <c r="AZ194" s="11" t="s">
        <v>344</v>
      </c>
      <c r="BA194" s="29">
        <v>3.2638888888888891E-2</v>
      </c>
      <c r="BB194" s="30">
        <v>8.08</v>
      </c>
      <c r="BC194" s="30">
        <v>14.74</v>
      </c>
      <c r="BD194" s="31">
        <v>1</v>
      </c>
      <c r="BF194"/>
      <c r="BG194"/>
      <c r="BH194"/>
      <c r="BI194"/>
      <c r="BR194" s="10"/>
      <c r="BS194" s="10"/>
    </row>
    <row r="195" spans="1:71" ht="14.4" x14ac:dyDescent="0.3">
      <c r="A195" s="77"/>
      <c r="B195" s="78"/>
      <c r="C195" s="79">
        <v>0.85277777777777775</v>
      </c>
      <c r="D195" s="80"/>
      <c r="E195" s="80"/>
      <c r="F195" s="80"/>
      <c r="G195" s="81"/>
      <c r="H195" s="82"/>
      <c r="I195" s="80"/>
      <c r="J195" s="37"/>
      <c r="K195" s="37"/>
      <c r="L195" s="37"/>
      <c r="M195" s="37"/>
      <c r="N195" s="7" t="str">
        <f t="shared" ref="N195:N258" si="100">IF(O195&lt;&gt;0,O195,N194)</f>
        <v>#LIEZHTTS9 </v>
      </c>
      <c r="O195" s="7">
        <f t="shared" si="92"/>
        <v>0</v>
      </c>
      <c r="P195" s="21">
        <f t="shared" ref="P195:P258" si="101">(T195&amp;"/"&amp;Q195&amp;"/2018")*1</f>
        <v>43235</v>
      </c>
      <c r="Q195" s="22">
        <f>VLOOKUP(R195,Referencias!$D$1:$E$13,2,0)</f>
        <v>5</v>
      </c>
      <c r="R195" s="7" t="str">
        <f t="shared" ref="R195:R258" si="102">IF(S195="ganhos garantidos",R194,IF(S195&lt;&gt;0,S195,R194))</f>
        <v>MAI</v>
      </c>
      <c r="S195" s="7">
        <f t="shared" si="93"/>
        <v>0</v>
      </c>
      <c r="T195" s="11">
        <f t="shared" ref="T195:T258" si="103">IF(U195&lt;&gt;0,U195,T194)</f>
        <v>15</v>
      </c>
      <c r="U195" s="11">
        <f t="shared" si="94"/>
        <v>0</v>
      </c>
      <c r="V195" s="11" t="str">
        <f>VLOOKUP(C195,Referencias!$A$2:$B$33,2,1)</f>
        <v>20 - 21</v>
      </c>
      <c r="W195" s="23" t="str">
        <f t="shared" si="91"/>
        <v/>
      </c>
      <c r="X195" s="11">
        <f t="shared" si="95"/>
        <v>0</v>
      </c>
      <c r="Y195" s="11">
        <f t="shared" ref="Y195:Y258" si="104">X195*$AK$2</f>
        <v>0</v>
      </c>
      <c r="Z195" s="24">
        <f t="shared" ref="Z195:Z258" si="105">IF(A195="Ganhos Garantidos",G195,IF(X195&gt;0,G195*1,0))</f>
        <v>0</v>
      </c>
      <c r="AA195" s="25">
        <f t="shared" ref="AA195:AA258" si="106">IFERROR(Z195/(86400*(W195)/360/10),0)</f>
        <v>0</v>
      </c>
      <c r="AB195" s="24">
        <f t="shared" si="96"/>
        <v>0</v>
      </c>
      <c r="AC195" s="24">
        <f t="shared" si="97"/>
        <v>0</v>
      </c>
      <c r="AD195" s="24">
        <f t="shared" si="98"/>
        <v>0</v>
      </c>
      <c r="AE195" s="24">
        <f t="shared" si="99"/>
        <v>0</v>
      </c>
      <c r="AF195" s="119" t="str">
        <f>VLOOKUP(P195*1,Referencias!$G:$H,2,0)</f>
        <v>ter</v>
      </c>
      <c r="AZ195" s="11" t="s">
        <v>341</v>
      </c>
      <c r="BA195" s="29">
        <v>1.4583333333333332E-2</v>
      </c>
      <c r="BB195" s="30">
        <v>3.38</v>
      </c>
      <c r="BC195" s="30">
        <v>5.38</v>
      </c>
      <c r="BD195" s="31">
        <v>1</v>
      </c>
      <c r="BF195"/>
      <c r="BG195"/>
      <c r="BH195"/>
      <c r="BI195"/>
      <c r="BR195" s="10"/>
      <c r="BS195" s="10"/>
    </row>
    <row r="196" spans="1:71" ht="14.4" x14ac:dyDescent="0.3">
      <c r="A196" s="83"/>
      <c r="B196" s="83"/>
      <c r="C196" s="83"/>
      <c r="D196" s="83"/>
      <c r="E196" s="83"/>
      <c r="F196" s="83"/>
      <c r="G196" s="83"/>
      <c r="H196" s="83"/>
      <c r="I196" s="83"/>
      <c r="J196" s="7"/>
      <c r="K196" s="7"/>
      <c r="L196" s="7"/>
      <c r="M196" s="7"/>
      <c r="N196" s="7" t="str">
        <f t="shared" si="100"/>
        <v>#LIEZHTTS9 </v>
      </c>
      <c r="O196" s="7">
        <f t="shared" si="92"/>
        <v>0</v>
      </c>
      <c r="P196" s="21">
        <f t="shared" si="101"/>
        <v>43235</v>
      </c>
      <c r="Q196" s="22">
        <f>VLOOKUP(R196,Referencias!$D$1:$E$13,2,0)</f>
        <v>5</v>
      </c>
      <c r="R196" s="7" t="str">
        <f t="shared" si="102"/>
        <v>MAI</v>
      </c>
      <c r="S196" s="7">
        <f t="shared" si="93"/>
        <v>0</v>
      </c>
      <c r="T196" s="11">
        <f t="shared" si="103"/>
        <v>15</v>
      </c>
      <c r="U196" s="11">
        <f t="shared" si="94"/>
        <v>0</v>
      </c>
      <c r="V196" s="11" t="e">
        <f>VLOOKUP(C196,Referencias!$A$2:$B$33,2,1)</f>
        <v>#N/A</v>
      </c>
      <c r="W196" s="23" t="str">
        <f t="shared" ref="W196:W259" si="107">IF(X196&gt;0,C197-C196,"")</f>
        <v/>
      </c>
      <c r="X196" s="11">
        <f t="shared" si="95"/>
        <v>0</v>
      </c>
      <c r="Y196" s="11">
        <f t="shared" si="104"/>
        <v>0</v>
      </c>
      <c r="Z196" s="24">
        <f t="shared" si="105"/>
        <v>0</v>
      </c>
      <c r="AA196" s="25">
        <f t="shared" si="106"/>
        <v>0</v>
      </c>
      <c r="AB196" s="24">
        <f t="shared" si="96"/>
        <v>0</v>
      </c>
      <c r="AC196" s="24">
        <f t="shared" si="97"/>
        <v>0</v>
      </c>
      <c r="AD196" s="24">
        <f t="shared" si="98"/>
        <v>0</v>
      </c>
      <c r="AE196" s="24">
        <f t="shared" si="99"/>
        <v>0</v>
      </c>
      <c r="AF196" s="119" t="str">
        <f>VLOOKUP(P196*1,Referencias!$G:$H,2,0)</f>
        <v>ter</v>
      </c>
      <c r="AZ196" s="11" t="s">
        <v>345</v>
      </c>
      <c r="BA196" s="29">
        <v>3.0555555555555555E-2</v>
      </c>
      <c r="BB196" s="30">
        <v>5.38</v>
      </c>
      <c r="BC196" s="30">
        <v>10.45</v>
      </c>
      <c r="BD196" s="31">
        <v>1</v>
      </c>
      <c r="BF196"/>
      <c r="BG196"/>
      <c r="BH196"/>
      <c r="BI196"/>
      <c r="BR196" s="10"/>
      <c r="BS196" s="10"/>
    </row>
    <row r="197" spans="1:71" ht="14.4" x14ac:dyDescent="0.3">
      <c r="A197" s="76"/>
      <c r="B197" s="76"/>
      <c r="C197" s="76"/>
      <c r="D197" s="76"/>
      <c r="E197" s="76"/>
      <c r="F197" s="76"/>
      <c r="G197" s="76"/>
      <c r="H197" s="76"/>
      <c r="I197" s="76"/>
      <c r="J197" s="7"/>
      <c r="K197" s="7"/>
      <c r="L197" s="7"/>
      <c r="M197" s="7"/>
      <c r="N197" s="7" t="str">
        <f t="shared" si="100"/>
        <v>#LIEZHTTS9 </v>
      </c>
      <c r="O197" s="7">
        <f t="shared" si="92"/>
        <v>0</v>
      </c>
      <c r="P197" s="21">
        <f t="shared" si="101"/>
        <v>43235</v>
      </c>
      <c r="Q197" s="22">
        <f>VLOOKUP(R197,Referencias!$D$1:$E$13,2,0)</f>
        <v>5</v>
      </c>
      <c r="R197" s="7" t="str">
        <f t="shared" si="102"/>
        <v>MAI</v>
      </c>
      <c r="S197" s="7">
        <f t="shared" si="93"/>
        <v>0</v>
      </c>
      <c r="T197" s="11">
        <f t="shared" si="103"/>
        <v>15</v>
      </c>
      <c r="U197" s="11">
        <f t="shared" si="94"/>
        <v>0</v>
      </c>
      <c r="V197" s="11" t="e">
        <f>VLOOKUP(C197,Referencias!$A$2:$B$33,2,1)</f>
        <v>#N/A</v>
      </c>
      <c r="W197" s="23" t="str">
        <f t="shared" si="107"/>
        <v/>
      </c>
      <c r="X197" s="11">
        <f t="shared" si="95"/>
        <v>0</v>
      </c>
      <c r="Y197" s="11">
        <f t="shared" si="104"/>
        <v>0</v>
      </c>
      <c r="Z197" s="24">
        <f t="shared" si="105"/>
        <v>0</v>
      </c>
      <c r="AA197" s="25">
        <f t="shared" si="106"/>
        <v>0</v>
      </c>
      <c r="AB197" s="24">
        <f t="shared" si="96"/>
        <v>0</v>
      </c>
      <c r="AC197" s="24">
        <f t="shared" si="97"/>
        <v>0</v>
      </c>
      <c r="AD197" s="24">
        <f t="shared" si="98"/>
        <v>0</v>
      </c>
      <c r="AE197" s="24">
        <f t="shared" si="99"/>
        <v>0</v>
      </c>
      <c r="AF197" s="119" t="str">
        <f>VLOOKUP(P197*1,Referencias!$G:$H,2,0)</f>
        <v>ter</v>
      </c>
      <c r="AZ197" s="11" t="s">
        <v>339</v>
      </c>
      <c r="BA197" s="29">
        <v>3.6805555555555557E-2</v>
      </c>
      <c r="BB197" s="30">
        <v>3.33</v>
      </c>
      <c r="BC197" s="30">
        <v>5.24</v>
      </c>
      <c r="BD197" s="31">
        <v>1</v>
      </c>
      <c r="BF197"/>
      <c r="BG197"/>
      <c r="BH197"/>
      <c r="BI197"/>
      <c r="BR197" s="10"/>
      <c r="BS197" s="10"/>
    </row>
    <row r="198" spans="1:71" ht="14.4" x14ac:dyDescent="0.3">
      <c r="A198" s="77"/>
      <c r="B198" s="78" t="s">
        <v>114</v>
      </c>
      <c r="C198" s="79">
        <v>0.85972222222222217</v>
      </c>
      <c r="D198" s="80">
        <v>2.69</v>
      </c>
      <c r="E198" s="80" t="s">
        <v>62</v>
      </c>
      <c r="F198" s="80"/>
      <c r="G198" s="81">
        <v>2.4700000000000002</v>
      </c>
      <c r="H198" s="82">
        <v>34.68</v>
      </c>
      <c r="I198" s="80"/>
      <c r="J198" s="37"/>
      <c r="K198" s="37"/>
      <c r="L198" s="37"/>
      <c r="M198" s="37"/>
      <c r="N198" s="7" t="str">
        <f t="shared" si="100"/>
        <v>#LIDZDGXWL </v>
      </c>
      <c r="O198" s="7" t="str">
        <f t="shared" si="92"/>
        <v>#LIDZDGXWL </v>
      </c>
      <c r="P198" s="21">
        <f t="shared" si="101"/>
        <v>43235</v>
      </c>
      <c r="Q198" s="22">
        <f>VLOOKUP(R198,Referencias!$D$1:$E$13,2,0)</f>
        <v>5</v>
      </c>
      <c r="R198" s="7" t="str">
        <f t="shared" si="102"/>
        <v>MAI</v>
      </c>
      <c r="S198" s="7">
        <f t="shared" si="93"/>
        <v>0</v>
      </c>
      <c r="T198" s="11">
        <f t="shared" si="103"/>
        <v>15</v>
      </c>
      <c r="U198" s="11">
        <f t="shared" si="94"/>
        <v>0</v>
      </c>
      <c r="V198" s="11" t="str">
        <f>VLOOKUP(C198,Referencias!$A$2:$B$33,2,1)</f>
        <v>20 - 21</v>
      </c>
      <c r="W198" s="23">
        <f t="shared" si="107"/>
        <v>2.430555555555558E-2</v>
      </c>
      <c r="X198" s="11">
        <f t="shared" si="95"/>
        <v>2.69</v>
      </c>
      <c r="Y198" s="11">
        <f t="shared" si="104"/>
        <v>4.750360581322985</v>
      </c>
      <c r="Z198" s="24">
        <f t="shared" si="105"/>
        <v>2.4700000000000002</v>
      </c>
      <c r="AA198" s="25">
        <f t="shared" si="106"/>
        <v>4.2342857142857104</v>
      </c>
      <c r="AB198" s="24">
        <f t="shared" si="96"/>
        <v>1</v>
      </c>
      <c r="AC198" s="24">
        <f t="shared" si="97"/>
        <v>1.6182160960920557</v>
      </c>
      <c r="AD198" s="24">
        <f t="shared" si="98"/>
        <v>1.9605912647217338</v>
      </c>
      <c r="AE198" s="24">
        <f t="shared" si="99"/>
        <v>2.3245825289819186</v>
      </c>
      <c r="AF198" s="119" t="str">
        <f>VLOOKUP(P198*1,Referencias!$G:$H,2,0)</f>
        <v>ter</v>
      </c>
      <c r="AZ198" s="11" t="s">
        <v>340</v>
      </c>
      <c r="BA198" s="29">
        <v>1.5277777777777777E-2</v>
      </c>
      <c r="BB198" s="30">
        <v>4.6100000000000003</v>
      </c>
      <c r="BC198" s="30">
        <v>8.9</v>
      </c>
      <c r="BD198" s="31">
        <v>1</v>
      </c>
      <c r="BF198"/>
      <c r="BG198"/>
      <c r="BH198"/>
      <c r="BI198"/>
      <c r="BR198" s="10"/>
      <c r="BS198" s="10"/>
    </row>
    <row r="199" spans="1:71" ht="14.4" x14ac:dyDescent="0.3">
      <c r="A199" s="77"/>
      <c r="B199" s="78"/>
      <c r="C199" s="79">
        <v>0.88402777777777775</v>
      </c>
      <c r="D199" s="80"/>
      <c r="E199" s="80"/>
      <c r="F199" s="80"/>
      <c r="G199" s="81"/>
      <c r="H199" s="82"/>
      <c r="I199" s="80"/>
      <c r="J199" s="37"/>
      <c r="K199" s="37"/>
      <c r="L199" s="37"/>
      <c r="M199" s="37"/>
      <c r="N199" s="7" t="str">
        <f t="shared" si="100"/>
        <v>#LIDZDGXWL </v>
      </c>
      <c r="O199" s="7">
        <f t="shared" si="92"/>
        <v>0</v>
      </c>
      <c r="P199" s="21">
        <f t="shared" si="101"/>
        <v>43235</v>
      </c>
      <c r="Q199" s="22">
        <f>VLOOKUP(R199,Referencias!$D$1:$E$13,2,0)</f>
        <v>5</v>
      </c>
      <c r="R199" s="7" t="str">
        <f t="shared" si="102"/>
        <v>MAI</v>
      </c>
      <c r="S199" s="7">
        <f t="shared" si="93"/>
        <v>0</v>
      </c>
      <c r="T199" s="11">
        <f t="shared" si="103"/>
        <v>15</v>
      </c>
      <c r="U199" s="11">
        <f t="shared" si="94"/>
        <v>0</v>
      </c>
      <c r="V199" s="11" t="str">
        <f>VLOOKUP(C199,Referencias!$A$2:$B$33,2,1)</f>
        <v>21 - 22</v>
      </c>
      <c r="W199" s="23" t="str">
        <f t="shared" si="107"/>
        <v/>
      </c>
      <c r="X199" s="11">
        <f t="shared" si="95"/>
        <v>0</v>
      </c>
      <c r="Y199" s="11">
        <f t="shared" si="104"/>
        <v>0</v>
      </c>
      <c r="Z199" s="24">
        <f t="shared" si="105"/>
        <v>0</v>
      </c>
      <c r="AA199" s="25">
        <f t="shared" si="106"/>
        <v>0</v>
      </c>
      <c r="AB199" s="24">
        <f t="shared" si="96"/>
        <v>0</v>
      </c>
      <c r="AC199" s="24">
        <f t="shared" si="97"/>
        <v>0</v>
      </c>
      <c r="AD199" s="24">
        <f t="shared" si="98"/>
        <v>0</v>
      </c>
      <c r="AE199" s="24">
        <f t="shared" si="99"/>
        <v>0</v>
      </c>
      <c r="AF199" s="119" t="str">
        <f>VLOOKUP(P199*1,Referencias!$G:$H,2,0)</f>
        <v>ter</v>
      </c>
      <c r="AZ199" s="11" t="s">
        <v>346</v>
      </c>
      <c r="BA199" s="29">
        <v>2.8472222222222222E-2</v>
      </c>
      <c r="BB199" s="30">
        <v>2.44</v>
      </c>
      <c r="BC199" s="30">
        <v>2.69</v>
      </c>
      <c r="BD199" s="31">
        <v>1</v>
      </c>
      <c r="BF199"/>
      <c r="BG199"/>
      <c r="BH199"/>
      <c r="BI199"/>
      <c r="BR199" s="10"/>
      <c r="BS199" s="10"/>
    </row>
    <row r="200" spans="1:71" ht="14.4" x14ac:dyDescent="0.3">
      <c r="A200" s="83"/>
      <c r="B200" s="83"/>
      <c r="C200" s="83"/>
      <c r="D200" s="83"/>
      <c r="E200" s="83"/>
      <c r="F200" s="83"/>
      <c r="G200" s="83"/>
      <c r="H200" s="83"/>
      <c r="I200" s="83"/>
      <c r="J200" s="7"/>
      <c r="K200" s="7"/>
      <c r="L200" s="7"/>
      <c r="M200" s="7"/>
      <c r="N200" s="7" t="str">
        <f t="shared" si="100"/>
        <v>#LIDZDGXWL </v>
      </c>
      <c r="O200" s="7">
        <f t="shared" si="92"/>
        <v>0</v>
      </c>
      <c r="P200" s="21">
        <f t="shared" si="101"/>
        <v>43235</v>
      </c>
      <c r="Q200" s="22">
        <f>VLOOKUP(R200,Referencias!$D$1:$E$13,2,0)</f>
        <v>5</v>
      </c>
      <c r="R200" s="7" t="str">
        <f t="shared" si="102"/>
        <v>MAI</v>
      </c>
      <c r="S200" s="7">
        <f t="shared" si="93"/>
        <v>0</v>
      </c>
      <c r="T200" s="11">
        <f t="shared" si="103"/>
        <v>15</v>
      </c>
      <c r="U200" s="11">
        <f t="shared" si="94"/>
        <v>0</v>
      </c>
      <c r="V200" s="11" t="e">
        <f>VLOOKUP(C200,Referencias!$A$2:$B$33,2,1)</f>
        <v>#N/A</v>
      </c>
      <c r="W200" s="23" t="str">
        <f t="shared" si="107"/>
        <v/>
      </c>
      <c r="X200" s="11">
        <f t="shared" si="95"/>
        <v>0</v>
      </c>
      <c r="Y200" s="11">
        <f t="shared" si="104"/>
        <v>0</v>
      </c>
      <c r="Z200" s="24">
        <f t="shared" si="105"/>
        <v>0</v>
      </c>
      <c r="AA200" s="25">
        <f t="shared" si="106"/>
        <v>0</v>
      </c>
      <c r="AB200" s="24">
        <f t="shared" si="96"/>
        <v>0</v>
      </c>
      <c r="AC200" s="24">
        <f t="shared" si="97"/>
        <v>0</v>
      </c>
      <c r="AD200" s="24">
        <f t="shared" si="98"/>
        <v>0</v>
      </c>
      <c r="AE200" s="24">
        <f t="shared" si="99"/>
        <v>0</v>
      </c>
      <c r="AF200" s="119" t="str">
        <f>VLOOKUP(P200*1,Referencias!$G:$H,2,0)</f>
        <v>ter</v>
      </c>
      <c r="AZ200" s="11" t="s">
        <v>338</v>
      </c>
      <c r="BA200" s="29">
        <v>3.4027777777777775E-2</v>
      </c>
      <c r="BB200" s="30">
        <v>3.36</v>
      </c>
      <c r="BC200" s="30">
        <v>5.33</v>
      </c>
      <c r="BD200" s="31">
        <v>1</v>
      </c>
      <c r="BF200"/>
      <c r="BG200"/>
      <c r="BH200"/>
      <c r="BI200"/>
      <c r="BR200" s="10"/>
      <c r="BS200" s="10"/>
    </row>
    <row r="201" spans="1:71" ht="14.4" x14ac:dyDescent="0.3">
      <c r="A201" s="76"/>
      <c r="B201" s="76"/>
      <c r="C201" s="76"/>
      <c r="D201" s="76"/>
      <c r="E201" s="76"/>
      <c r="F201" s="76"/>
      <c r="G201" s="76"/>
      <c r="H201" s="76"/>
      <c r="I201" s="76"/>
      <c r="J201" s="7"/>
      <c r="K201" s="7"/>
      <c r="L201" s="7"/>
      <c r="M201" s="7"/>
      <c r="N201" s="7" t="str">
        <f t="shared" si="100"/>
        <v>#LIDZDGXWL </v>
      </c>
      <c r="O201" s="7">
        <f t="shared" si="92"/>
        <v>0</v>
      </c>
      <c r="P201" s="21">
        <f t="shared" si="101"/>
        <v>43235</v>
      </c>
      <c r="Q201" s="22">
        <f>VLOOKUP(R201,Referencias!$D$1:$E$13,2,0)</f>
        <v>5</v>
      </c>
      <c r="R201" s="7" t="str">
        <f t="shared" si="102"/>
        <v>MAI</v>
      </c>
      <c r="S201" s="7">
        <f t="shared" si="93"/>
        <v>0</v>
      </c>
      <c r="T201" s="11">
        <f t="shared" si="103"/>
        <v>15</v>
      </c>
      <c r="U201" s="11">
        <f t="shared" si="94"/>
        <v>0</v>
      </c>
      <c r="V201" s="11" t="e">
        <f>VLOOKUP(C201,Referencias!$A$2:$B$33,2,1)</f>
        <v>#N/A</v>
      </c>
      <c r="W201" s="23" t="str">
        <f t="shared" si="107"/>
        <v/>
      </c>
      <c r="X201" s="11">
        <f t="shared" si="95"/>
        <v>0</v>
      </c>
      <c r="Y201" s="11">
        <f t="shared" si="104"/>
        <v>0</v>
      </c>
      <c r="Z201" s="24">
        <f t="shared" si="105"/>
        <v>0</v>
      </c>
      <c r="AA201" s="25">
        <f t="shared" si="106"/>
        <v>0</v>
      </c>
      <c r="AB201" s="24">
        <f t="shared" si="96"/>
        <v>0</v>
      </c>
      <c r="AC201" s="24">
        <f t="shared" si="97"/>
        <v>0</v>
      </c>
      <c r="AD201" s="24">
        <f t="shared" si="98"/>
        <v>0</v>
      </c>
      <c r="AE201" s="24">
        <f t="shared" si="99"/>
        <v>0</v>
      </c>
      <c r="AF201" s="119" t="str">
        <f>VLOOKUP(P201*1,Referencias!$G:$H,2,0)</f>
        <v>ter</v>
      </c>
      <c r="AZ201" s="118">
        <v>43254</v>
      </c>
      <c r="BA201" s="29">
        <v>0.3</v>
      </c>
      <c r="BB201" s="30">
        <v>35.49</v>
      </c>
      <c r="BC201" s="30">
        <v>56.510000000000012</v>
      </c>
      <c r="BD201" s="31">
        <v>12</v>
      </c>
      <c r="BF201"/>
      <c r="BG201"/>
      <c r="BH201"/>
      <c r="BI201"/>
      <c r="BR201" s="10"/>
      <c r="BS201" s="10"/>
    </row>
    <row r="202" spans="1:71" ht="14.4" x14ac:dyDescent="0.3">
      <c r="A202" s="77"/>
      <c r="B202" s="78" t="s">
        <v>115</v>
      </c>
      <c r="C202" s="79">
        <v>0.88402777777777775</v>
      </c>
      <c r="D202" s="80">
        <v>3.52</v>
      </c>
      <c r="E202" s="80" t="s">
        <v>36</v>
      </c>
      <c r="F202" s="80"/>
      <c r="G202" s="81">
        <v>2.73</v>
      </c>
      <c r="H202" s="82">
        <v>37.409999999999997</v>
      </c>
      <c r="I202" s="80"/>
      <c r="J202" s="37"/>
      <c r="K202" s="37"/>
      <c r="L202" s="37"/>
      <c r="M202" s="37"/>
      <c r="N202" s="7" t="str">
        <f t="shared" si="100"/>
        <v>#LILT19PEG </v>
      </c>
      <c r="O202" s="7" t="str">
        <f t="shared" si="92"/>
        <v>#LILT19PEG </v>
      </c>
      <c r="P202" s="21">
        <f t="shared" si="101"/>
        <v>43235</v>
      </c>
      <c r="Q202" s="22">
        <f>VLOOKUP(R202,Referencias!$D$1:$E$13,2,0)</f>
        <v>5</v>
      </c>
      <c r="R202" s="7" t="str">
        <f t="shared" si="102"/>
        <v>MAI</v>
      </c>
      <c r="S202" s="7">
        <f t="shared" si="93"/>
        <v>0</v>
      </c>
      <c r="T202" s="11">
        <f t="shared" si="103"/>
        <v>15</v>
      </c>
      <c r="U202" s="11">
        <f t="shared" si="94"/>
        <v>0</v>
      </c>
      <c r="V202" s="11" t="str">
        <f>VLOOKUP(C202,Referencias!$A$2:$B$33,2,1)</f>
        <v>21 - 22</v>
      </c>
      <c r="W202" s="23">
        <f t="shared" si="107"/>
        <v>1.3888888888888951E-2</v>
      </c>
      <c r="X202" s="11">
        <f t="shared" si="95"/>
        <v>3.52</v>
      </c>
      <c r="Y202" s="11">
        <f t="shared" si="104"/>
        <v>6.2160852216568436</v>
      </c>
      <c r="Z202" s="24">
        <f t="shared" si="105"/>
        <v>2.73</v>
      </c>
      <c r="AA202" s="25">
        <f t="shared" si="106"/>
        <v>8.1899999999999658</v>
      </c>
      <c r="AB202" s="24">
        <f t="shared" si="96"/>
        <v>1</v>
      </c>
      <c r="AC202" s="24">
        <f t="shared" si="97"/>
        <v>1.7885546325227983</v>
      </c>
      <c r="AD202" s="24">
        <f t="shared" si="98"/>
        <v>2.1669692925871793</v>
      </c>
      <c r="AE202" s="24">
        <f t="shared" si="99"/>
        <v>2.5692754267694888</v>
      </c>
      <c r="AF202" s="119" t="str">
        <f>VLOOKUP(P202*1,Referencias!$G:$H,2,0)</f>
        <v>ter</v>
      </c>
      <c r="AZ202" s="11" t="s">
        <v>367</v>
      </c>
      <c r="BA202" s="29">
        <v>2.4999999999999998E-2</v>
      </c>
      <c r="BB202" s="30">
        <v>3.5</v>
      </c>
      <c r="BC202" s="30">
        <v>5.72</v>
      </c>
      <c r="BD202" s="31">
        <v>1</v>
      </c>
      <c r="BF202"/>
      <c r="BG202"/>
      <c r="BH202"/>
      <c r="BI202"/>
      <c r="BR202" s="10"/>
      <c r="BS202" s="10"/>
    </row>
    <row r="203" spans="1:71" ht="14.4" x14ac:dyDescent="0.3">
      <c r="A203" s="77"/>
      <c r="B203" s="78"/>
      <c r="C203" s="79">
        <v>0.8979166666666667</v>
      </c>
      <c r="D203" s="80"/>
      <c r="E203" s="80"/>
      <c r="F203" s="80"/>
      <c r="G203" s="81"/>
      <c r="H203" s="82"/>
      <c r="I203" s="80"/>
      <c r="J203" s="37"/>
      <c r="K203" s="37"/>
      <c r="L203" s="37"/>
      <c r="M203" s="37"/>
      <c r="N203" s="7" t="str">
        <f t="shared" si="100"/>
        <v>#LILT19PEG </v>
      </c>
      <c r="O203" s="7">
        <f t="shared" si="92"/>
        <v>0</v>
      </c>
      <c r="P203" s="21">
        <f t="shared" si="101"/>
        <v>43235</v>
      </c>
      <c r="Q203" s="22">
        <f>VLOOKUP(R203,Referencias!$D$1:$E$13,2,0)</f>
        <v>5</v>
      </c>
      <c r="R203" s="7" t="str">
        <f t="shared" si="102"/>
        <v>MAI</v>
      </c>
      <c r="S203" s="7">
        <f t="shared" si="93"/>
        <v>0</v>
      </c>
      <c r="T203" s="11">
        <f t="shared" si="103"/>
        <v>15</v>
      </c>
      <c r="U203" s="11">
        <f t="shared" si="94"/>
        <v>0</v>
      </c>
      <c r="V203" s="11" t="str">
        <f>VLOOKUP(C203,Referencias!$A$2:$B$33,2,1)</f>
        <v>21 - 22</v>
      </c>
      <c r="W203" s="23" t="str">
        <f t="shared" si="107"/>
        <v/>
      </c>
      <c r="X203" s="11">
        <f t="shared" si="95"/>
        <v>0</v>
      </c>
      <c r="Y203" s="11">
        <f t="shared" si="104"/>
        <v>0</v>
      </c>
      <c r="Z203" s="24">
        <f t="shared" si="105"/>
        <v>0</v>
      </c>
      <c r="AA203" s="25">
        <f t="shared" si="106"/>
        <v>0</v>
      </c>
      <c r="AB203" s="24">
        <f t="shared" si="96"/>
        <v>0</v>
      </c>
      <c r="AC203" s="24">
        <f t="shared" si="97"/>
        <v>0</v>
      </c>
      <c r="AD203" s="24">
        <f t="shared" si="98"/>
        <v>0</v>
      </c>
      <c r="AE203" s="24">
        <f t="shared" si="99"/>
        <v>0</v>
      </c>
      <c r="AF203" s="119" t="str">
        <f>VLOOKUP(P203*1,Referencias!$G:$H,2,0)</f>
        <v>ter</v>
      </c>
      <c r="AZ203" s="11" t="s">
        <v>362</v>
      </c>
      <c r="BA203" s="29">
        <v>1.5277777777777777E-2</v>
      </c>
      <c r="BB203" s="30">
        <v>2.48</v>
      </c>
      <c r="BC203" s="30">
        <v>2.83</v>
      </c>
      <c r="BD203" s="31">
        <v>1</v>
      </c>
      <c r="BF203"/>
      <c r="BG203"/>
      <c r="BH203"/>
      <c r="BI203"/>
      <c r="BR203" s="10"/>
      <c r="BS203" s="10"/>
    </row>
    <row r="204" spans="1:71" ht="14.4" x14ac:dyDescent="0.3">
      <c r="A204" s="83"/>
      <c r="B204" s="83"/>
      <c r="C204" s="83"/>
      <c r="D204" s="83"/>
      <c r="E204" s="83"/>
      <c r="F204" s="83"/>
      <c r="G204" s="83"/>
      <c r="H204" s="83"/>
      <c r="I204" s="83"/>
      <c r="J204" s="7"/>
      <c r="K204" s="7"/>
      <c r="L204" s="7"/>
      <c r="M204" s="7"/>
      <c r="N204" s="7" t="str">
        <f t="shared" si="100"/>
        <v>#LILT19PEG </v>
      </c>
      <c r="O204" s="7">
        <f t="shared" si="92"/>
        <v>0</v>
      </c>
      <c r="P204" s="21">
        <f t="shared" si="101"/>
        <v>43235</v>
      </c>
      <c r="Q204" s="22">
        <f>VLOOKUP(R204,Referencias!$D$1:$E$13,2,0)</f>
        <v>5</v>
      </c>
      <c r="R204" s="7" t="str">
        <f t="shared" si="102"/>
        <v>MAI</v>
      </c>
      <c r="S204" s="7">
        <f t="shared" si="93"/>
        <v>0</v>
      </c>
      <c r="T204" s="11">
        <f t="shared" si="103"/>
        <v>15</v>
      </c>
      <c r="U204" s="11">
        <f t="shared" si="94"/>
        <v>0</v>
      </c>
      <c r="V204" s="11" t="e">
        <f>VLOOKUP(C204,Referencias!$A$2:$B$33,2,1)</f>
        <v>#N/A</v>
      </c>
      <c r="W204" s="23" t="str">
        <f t="shared" si="107"/>
        <v/>
      </c>
      <c r="X204" s="11">
        <f t="shared" si="95"/>
        <v>0</v>
      </c>
      <c r="Y204" s="11">
        <f t="shared" si="104"/>
        <v>0</v>
      </c>
      <c r="Z204" s="24">
        <f t="shared" si="105"/>
        <v>0</v>
      </c>
      <c r="AA204" s="25">
        <f t="shared" si="106"/>
        <v>0</v>
      </c>
      <c r="AB204" s="24">
        <f t="shared" si="96"/>
        <v>0</v>
      </c>
      <c r="AC204" s="24">
        <f t="shared" si="97"/>
        <v>0</v>
      </c>
      <c r="AD204" s="24">
        <f t="shared" si="98"/>
        <v>0</v>
      </c>
      <c r="AE204" s="24">
        <f t="shared" si="99"/>
        <v>0</v>
      </c>
      <c r="AF204" s="119" t="str">
        <f>VLOOKUP(P204*1,Referencias!$G:$H,2,0)</f>
        <v>ter</v>
      </c>
      <c r="AZ204" s="11" t="s">
        <v>358</v>
      </c>
      <c r="BA204" s="29">
        <v>1.8749999999999999E-2</v>
      </c>
      <c r="BB204" s="30">
        <v>2.48</v>
      </c>
      <c r="BC204" s="30">
        <v>2.73</v>
      </c>
      <c r="BD204" s="31">
        <v>1</v>
      </c>
      <c r="BF204"/>
      <c r="BG204"/>
      <c r="BH204"/>
      <c r="BI204"/>
      <c r="BR204" s="10"/>
      <c r="BS204" s="10"/>
    </row>
    <row r="205" spans="1:71" ht="14.4" x14ac:dyDescent="0.3">
      <c r="A205" s="76"/>
      <c r="B205" s="76"/>
      <c r="C205" s="76"/>
      <c r="D205" s="76"/>
      <c r="E205" s="76"/>
      <c r="F205" s="76"/>
      <c r="G205" s="76"/>
      <c r="H205" s="76"/>
      <c r="I205" s="76"/>
      <c r="J205" s="7"/>
      <c r="K205" s="7"/>
      <c r="L205" s="7"/>
      <c r="M205" s="7"/>
      <c r="N205" s="7" t="str">
        <f t="shared" si="100"/>
        <v>#LILT19PEG </v>
      </c>
      <c r="O205" s="7">
        <f t="shared" si="92"/>
        <v>0</v>
      </c>
      <c r="P205" s="21">
        <f t="shared" si="101"/>
        <v>43235</v>
      </c>
      <c r="Q205" s="22">
        <f>VLOOKUP(R205,Referencias!$D$1:$E$13,2,0)</f>
        <v>5</v>
      </c>
      <c r="R205" s="7" t="str">
        <f t="shared" si="102"/>
        <v>MAI</v>
      </c>
      <c r="S205" s="7">
        <f t="shared" si="93"/>
        <v>0</v>
      </c>
      <c r="T205" s="11">
        <f t="shared" si="103"/>
        <v>15</v>
      </c>
      <c r="U205" s="11">
        <f t="shared" si="94"/>
        <v>0</v>
      </c>
      <c r="V205" s="11" t="e">
        <f>VLOOKUP(C205,Referencias!$A$2:$B$33,2,1)</f>
        <v>#N/A</v>
      </c>
      <c r="W205" s="23" t="str">
        <f t="shared" si="107"/>
        <v/>
      </c>
      <c r="X205" s="11">
        <f t="shared" si="95"/>
        <v>0</v>
      </c>
      <c r="Y205" s="11">
        <f t="shared" si="104"/>
        <v>0</v>
      </c>
      <c r="Z205" s="24">
        <f t="shared" si="105"/>
        <v>0</v>
      </c>
      <c r="AA205" s="25">
        <f t="shared" si="106"/>
        <v>0</v>
      </c>
      <c r="AB205" s="24">
        <f t="shared" si="96"/>
        <v>0</v>
      </c>
      <c r="AC205" s="24">
        <f t="shared" si="97"/>
        <v>0</v>
      </c>
      <c r="AD205" s="24">
        <f t="shared" si="98"/>
        <v>0</v>
      </c>
      <c r="AE205" s="24">
        <f t="shared" si="99"/>
        <v>0</v>
      </c>
      <c r="AF205" s="119" t="str">
        <f>VLOOKUP(P205*1,Referencias!$G:$H,2,0)</f>
        <v>ter</v>
      </c>
      <c r="AZ205" s="11" t="s">
        <v>366</v>
      </c>
      <c r="BA205" s="29">
        <v>1.5972222222222224E-2</v>
      </c>
      <c r="BB205" s="30">
        <v>2.71</v>
      </c>
      <c r="BC205" s="30">
        <v>3.48</v>
      </c>
      <c r="BD205" s="31">
        <v>1</v>
      </c>
      <c r="BF205"/>
      <c r="BG205"/>
      <c r="BH205"/>
      <c r="BI205"/>
      <c r="BR205" s="10"/>
      <c r="BS205" s="10"/>
    </row>
    <row r="206" spans="1:71" ht="14.4" x14ac:dyDescent="0.3">
      <c r="A206" s="77"/>
      <c r="B206" s="78" t="s">
        <v>116</v>
      </c>
      <c r="C206" s="79">
        <v>0.8979166666666667</v>
      </c>
      <c r="D206" s="80">
        <v>5.84</v>
      </c>
      <c r="E206" s="80" t="s">
        <v>72</v>
      </c>
      <c r="F206" s="80"/>
      <c r="G206" s="81">
        <v>3.8</v>
      </c>
      <c r="H206" s="82">
        <v>41.21</v>
      </c>
      <c r="I206" s="80"/>
      <c r="J206" s="37"/>
      <c r="K206" s="37"/>
      <c r="L206" s="37"/>
      <c r="M206" s="37"/>
      <c r="N206" s="7" t="str">
        <f t="shared" si="100"/>
        <v>#LIQBHNFBF </v>
      </c>
      <c r="O206" s="7" t="str">
        <f t="shared" si="92"/>
        <v>#LIQBHNFBF </v>
      </c>
      <c r="P206" s="21">
        <f t="shared" si="101"/>
        <v>43235</v>
      </c>
      <c r="Q206" s="22">
        <f>VLOOKUP(R206,Referencias!$D$1:$E$13,2,0)</f>
        <v>5</v>
      </c>
      <c r="R206" s="7" t="str">
        <f t="shared" si="102"/>
        <v>MAI</v>
      </c>
      <c r="S206" s="7">
        <f t="shared" si="93"/>
        <v>0</v>
      </c>
      <c r="T206" s="11">
        <f t="shared" si="103"/>
        <v>15</v>
      </c>
      <c r="U206" s="11">
        <f t="shared" si="94"/>
        <v>0</v>
      </c>
      <c r="V206" s="11" t="str">
        <f>VLOOKUP(C206,Referencias!$A$2:$B$33,2,1)</f>
        <v>21 - 22</v>
      </c>
      <c r="W206" s="23">
        <f t="shared" si="107"/>
        <v>2.3611111111111138E-2</v>
      </c>
      <c r="X206" s="11">
        <f t="shared" si="95"/>
        <v>5.84</v>
      </c>
      <c r="Y206" s="11">
        <f t="shared" si="104"/>
        <v>10.313050481385217</v>
      </c>
      <c r="Z206" s="24">
        <f t="shared" si="105"/>
        <v>3.8</v>
      </c>
      <c r="AA206" s="25">
        <f t="shared" si="106"/>
        <v>6.7058823529411686</v>
      </c>
      <c r="AB206" s="24">
        <f t="shared" si="96"/>
        <v>1</v>
      </c>
      <c r="AC206" s="24">
        <f t="shared" si="97"/>
        <v>2.4895632247570085</v>
      </c>
      <c r="AD206" s="24">
        <f t="shared" si="98"/>
        <v>3.0162942534180517</v>
      </c>
      <c r="AE206" s="24">
        <f t="shared" si="99"/>
        <v>3.576280813818336</v>
      </c>
      <c r="AF206" s="119" t="str">
        <f>VLOOKUP(P206*1,Referencias!$G:$H,2,0)</f>
        <v>ter</v>
      </c>
      <c r="AZ206" s="11" t="s">
        <v>368</v>
      </c>
      <c r="BA206" s="29">
        <v>1.9444444444444445E-2</v>
      </c>
      <c r="BB206" s="30">
        <v>3.22</v>
      </c>
      <c r="BC206" s="30">
        <v>4.9400000000000004</v>
      </c>
      <c r="BD206" s="31">
        <v>1</v>
      </c>
      <c r="BF206"/>
      <c r="BG206"/>
      <c r="BH206"/>
      <c r="BI206"/>
      <c r="BR206" s="10"/>
      <c r="BS206" s="10"/>
    </row>
    <row r="207" spans="1:71" ht="14.4" x14ac:dyDescent="0.3">
      <c r="A207" s="77"/>
      <c r="B207" s="78"/>
      <c r="C207" s="79">
        <v>0.92152777777777783</v>
      </c>
      <c r="D207" s="80"/>
      <c r="E207" s="80"/>
      <c r="F207" s="80"/>
      <c r="G207" s="81"/>
      <c r="H207" s="82"/>
      <c r="I207" s="80"/>
      <c r="J207" s="37"/>
      <c r="K207" s="37"/>
      <c r="L207" s="37"/>
      <c r="M207" s="37"/>
      <c r="N207" s="7" t="str">
        <f t="shared" si="100"/>
        <v>#LIQBHNFBF </v>
      </c>
      <c r="O207" s="7">
        <f t="shared" si="92"/>
        <v>0</v>
      </c>
      <c r="P207" s="21">
        <f t="shared" si="101"/>
        <v>43235</v>
      </c>
      <c r="Q207" s="22">
        <f>VLOOKUP(R207,Referencias!$D$1:$E$13,2,0)</f>
        <v>5</v>
      </c>
      <c r="R207" s="7" t="str">
        <f t="shared" si="102"/>
        <v>MAI</v>
      </c>
      <c r="S207" s="7">
        <f t="shared" si="93"/>
        <v>0</v>
      </c>
      <c r="T207" s="11">
        <f t="shared" si="103"/>
        <v>15</v>
      </c>
      <c r="U207" s="11">
        <f t="shared" si="94"/>
        <v>0</v>
      </c>
      <c r="V207" s="11" t="str">
        <f>VLOOKUP(C207,Referencias!$A$2:$B$33,2,1)</f>
        <v>22 - 23</v>
      </c>
      <c r="W207" s="23" t="str">
        <f t="shared" si="107"/>
        <v/>
      </c>
      <c r="X207" s="11">
        <f t="shared" si="95"/>
        <v>0</v>
      </c>
      <c r="Y207" s="11">
        <f t="shared" si="104"/>
        <v>0</v>
      </c>
      <c r="Z207" s="24">
        <f t="shared" si="105"/>
        <v>0</v>
      </c>
      <c r="AA207" s="25">
        <f t="shared" si="106"/>
        <v>0</v>
      </c>
      <c r="AB207" s="24">
        <f t="shared" si="96"/>
        <v>0</v>
      </c>
      <c r="AC207" s="24">
        <f t="shared" si="97"/>
        <v>0</v>
      </c>
      <c r="AD207" s="24">
        <f t="shared" si="98"/>
        <v>0</v>
      </c>
      <c r="AE207" s="24">
        <f t="shared" si="99"/>
        <v>0</v>
      </c>
      <c r="AF207" s="119" t="str">
        <f>VLOOKUP(P207*1,Referencias!$G:$H,2,0)</f>
        <v>ter</v>
      </c>
      <c r="AZ207" s="11" t="s">
        <v>357</v>
      </c>
      <c r="BA207" s="29">
        <v>2.2916666666666669E-2</v>
      </c>
      <c r="BB207" s="30">
        <v>3.02</v>
      </c>
      <c r="BC207" s="30">
        <v>4.37</v>
      </c>
      <c r="BD207" s="31">
        <v>1</v>
      </c>
      <c r="BF207"/>
      <c r="BG207"/>
      <c r="BH207"/>
      <c r="BI207"/>
      <c r="BR207" s="10"/>
      <c r="BS207" s="10"/>
    </row>
    <row r="208" spans="1:71" ht="14.4" x14ac:dyDescent="0.3">
      <c r="A208" s="83"/>
      <c r="B208" s="83"/>
      <c r="C208" s="83"/>
      <c r="D208" s="83"/>
      <c r="E208" s="83"/>
      <c r="F208" s="83"/>
      <c r="G208" s="83"/>
      <c r="H208" s="83"/>
      <c r="I208" s="83"/>
      <c r="J208" s="7"/>
      <c r="K208" s="7"/>
      <c r="L208" s="7"/>
      <c r="M208" s="7"/>
      <c r="N208" s="7" t="str">
        <f t="shared" si="100"/>
        <v>#LIQBHNFBF </v>
      </c>
      <c r="O208" s="7">
        <f t="shared" si="92"/>
        <v>0</v>
      </c>
      <c r="P208" s="21">
        <f t="shared" si="101"/>
        <v>43235</v>
      </c>
      <c r="Q208" s="22">
        <f>VLOOKUP(R208,Referencias!$D$1:$E$13,2,0)</f>
        <v>5</v>
      </c>
      <c r="R208" s="7" t="str">
        <f t="shared" si="102"/>
        <v>MAI</v>
      </c>
      <c r="S208" s="7">
        <f t="shared" si="93"/>
        <v>0</v>
      </c>
      <c r="T208" s="11">
        <f t="shared" si="103"/>
        <v>15</v>
      </c>
      <c r="U208" s="11">
        <f t="shared" si="94"/>
        <v>0</v>
      </c>
      <c r="V208" s="11" t="e">
        <f>VLOOKUP(C208,Referencias!$A$2:$B$33,2,1)</f>
        <v>#N/A</v>
      </c>
      <c r="W208" s="23" t="str">
        <f t="shared" si="107"/>
        <v/>
      </c>
      <c r="X208" s="11">
        <f t="shared" si="95"/>
        <v>0</v>
      </c>
      <c r="Y208" s="11">
        <f t="shared" si="104"/>
        <v>0</v>
      </c>
      <c r="Z208" s="24">
        <f t="shared" si="105"/>
        <v>0</v>
      </c>
      <c r="AA208" s="25">
        <f t="shared" si="106"/>
        <v>0</v>
      </c>
      <c r="AB208" s="24">
        <f t="shared" si="96"/>
        <v>0</v>
      </c>
      <c r="AC208" s="24">
        <f t="shared" si="97"/>
        <v>0</v>
      </c>
      <c r="AD208" s="24">
        <f t="shared" si="98"/>
        <v>0</v>
      </c>
      <c r="AE208" s="24">
        <f t="shared" si="99"/>
        <v>0</v>
      </c>
      <c r="AF208" s="119" t="str">
        <f>VLOOKUP(P208*1,Referencias!$G:$H,2,0)</f>
        <v>ter</v>
      </c>
      <c r="AZ208" s="11" t="s">
        <v>360</v>
      </c>
      <c r="BA208" s="29">
        <v>1.6666666666666666E-2</v>
      </c>
      <c r="BB208" s="30">
        <v>3.08</v>
      </c>
      <c r="BC208" s="30">
        <v>4.5199999999999996</v>
      </c>
      <c r="BD208" s="31">
        <v>1</v>
      </c>
      <c r="BF208"/>
      <c r="BG208"/>
      <c r="BH208"/>
      <c r="BI208"/>
      <c r="BR208" s="10"/>
      <c r="BS208" s="10"/>
    </row>
    <row r="209" spans="1:71" ht="14.4" x14ac:dyDescent="0.3">
      <c r="A209" s="76"/>
      <c r="B209" s="76"/>
      <c r="C209" s="76"/>
      <c r="D209" s="76"/>
      <c r="E209" s="76"/>
      <c r="F209" s="76"/>
      <c r="G209" s="76"/>
      <c r="H209" s="76"/>
      <c r="I209" s="76"/>
      <c r="J209" s="7"/>
      <c r="K209" s="7"/>
      <c r="L209" s="7"/>
      <c r="M209" s="7"/>
      <c r="N209" s="7" t="str">
        <f t="shared" si="100"/>
        <v>#LIQBHNFBF </v>
      </c>
      <c r="O209" s="7">
        <f t="shared" si="92"/>
        <v>0</v>
      </c>
      <c r="P209" s="21">
        <f t="shared" si="101"/>
        <v>43235</v>
      </c>
      <c r="Q209" s="22">
        <f>VLOOKUP(R209,Referencias!$D$1:$E$13,2,0)</f>
        <v>5</v>
      </c>
      <c r="R209" s="7" t="str">
        <f t="shared" si="102"/>
        <v>MAI</v>
      </c>
      <c r="S209" s="7">
        <f t="shared" si="93"/>
        <v>0</v>
      </c>
      <c r="T209" s="11">
        <f t="shared" si="103"/>
        <v>15</v>
      </c>
      <c r="U209" s="11">
        <f t="shared" si="94"/>
        <v>0</v>
      </c>
      <c r="V209" s="11" t="e">
        <f>VLOOKUP(C209,Referencias!$A$2:$B$33,2,1)</f>
        <v>#N/A</v>
      </c>
      <c r="W209" s="23" t="str">
        <f t="shared" si="107"/>
        <v/>
      </c>
      <c r="X209" s="11">
        <f t="shared" si="95"/>
        <v>0</v>
      </c>
      <c r="Y209" s="11">
        <f t="shared" si="104"/>
        <v>0</v>
      </c>
      <c r="Z209" s="24">
        <f t="shared" si="105"/>
        <v>0</v>
      </c>
      <c r="AA209" s="25">
        <f t="shared" si="106"/>
        <v>0</v>
      </c>
      <c r="AB209" s="24">
        <f t="shared" si="96"/>
        <v>0</v>
      </c>
      <c r="AC209" s="24">
        <f t="shared" si="97"/>
        <v>0</v>
      </c>
      <c r="AD209" s="24">
        <f t="shared" si="98"/>
        <v>0</v>
      </c>
      <c r="AE209" s="24">
        <f t="shared" si="99"/>
        <v>0</v>
      </c>
      <c r="AF209" s="119" t="str">
        <f>VLOOKUP(P209*1,Referencias!$G:$H,2,0)</f>
        <v>ter</v>
      </c>
      <c r="AZ209" s="11" t="s">
        <v>359</v>
      </c>
      <c r="BA209" s="29">
        <v>2.361111111111111E-2</v>
      </c>
      <c r="BB209" s="30">
        <v>2.4700000000000002</v>
      </c>
      <c r="BC209" s="30">
        <v>2.78</v>
      </c>
      <c r="BD209" s="31">
        <v>1</v>
      </c>
      <c r="BF209"/>
      <c r="BG209"/>
      <c r="BH209"/>
      <c r="BI209"/>
      <c r="BR209" s="10"/>
      <c r="BS209" s="10"/>
    </row>
    <row r="210" spans="1:71" ht="14.4" x14ac:dyDescent="0.3">
      <c r="A210" s="77"/>
      <c r="B210" s="78" t="s">
        <v>117</v>
      </c>
      <c r="C210" s="79">
        <v>0.92152777777777783</v>
      </c>
      <c r="D210" s="80">
        <v>12.16</v>
      </c>
      <c r="E210" s="80" t="s">
        <v>36</v>
      </c>
      <c r="F210" s="80"/>
      <c r="G210" s="81">
        <v>5.75</v>
      </c>
      <c r="H210" s="82">
        <v>46.96</v>
      </c>
      <c r="I210" s="80"/>
      <c r="J210" s="37"/>
      <c r="K210" s="37"/>
      <c r="L210" s="37"/>
      <c r="M210" s="37"/>
      <c r="N210" s="7" t="str">
        <f t="shared" si="100"/>
        <v>#LIX8HXYZG </v>
      </c>
      <c r="O210" s="7" t="str">
        <f t="shared" si="92"/>
        <v>#LIX8HXYZG </v>
      </c>
      <c r="P210" s="21">
        <f t="shared" si="101"/>
        <v>43235</v>
      </c>
      <c r="Q210" s="22">
        <f>VLOOKUP(R210,Referencias!$D$1:$E$13,2,0)</f>
        <v>5</v>
      </c>
      <c r="R210" s="7" t="str">
        <f t="shared" si="102"/>
        <v>MAI</v>
      </c>
      <c r="S210" s="7">
        <f t="shared" si="93"/>
        <v>0</v>
      </c>
      <c r="T210" s="11">
        <f t="shared" si="103"/>
        <v>15</v>
      </c>
      <c r="U210" s="11">
        <f t="shared" si="94"/>
        <v>0</v>
      </c>
      <c r="V210" s="11" t="str">
        <f>VLOOKUP(C210,Referencias!$A$2:$B$33,2,1)</f>
        <v>22 - 23</v>
      </c>
      <c r="W210" s="23">
        <f t="shared" si="107"/>
        <v>2.777777777777779E-2</v>
      </c>
      <c r="X210" s="11">
        <f t="shared" si="95"/>
        <v>12.16</v>
      </c>
      <c r="Y210" s="11">
        <f t="shared" si="104"/>
        <v>21.473748947541822</v>
      </c>
      <c r="Z210" s="24">
        <f t="shared" si="105"/>
        <v>5.75</v>
      </c>
      <c r="AA210" s="25">
        <f t="shared" si="106"/>
        <v>8.6249999999999964</v>
      </c>
      <c r="AB210" s="24">
        <f t="shared" si="96"/>
        <v>1</v>
      </c>
      <c r="AC210" s="24">
        <f t="shared" si="97"/>
        <v>3.7671022479875789</v>
      </c>
      <c r="AD210" s="24">
        <f t="shared" si="98"/>
        <v>4.5641294624088946</v>
      </c>
      <c r="AE210" s="24">
        <f t="shared" si="99"/>
        <v>5.4114775472251138</v>
      </c>
      <c r="AF210" s="119" t="str">
        <f>VLOOKUP(P210*1,Referencias!$G:$H,2,0)</f>
        <v>ter</v>
      </c>
      <c r="AZ210" s="11" t="s">
        <v>369</v>
      </c>
      <c r="BA210" s="29">
        <v>6.9444444444444434E-2</v>
      </c>
      <c r="BB210" s="30">
        <v>1.95</v>
      </c>
      <c r="BC210" s="30">
        <v>8.5</v>
      </c>
      <c r="BD210" s="31">
        <v>1</v>
      </c>
      <c r="BF210"/>
      <c r="BG210"/>
      <c r="BH210"/>
      <c r="BI210"/>
      <c r="BR210" s="10"/>
      <c r="BS210" s="10"/>
    </row>
    <row r="211" spans="1:71" ht="14.4" x14ac:dyDescent="0.3">
      <c r="A211" s="77"/>
      <c r="B211" s="78"/>
      <c r="C211" s="79">
        <v>0.94930555555555562</v>
      </c>
      <c r="D211" s="80"/>
      <c r="E211" s="80"/>
      <c r="F211" s="80"/>
      <c r="G211" s="81"/>
      <c r="H211" s="82"/>
      <c r="I211" s="80"/>
      <c r="J211" s="37"/>
      <c r="K211" s="37"/>
      <c r="L211" s="37"/>
      <c r="M211" s="37"/>
      <c r="N211" s="7" t="str">
        <f t="shared" si="100"/>
        <v>#LIX8HXYZG </v>
      </c>
      <c r="O211" s="7">
        <f t="shared" si="92"/>
        <v>0</v>
      </c>
      <c r="P211" s="21">
        <f t="shared" si="101"/>
        <v>43235</v>
      </c>
      <c r="Q211" s="22">
        <f>VLOOKUP(R211,Referencias!$D$1:$E$13,2,0)</f>
        <v>5</v>
      </c>
      <c r="R211" s="7" t="str">
        <f t="shared" si="102"/>
        <v>MAI</v>
      </c>
      <c r="S211" s="7">
        <f t="shared" si="93"/>
        <v>0</v>
      </c>
      <c r="T211" s="11">
        <f t="shared" si="103"/>
        <v>15</v>
      </c>
      <c r="U211" s="11">
        <f t="shared" si="94"/>
        <v>0</v>
      </c>
      <c r="V211" s="11" t="str">
        <f>VLOOKUP(C211,Referencias!$A$2:$B$33,2,1)</f>
        <v>22 - 23</v>
      </c>
      <c r="W211" s="23" t="str">
        <f t="shared" si="107"/>
        <v/>
      </c>
      <c r="X211" s="11">
        <f t="shared" si="95"/>
        <v>0</v>
      </c>
      <c r="Y211" s="11">
        <f t="shared" si="104"/>
        <v>0</v>
      </c>
      <c r="Z211" s="24">
        <f t="shared" si="105"/>
        <v>0</v>
      </c>
      <c r="AA211" s="25">
        <f t="shared" si="106"/>
        <v>0</v>
      </c>
      <c r="AB211" s="24">
        <f t="shared" si="96"/>
        <v>0</v>
      </c>
      <c r="AC211" s="24">
        <f t="shared" si="97"/>
        <v>0</v>
      </c>
      <c r="AD211" s="24">
        <f t="shared" si="98"/>
        <v>0</v>
      </c>
      <c r="AE211" s="24">
        <f t="shared" si="99"/>
        <v>0</v>
      </c>
      <c r="AF211" s="119" t="str">
        <f>VLOOKUP(P211*1,Referencias!$G:$H,2,0)</f>
        <v>ter</v>
      </c>
      <c r="AZ211" s="11" t="s">
        <v>363</v>
      </c>
      <c r="BA211" s="29">
        <v>2.2916666666666669E-2</v>
      </c>
      <c r="BB211" s="30">
        <v>3.69</v>
      </c>
      <c r="BC211" s="30">
        <v>6.2</v>
      </c>
      <c r="BD211" s="31">
        <v>1</v>
      </c>
      <c r="BF211"/>
      <c r="BG211"/>
      <c r="BH211"/>
      <c r="BI211"/>
      <c r="BR211" s="10"/>
      <c r="BS211" s="10"/>
    </row>
    <row r="212" spans="1:71" ht="14.4" x14ac:dyDescent="0.3">
      <c r="A212" s="83"/>
      <c r="B212" s="83"/>
      <c r="C212" s="83"/>
      <c r="D212" s="83"/>
      <c r="E212" s="83"/>
      <c r="F212" s="83"/>
      <c r="G212" s="83"/>
      <c r="H212" s="83"/>
      <c r="I212" s="83"/>
      <c r="J212" s="7"/>
      <c r="K212" s="7"/>
      <c r="L212" s="7"/>
      <c r="M212" s="7"/>
      <c r="N212" s="7" t="str">
        <f t="shared" si="100"/>
        <v>#LIX8HXYZG </v>
      </c>
      <c r="O212" s="7">
        <f t="shared" si="92"/>
        <v>0</v>
      </c>
      <c r="P212" s="21">
        <f t="shared" si="101"/>
        <v>43235</v>
      </c>
      <c r="Q212" s="22">
        <f>VLOOKUP(R212,Referencias!$D$1:$E$13,2,0)</f>
        <v>5</v>
      </c>
      <c r="R212" s="7" t="str">
        <f t="shared" si="102"/>
        <v>MAI</v>
      </c>
      <c r="S212" s="7">
        <f t="shared" si="93"/>
        <v>0</v>
      </c>
      <c r="T212" s="11">
        <f t="shared" si="103"/>
        <v>15</v>
      </c>
      <c r="U212" s="11">
        <f t="shared" si="94"/>
        <v>0</v>
      </c>
      <c r="V212" s="11" t="e">
        <f>VLOOKUP(C212,Referencias!$A$2:$B$33,2,1)</f>
        <v>#N/A</v>
      </c>
      <c r="W212" s="23" t="str">
        <f t="shared" si="107"/>
        <v/>
      </c>
      <c r="X212" s="11">
        <f t="shared" si="95"/>
        <v>0</v>
      </c>
      <c r="Y212" s="11">
        <f t="shared" si="104"/>
        <v>0</v>
      </c>
      <c r="Z212" s="24">
        <f t="shared" si="105"/>
        <v>0</v>
      </c>
      <c r="AA212" s="25">
        <f t="shared" si="106"/>
        <v>0</v>
      </c>
      <c r="AB212" s="24">
        <f t="shared" si="96"/>
        <v>0</v>
      </c>
      <c r="AC212" s="24">
        <f t="shared" si="97"/>
        <v>0</v>
      </c>
      <c r="AD212" s="24">
        <f t="shared" si="98"/>
        <v>0</v>
      </c>
      <c r="AE212" s="24">
        <f t="shared" si="99"/>
        <v>0</v>
      </c>
      <c r="AF212" s="119" t="str">
        <f>VLOOKUP(P212*1,Referencias!$G:$H,2,0)</f>
        <v>ter</v>
      </c>
      <c r="AZ212" s="11" t="s">
        <v>365</v>
      </c>
      <c r="BA212" s="29">
        <v>2.2916666666666669E-2</v>
      </c>
      <c r="BB212" s="30">
        <v>3.09</v>
      </c>
      <c r="BC212" s="30">
        <v>4.38</v>
      </c>
      <c r="BD212" s="31">
        <v>1</v>
      </c>
      <c r="BF212"/>
      <c r="BG212"/>
      <c r="BH212"/>
      <c r="BI212"/>
      <c r="BR212" s="10"/>
      <c r="BS212" s="10"/>
    </row>
    <row r="213" spans="1:71" ht="14.4" x14ac:dyDescent="0.3">
      <c r="A213" s="76"/>
      <c r="B213" s="76"/>
      <c r="C213" s="76"/>
      <c r="D213" s="76"/>
      <c r="E213" s="76"/>
      <c r="F213" s="76"/>
      <c r="G213" s="76"/>
      <c r="H213" s="76"/>
      <c r="I213" s="76"/>
      <c r="J213" s="7"/>
      <c r="K213" s="7"/>
      <c r="L213" s="7"/>
      <c r="M213" s="7"/>
      <c r="N213" s="7" t="str">
        <f t="shared" si="100"/>
        <v>#LIX8HXYZG </v>
      </c>
      <c r="O213" s="7">
        <f t="shared" si="92"/>
        <v>0</v>
      </c>
      <c r="P213" s="21">
        <f t="shared" si="101"/>
        <v>43235</v>
      </c>
      <c r="Q213" s="22">
        <f>VLOOKUP(R213,Referencias!$D$1:$E$13,2,0)</f>
        <v>5</v>
      </c>
      <c r="R213" s="7" t="str">
        <f t="shared" si="102"/>
        <v>MAI</v>
      </c>
      <c r="S213" s="7">
        <f t="shared" si="93"/>
        <v>0</v>
      </c>
      <c r="T213" s="11">
        <f t="shared" si="103"/>
        <v>15</v>
      </c>
      <c r="U213" s="11">
        <f t="shared" si="94"/>
        <v>0</v>
      </c>
      <c r="V213" s="11" t="e">
        <f>VLOOKUP(C213,Referencias!$A$2:$B$33,2,1)</f>
        <v>#N/A</v>
      </c>
      <c r="W213" s="23" t="str">
        <f t="shared" si="107"/>
        <v/>
      </c>
      <c r="X213" s="11">
        <f t="shared" si="95"/>
        <v>0</v>
      </c>
      <c r="Y213" s="11">
        <f t="shared" si="104"/>
        <v>0</v>
      </c>
      <c r="Z213" s="24">
        <f t="shared" si="105"/>
        <v>0</v>
      </c>
      <c r="AA213" s="25">
        <f t="shared" si="106"/>
        <v>0</v>
      </c>
      <c r="AB213" s="24">
        <f t="shared" si="96"/>
        <v>0</v>
      </c>
      <c r="AC213" s="24">
        <f t="shared" si="97"/>
        <v>0</v>
      </c>
      <c r="AD213" s="24">
        <f t="shared" si="98"/>
        <v>0</v>
      </c>
      <c r="AE213" s="24">
        <f t="shared" si="99"/>
        <v>0</v>
      </c>
      <c r="AF213" s="119" t="str">
        <f>VLOOKUP(P213*1,Referencias!$G:$H,2,0)</f>
        <v>ter</v>
      </c>
      <c r="AZ213" s="11" t="s">
        <v>364</v>
      </c>
      <c r="BA213" s="29">
        <v>2.7083333333333334E-2</v>
      </c>
      <c r="BB213" s="30">
        <v>3.8</v>
      </c>
      <c r="BC213" s="30">
        <v>6.06</v>
      </c>
      <c r="BD213" s="31">
        <v>1</v>
      </c>
      <c r="BF213"/>
      <c r="BG213"/>
      <c r="BH213"/>
      <c r="BI213"/>
      <c r="BR213" s="10"/>
      <c r="BS213" s="10"/>
    </row>
    <row r="214" spans="1:71" ht="14.4" x14ac:dyDescent="0.3">
      <c r="A214" s="77"/>
      <c r="B214" s="78" t="s">
        <v>118</v>
      </c>
      <c r="C214" s="79">
        <v>0.95000000000000007</v>
      </c>
      <c r="D214" s="80">
        <v>8.66</v>
      </c>
      <c r="E214" s="80" t="s">
        <v>88</v>
      </c>
      <c r="F214" s="80"/>
      <c r="G214" s="81">
        <v>4.8499999999999996</v>
      </c>
      <c r="H214" s="82">
        <v>51.81</v>
      </c>
      <c r="I214" s="80"/>
      <c r="J214" s="37"/>
      <c r="K214" s="37"/>
      <c r="L214" s="37"/>
      <c r="M214" s="37"/>
      <c r="N214" s="7" t="str">
        <f t="shared" si="100"/>
        <v>#LI9P1MVFX </v>
      </c>
      <c r="O214" s="7" t="str">
        <f t="shared" si="92"/>
        <v>#LI9P1MVFX </v>
      </c>
      <c r="P214" s="21">
        <f t="shared" si="101"/>
        <v>43235</v>
      </c>
      <c r="Q214" s="22">
        <f>VLOOKUP(R214,Referencias!$D$1:$E$13,2,0)</f>
        <v>5</v>
      </c>
      <c r="R214" s="7" t="str">
        <f t="shared" si="102"/>
        <v>MAI</v>
      </c>
      <c r="S214" s="7">
        <f t="shared" si="93"/>
        <v>0</v>
      </c>
      <c r="T214" s="11">
        <f t="shared" si="103"/>
        <v>15</v>
      </c>
      <c r="U214" s="11">
        <f t="shared" si="94"/>
        <v>0</v>
      </c>
      <c r="V214" s="11" t="str">
        <f>VLOOKUP(C214,Referencias!$A$2:$B$33,2,1)</f>
        <v>22 - 23</v>
      </c>
      <c r="W214" s="23">
        <f t="shared" si="107"/>
        <v>2.5694444444444464E-2</v>
      </c>
      <c r="X214" s="11">
        <f t="shared" si="95"/>
        <v>8.66</v>
      </c>
      <c r="Y214" s="11">
        <f t="shared" si="104"/>
        <v>15.29298239191712</v>
      </c>
      <c r="Z214" s="24">
        <f t="shared" si="105"/>
        <v>4.8499999999999996</v>
      </c>
      <c r="AA214" s="25">
        <f t="shared" si="106"/>
        <v>7.8648648648648578</v>
      </c>
      <c r="AB214" s="24">
        <f t="shared" si="96"/>
        <v>1</v>
      </c>
      <c r="AC214" s="24">
        <f t="shared" si="97"/>
        <v>3.1774688526503927</v>
      </c>
      <c r="AD214" s="24">
        <f t="shared" si="98"/>
        <v>3.8497439813361973</v>
      </c>
      <c r="AE214" s="24">
        <f t="shared" si="99"/>
        <v>4.5644636702681387</v>
      </c>
      <c r="AF214" s="119" t="str">
        <f>VLOOKUP(P214*1,Referencias!$G:$H,2,0)</f>
        <v>ter</v>
      </c>
      <c r="AZ214" s="118">
        <v>43255</v>
      </c>
      <c r="BA214" s="29">
        <v>0.21458333333333338</v>
      </c>
      <c r="BB214" s="30">
        <v>37.190000000000005</v>
      </c>
      <c r="BC214" s="30">
        <v>65.02</v>
      </c>
      <c r="BD214" s="31">
        <v>8</v>
      </c>
      <c r="BF214"/>
      <c r="BG214"/>
      <c r="BH214"/>
      <c r="BI214"/>
      <c r="BR214" s="10"/>
      <c r="BS214" s="10"/>
    </row>
    <row r="215" spans="1:71" ht="14.4" x14ac:dyDescent="0.3">
      <c r="A215" s="77"/>
      <c r="B215" s="78"/>
      <c r="C215" s="79">
        <v>0.97569444444444453</v>
      </c>
      <c r="D215" s="80"/>
      <c r="E215" s="80"/>
      <c r="F215" s="80"/>
      <c r="G215" s="81"/>
      <c r="H215" s="82"/>
      <c r="I215" s="80"/>
      <c r="J215" s="37"/>
      <c r="K215" s="37"/>
      <c r="L215" s="37"/>
      <c r="M215" s="37"/>
      <c r="N215" s="7" t="str">
        <f t="shared" si="100"/>
        <v>#LI9P1MVFX </v>
      </c>
      <c r="O215" s="7">
        <f t="shared" si="92"/>
        <v>0</v>
      </c>
      <c r="P215" s="21">
        <f t="shared" si="101"/>
        <v>43235</v>
      </c>
      <c r="Q215" s="22">
        <f>VLOOKUP(R215,Referencias!$D$1:$E$13,2,0)</f>
        <v>5</v>
      </c>
      <c r="R215" s="7" t="str">
        <f t="shared" si="102"/>
        <v>MAI</v>
      </c>
      <c r="S215" s="7">
        <f t="shared" si="93"/>
        <v>0</v>
      </c>
      <c r="T215" s="11">
        <f t="shared" si="103"/>
        <v>15</v>
      </c>
      <c r="U215" s="11">
        <f t="shared" si="94"/>
        <v>0</v>
      </c>
      <c r="V215" s="11" t="str">
        <f>VLOOKUP(C215,Referencias!$A$2:$B$33,2,1)</f>
        <v>23 - 24</v>
      </c>
      <c r="W215" s="23" t="str">
        <f t="shared" si="107"/>
        <v/>
      </c>
      <c r="X215" s="11">
        <f t="shared" si="95"/>
        <v>0</v>
      </c>
      <c r="Y215" s="11">
        <f t="shared" si="104"/>
        <v>0</v>
      </c>
      <c r="Z215" s="24">
        <f t="shared" si="105"/>
        <v>0</v>
      </c>
      <c r="AA215" s="25">
        <f t="shared" si="106"/>
        <v>0</v>
      </c>
      <c r="AB215" s="24">
        <f t="shared" si="96"/>
        <v>0</v>
      </c>
      <c r="AC215" s="24">
        <f t="shared" si="97"/>
        <v>0</v>
      </c>
      <c r="AD215" s="24">
        <f t="shared" si="98"/>
        <v>0</v>
      </c>
      <c r="AE215" s="24">
        <f t="shared" si="99"/>
        <v>0</v>
      </c>
      <c r="AF215" s="119" t="str">
        <f>VLOOKUP(P215*1,Referencias!$G:$H,2,0)</f>
        <v>ter</v>
      </c>
      <c r="AZ215" s="11" t="s">
        <v>385</v>
      </c>
      <c r="BA215" s="29">
        <v>2.361111111111111E-2</v>
      </c>
      <c r="BB215" s="30">
        <v>4.7</v>
      </c>
      <c r="BC215" s="30">
        <v>4.1500000000000004</v>
      </c>
      <c r="BD215" s="31">
        <v>1</v>
      </c>
      <c r="BF215"/>
      <c r="BG215"/>
      <c r="BH215"/>
      <c r="BI215"/>
      <c r="BR215" s="10"/>
      <c r="BS215" s="10"/>
    </row>
    <row r="216" spans="1:71" ht="15" thickBot="1" x14ac:dyDescent="0.35">
      <c r="A216" s="84"/>
      <c r="B216" s="84"/>
      <c r="C216" s="84"/>
      <c r="D216" s="84"/>
      <c r="E216" s="84"/>
      <c r="F216" s="84"/>
      <c r="G216" s="84"/>
      <c r="H216" s="84"/>
      <c r="I216" s="84"/>
      <c r="J216" s="7"/>
      <c r="K216" s="7"/>
      <c r="L216" s="7"/>
      <c r="M216" s="7"/>
      <c r="N216" s="7" t="str">
        <f t="shared" si="100"/>
        <v>#LI9P1MVFX </v>
      </c>
      <c r="O216" s="7">
        <f t="shared" si="92"/>
        <v>0</v>
      </c>
      <c r="P216" s="21">
        <f t="shared" si="101"/>
        <v>43235</v>
      </c>
      <c r="Q216" s="22">
        <f>VLOOKUP(R216,Referencias!$D$1:$E$13,2,0)</f>
        <v>5</v>
      </c>
      <c r="R216" s="7" t="str">
        <f t="shared" si="102"/>
        <v>MAI</v>
      </c>
      <c r="S216" s="7">
        <f t="shared" si="93"/>
        <v>0</v>
      </c>
      <c r="T216" s="11">
        <f t="shared" si="103"/>
        <v>15</v>
      </c>
      <c r="U216" s="11">
        <f t="shared" si="94"/>
        <v>0</v>
      </c>
      <c r="V216" s="11" t="e">
        <f>VLOOKUP(C216,Referencias!$A$2:$B$33,2,1)</f>
        <v>#N/A</v>
      </c>
      <c r="W216" s="23" t="str">
        <f t="shared" si="107"/>
        <v/>
      </c>
      <c r="X216" s="11">
        <f t="shared" si="95"/>
        <v>0</v>
      </c>
      <c r="Y216" s="11">
        <f t="shared" si="104"/>
        <v>0</v>
      </c>
      <c r="Z216" s="24">
        <f t="shared" si="105"/>
        <v>0</v>
      </c>
      <c r="AA216" s="25">
        <f t="shared" si="106"/>
        <v>0</v>
      </c>
      <c r="AB216" s="24">
        <f t="shared" si="96"/>
        <v>0</v>
      </c>
      <c r="AC216" s="24">
        <f t="shared" si="97"/>
        <v>0</v>
      </c>
      <c r="AD216" s="24">
        <f t="shared" si="98"/>
        <v>0</v>
      </c>
      <c r="AE216" s="24">
        <f t="shared" si="99"/>
        <v>0</v>
      </c>
      <c r="AF216" s="119" t="str">
        <f>VLOOKUP(P216*1,Referencias!$G:$H,2,0)</f>
        <v>ter</v>
      </c>
      <c r="AZ216" s="11" t="s">
        <v>383</v>
      </c>
      <c r="BA216" s="29">
        <v>2.1527777777777781E-2</v>
      </c>
      <c r="BB216" s="30">
        <v>1.95</v>
      </c>
      <c r="BC216" s="30">
        <v>10.35</v>
      </c>
      <c r="BD216" s="31">
        <v>1</v>
      </c>
      <c r="BF216"/>
      <c r="BG216"/>
      <c r="BH216"/>
      <c r="BI216"/>
      <c r="BR216" s="10"/>
      <c r="BS216" s="10"/>
    </row>
    <row r="217" spans="1:71" ht="14.4" x14ac:dyDescent="0.3">
      <c r="A217" s="77">
        <v>16</v>
      </c>
      <c r="B217" s="85" t="s">
        <v>119</v>
      </c>
      <c r="C217" s="79">
        <v>0.83611111111111114</v>
      </c>
      <c r="D217" s="86">
        <v>2.1</v>
      </c>
      <c r="E217" s="86" t="s">
        <v>44</v>
      </c>
      <c r="F217" s="86"/>
      <c r="G217" s="87">
        <v>2.23</v>
      </c>
      <c r="H217" s="88">
        <v>54.04</v>
      </c>
      <c r="I217" s="86"/>
      <c r="J217" s="7"/>
      <c r="K217" s="7"/>
      <c r="L217" s="7"/>
      <c r="M217" s="7"/>
      <c r="N217" s="7" t="str">
        <f t="shared" si="100"/>
        <v>#LISATHAMN </v>
      </c>
      <c r="O217" s="7" t="str">
        <f t="shared" si="92"/>
        <v>#LISATHAMN </v>
      </c>
      <c r="P217" s="21">
        <f t="shared" si="101"/>
        <v>43236</v>
      </c>
      <c r="Q217" s="22">
        <f>VLOOKUP(R217,Referencias!$D$1:$E$13,2,0)</f>
        <v>5</v>
      </c>
      <c r="R217" s="7" t="str">
        <f t="shared" si="102"/>
        <v>MAI</v>
      </c>
      <c r="S217" s="7" t="str">
        <f t="shared" si="93"/>
        <v>MAI</v>
      </c>
      <c r="T217" s="11">
        <f t="shared" si="103"/>
        <v>16</v>
      </c>
      <c r="U217" s="11">
        <f t="shared" si="94"/>
        <v>16</v>
      </c>
      <c r="V217" s="11" t="str">
        <f>VLOOKUP(C217,Referencias!$A$2:$B$33,2,1)</f>
        <v>20 - 21</v>
      </c>
      <c r="W217" s="23">
        <f t="shared" si="107"/>
        <v>2.4305555555555469E-2</v>
      </c>
      <c r="X217" s="11">
        <f t="shared" si="95"/>
        <v>2.1</v>
      </c>
      <c r="Y217" s="11">
        <f t="shared" si="104"/>
        <v>3.7084599333748214</v>
      </c>
      <c r="Z217" s="24">
        <f t="shared" si="105"/>
        <v>2.23</v>
      </c>
      <c r="AA217" s="25">
        <f t="shared" si="106"/>
        <v>3.8228571428571558</v>
      </c>
      <c r="AB217" s="24">
        <f t="shared" si="96"/>
        <v>1</v>
      </c>
      <c r="AC217" s="24">
        <f t="shared" si="97"/>
        <v>1.4609805240021394</v>
      </c>
      <c r="AD217" s="24">
        <f t="shared" si="98"/>
        <v>1.7700884697690147</v>
      </c>
      <c r="AE217" s="24">
        <f t="shared" si="99"/>
        <v>2.0987121617933919</v>
      </c>
      <c r="AF217" s="119" t="str">
        <f>VLOOKUP(P217*1,Referencias!$G:$H,2,0)</f>
        <v>qua</v>
      </c>
      <c r="AZ217" s="11" t="s">
        <v>382</v>
      </c>
      <c r="BA217" s="29">
        <v>3.6111111111111115E-2</v>
      </c>
      <c r="BB217" s="30">
        <v>6.44</v>
      </c>
      <c r="BC217" s="30">
        <v>9.85</v>
      </c>
      <c r="BD217" s="31">
        <v>1</v>
      </c>
      <c r="BF217"/>
      <c r="BG217"/>
      <c r="BH217"/>
      <c r="BI217"/>
      <c r="BR217" s="10"/>
      <c r="BS217" s="10"/>
    </row>
    <row r="218" spans="1:71" ht="14.4" x14ac:dyDescent="0.3">
      <c r="A218" s="77" t="s">
        <v>19</v>
      </c>
      <c r="B218" s="78"/>
      <c r="C218" s="79">
        <v>0.86041666666666661</v>
      </c>
      <c r="D218" s="80"/>
      <c r="E218" s="80"/>
      <c r="F218" s="80"/>
      <c r="G218" s="81"/>
      <c r="H218" s="82"/>
      <c r="I218" s="80"/>
      <c r="J218" s="41"/>
      <c r="K218" s="41"/>
      <c r="L218" s="41"/>
      <c r="M218" s="41"/>
      <c r="N218" s="7" t="str">
        <f t="shared" si="100"/>
        <v>#LISATHAMN </v>
      </c>
      <c r="O218" s="7">
        <f t="shared" si="92"/>
        <v>0</v>
      </c>
      <c r="P218" s="21">
        <f t="shared" si="101"/>
        <v>43236</v>
      </c>
      <c r="Q218" s="22">
        <f>VLOOKUP(R218,Referencias!$D$1:$E$13,2,0)</f>
        <v>5</v>
      </c>
      <c r="R218" s="7" t="str">
        <f t="shared" si="102"/>
        <v>MAI</v>
      </c>
      <c r="S218" s="7">
        <f t="shared" si="93"/>
        <v>0</v>
      </c>
      <c r="T218" s="11">
        <f t="shared" si="103"/>
        <v>16</v>
      </c>
      <c r="U218" s="11">
        <f t="shared" si="94"/>
        <v>0</v>
      </c>
      <c r="V218" s="11" t="str">
        <f>VLOOKUP(C218,Referencias!$A$2:$B$33,2,1)</f>
        <v>20 - 21</v>
      </c>
      <c r="W218" s="23" t="str">
        <f t="shared" si="107"/>
        <v/>
      </c>
      <c r="X218" s="11">
        <f t="shared" si="95"/>
        <v>0</v>
      </c>
      <c r="Y218" s="11">
        <f t="shared" si="104"/>
        <v>0</v>
      </c>
      <c r="Z218" s="24">
        <f t="shared" si="105"/>
        <v>0</v>
      </c>
      <c r="AA218" s="25">
        <f t="shared" si="106"/>
        <v>0</v>
      </c>
      <c r="AB218" s="24">
        <f t="shared" si="96"/>
        <v>0</v>
      </c>
      <c r="AC218" s="24">
        <f t="shared" si="97"/>
        <v>0</v>
      </c>
      <c r="AD218" s="24">
        <f t="shared" si="98"/>
        <v>0</v>
      </c>
      <c r="AE218" s="24">
        <f t="shared" si="99"/>
        <v>0</v>
      </c>
      <c r="AF218" s="119" t="str">
        <f>VLOOKUP(P218*1,Referencias!$G:$H,2,0)</f>
        <v>qua</v>
      </c>
      <c r="AZ218" s="11" t="s">
        <v>379</v>
      </c>
      <c r="BA218" s="29">
        <v>1.8055555555555557E-2</v>
      </c>
      <c r="BB218" s="30">
        <v>2.68</v>
      </c>
      <c r="BC218" s="30">
        <v>3.4</v>
      </c>
      <c r="BD218" s="31">
        <v>1</v>
      </c>
      <c r="BF218"/>
      <c r="BG218"/>
      <c r="BH218"/>
      <c r="BI218"/>
      <c r="BR218" s="10"/>
      <c r="BS218" s="10"/>
    </row>
    <row r="219" spans="1:71" ht="14.4" x14ac:dyDescent="0.3">
      <c r="A219" s="83"/>
      <c r="B219" s="83"/>
      <c r="C219" s="83"/>
      <c r="D219" s="83"/>
      <c r="E219" s="83"/>
      <c r="F219" s="83"/>
      <c r="G219" s="83"/>
      <c r="H219" s="83"/>
      <c r="I219" s="83"/>
      <c r="J219" s="7"/>
      <c r="K219" s="7"/>
      <c r="L219" s="7"/>
      <c r="M219" s="7"/>
      <c r="N219" s="7" t="str">
        <f t="shared" si="100"/>
        <v>#LISATHAMN </v>
      </c>
      <c r="O219" s="7">
        <f t="shared" si="92"/>
        <v>0</v>
      </c>
      <c r="P219" s="21">
        <f t="shared" si="101"/>
        <v>43236</v>
      </c>
      <c r="Q219" s="22">
        <f>VLOOKUP(R219,Referencias!$D$1:$E$13,2,0)</f>
        <v>5</v>
      </c>
      <c r="R219" s="7" t="str">
        <f t="shared" si="102"/>
        <v>MAI</v>
      </c>
      <c r="S219" s="7">
        <f t="shared" si="93"/>
        <v>0</v>
      </c>
      <c r="T219" s="11">
        <f t="shared" si="103"/>
        <v>16</v>
      </c>
      <c r="U219" s="11">
        <f t="shared" si="94"/>
        <v>0</v>
      </c>
      <c r="V219" s="11" t="e">
        <f>VLOOKUP(C219,Referencias!$A$2:$B$33,2,1)</f>
        <v>#N/A</v>
      </c>
      <c r="W219" s="23" t="str">
        <f t="shared" si="107"/>
        <v/>
      </c>
      <c r="X219" s="11">
        <f t="shared" si="95"/>
        <v>0</v>
      </c>
      <c r="Y219" s="11">
        <f t="shared" si="104"/>
        <v>0</v>
      </c>
      <c r="Z219" s="24">
        <f t="shared" si="105"/>
        <v>0</v>
      </c>
      <c r="AA219" s="25">
        <f t="shared" si="106"/>
        <v>0</v>
      </c>
      <c r="AB219" s="24">
        <f t="shared" si="96"/>
        <v>0</v>
      </c>
      <c r="AC219" s="24">
        <f t="shared" si="97"/>
        <v>0</v>
      </c>
      <c r="AD219" s="24">
        <f t="shared" si="98"/>
        <v>0</v>
      </c>
      <c r="AE219" s="24">
        <f t="shared" si="99"/>
        <v>0</v>
      </c>
      <c r="AF219" s="119" t="str">
        <f>VLOOKUP(P219*1,Referencias!$G:$H,2,0)</f>
        <v>qua</v>
      </c>
      <c r="AZ219" s="11" t="s">
        <v>378</v>
      </c>
      <c r="BA219" s="29">
        <v>2.5694444444444447E-2</v>
      </c>
      <c r="BB219" s="30">
        <v>6.53</v>
      </c>
      <c r="BC219" s="30">
        <v>10.11</v>
      </c>
      <c r="BD219" s="31">
        <v>1</v>
      </c>
      <c r="BF219"/>
      <c r="BG219"/>
      <c r="BH219"/>
      <c r="BI219"/>
      <c r="BR219" s="10"/>
      <c r="BS219" s="10"/>
    </row>
    <row r="220" spans="1:71" ht="14.4" x14ac:dyDescent="0.3">
      <c r="A220" s="76"/>
      <c r="B220" s="76"/>
      <c r="C220" s="76"/>
      <c r="D220" s="76"/>
      <c r="E220" s="76"/>
      <c r="F220" s="76"/>
      <c r="G220" s="76"/>
      <c r="H220" s="76"/>
      <c r="I220" s="76"/>
      <c r="J220" s="7"/>
      <c r="K220" s="7"/>
      <c r="L220" s="7"/>
      <c r="M220" s="7"/>
      <c r="N220" s="7" t="str">
        <f t="shared" si="100"/>
        <v>#LISATHAMN </v>
      </c>
      <c r="O220" s="7">
        <f t="shared" si="92"/>
        <v>0</v>
      </c>
      <c r="P220" s="21">
        <f t="shared" si="101"/>
        <v>43236</v>
      </c>
      <c r="Q220" s="22">
        <f>VLOOKUP(R220,Referencias!$D$1:$E$13,2,0)</f>
        <v>5</v>
      </c>
      <c r="R220" s="7" t="str">
        <f t="shared" si="102"/>
        <v>MAI</v>
      </c>
      <c r="S220" s="7">
        <f t="shared" si="93"/>
        <v>0</v>
      </c>
      <c r="T220" s="11">
        <f t="shared" si="103"/>
        <v>16</v>
      </c>
      <c r="U220" s="11">
        <f t="shared" si="94"/>
        <v>0</v>
      </c>
      <c r="V220" s="11" t="e">
        <f>VLOOKUP(C220,Referencias!$A$2:$B$33,2,1)</f>
        <v>#N/A</v>
      </c>
      <c r="W220" s="23" t="str">
        <f t="shared" si="107"/>
        <v/>
      </c>
      <c r="X220" s="11">
        <f t="shared" si="95"/>
        <v>0</v>
      </c>
      <c r="Y220" s="11">
        <f t="shared" si="104"/>
        <v>0</v>
      </c>
      <c r="Z220" s="24">
        <f t="shared" si="105"/>
        <v>0</v>
      </c>
      <c r="AA220" s="25">
        <f t="shared" si="106"/>
        <v>0</v>
      </c>
      <c r="AB220" s="24">
        <f t="shared" si="96"/>
        <v>0</v>
      </c>
      <c r="AC220" s="24">
        <f t="shared" si="97"/>
        <v>0</v>
      </c>
      <c r="AD220" s="24">
        <f t="shared" si="98"/>
        <v>0</v>
      </c>
      <c r="AE220" s="24">
        <f t="shared" si="99"/>
        <v>0</v>
      </c>
      <c r="AF220" s="119" t="str">
        <f>VLOOKUP(P220*1,Referencias!$G:$H,2,0)</f>
        <v>qua</v>
      </c>
      <c r="AZ220" s="11" t="s">
        <v>380</v>
      </c>
      <c r="BA220" s="29">
        <v>3.5416666666666666E-2</v>
      </c>
      <c r="BB220" s="30">
        <v>4.45</v>
      </c>
      <c r="BC220" s="30">
        <v>8.4600000000000009</v>
      </c>
      <c r="BD220" s="31">
        <v>1</v>
      </c>
      <c r="BF220"/>
      <c r="BG220"/>
      <c r="BH220"/>
      <c r="BI220"/>
      <c r="BR220" s="10"/>
      <c r="BS220" s="10"/>
    </row>
    <row r="221" spans="1:71" ht="14.4" x14ac:dyDescent="0.3">
      <c r="A221" s="77"/>
      <c r="B221" s="78" t="s">
        <v>120</v>
      </c>
      <c r="C221" s="79">
        <v>0.86944444444444446</v>
      </c>
      <c r="D221" s="80">
        <v>2.31</v>
      </c>
      <c r="E221" s="80" t="s">
        <v>87</v>
      </c>
      <c r="F221" s="80"/>
      <c r="G221" s="81">
        <v>2.89</v>
      </c>
      <c r="H221" s="82">
        <v>56.93</v>
      </c>
      <c r="I221" s="80"/>
      <c r="J221" s="37"/>
      <c r="K221" s="37"/>
      <c r="L221" s="37"/>
      <c r="M221" s="37"/>
      <c r="N221" s="7" t="str">
        <f t="shared" si="100"/>
        <v>#LI1G8EZTK </v>
      </c>
      <c r="O221" s="7" t="str">
        <f t="shared" si="92"/>
        <v>#LI1G8EZTK </v>
      </c>
      <c r="P221" s="21">
        <f t="shared" si="101"/>
        <v>43236</v>
      </c>
      <c r="Q221" s="22">
        <f>VLOOKUP(R221,Referencias!$D$1:$E$13,2,0)</f>
        <v>5</v>
      </c>
      <c r="R221" s="7" t="str">
        <f t="shared" si="102"/>
        <v>MAI</v>
      </c>
      <c r="S221" s="7">
        <f t="shared" si="93"/>
        <v>0</v>
      </c>
      <c r="T221" s="11">
        <f t="shared" si="103"/>
        <v>16</v>
      </c>
      <c r="U221" s="11">
        <f t="shared" si="94"/>
        <v>0</v>
      </c>
      <c r="V221" s="11" t="str">
        <f>VLOOKUP(C221,Referencias!$A$2:$B$33,2,1)</f>
        <v>20 - 21</v>
      </c>
      <c r="W221" s="23">
        <f t="shared" si="107"/>
        <v>2.083333333333337E-2</v>
      </c>
      <c r="X221" s="11">
        <f t="shared" si="95"/>
        <v>2.31</v>
      </c>
      <c r="Y221" s="11">
        <f t="shared" si="104"/>
        <v>4.0793059267123031</v>
      </c>
      <c r="Z221" s="24">
        <f t="shared" si="105"/>
        <v>2.89</v>
      </c>
      <c r="AA221" s="25">
        <f t="shared" si="106"/>
        <v>5.7799999999999896</v>
      </c>
      <c r="AB221" s="24">
        <f t="shared" si="96"/>
        <v>1</v>
      </c>
      <c r="AC221" s="24">
        <f t="shared" si="97"/>
        <v>1.8933783472494095</v>
      </c>
      <c r="AD221" s="24">
        <f t="shared" si="98"/>
        <v>2.2939711558889924</v>
      </c>
      <c r="AE221" s="24">
        <f t="shared" si="99"/>
        <v>2.7198556715618398</v>
      </c>
      <c r="AF221" s="119" t="str">
        <f>VLOOKUP(P221*1,Referencias!$G:$H,2,0)</f>
        <v>qua</v>
      </c>
      <c r="AZ221" s="11" t="s">
        <v>376</v>
      </c>
      <c r="BA221" s="29">
        <v>2.2916666666666669E-2</v>
      </c>
      <c r="BB221" s="30">
        <v>6.23</v>
      </c>
      <c r="BC221" s="30">
        <v>10.95</v>
      </c>
      <c r="BD221" s="31">
        <v>1</v>
      </c>
      <c r="BF221"/>
      <c r="BG221"/>
      <c r="BH221"/>
      <c r="BI221"/>
      <c r="BR221" s="10"/>
      <c r="BS221" s="10"/>
    </row>
    <row r="222" spans="1:71" ht="14.4" x14ac:dyDescent="0.3">
      <c r="A222" s="77"/>
      <c r="B222" s="78"/>
      <c r="C222" s="79">
        <v>0.89027777777777783</v>
      </c>
      <c r="D222" s="80"/>
      <c r="E222" s="80"/>
      <c r="F222" s="80"/>
      <c r="G222" s="81"/>
      <c r="H222" s="82"/>
      <c r="I222" s="80"/>
      <c r="J222" s="37"/>
      <c r="K222" s="37"/>
      <c r="L222" s="37"/>
      <c r="M222" s="37"/>
      <c r="N222" s="7" t="str">
        <f t="shared" si="100"/>
        <v>#LI1G8EZTK </v>
      </c>
      <c r="O222" s="7">
        <f t="shared" si="92"/>
        <v>0</v>
      </c>
      <c r="P222" s="21">
        <f t="shared" si="101"/>
        <v>43236</v>
      </c>
      <c r="Q222" s="22">
        <f>VLOOKUP(R222,Referencias!$D$1:$E$13,2,0)</f>
        <v>5</v>
      </c>
      <c r="R222" s="7" t="str">
        <f t="shared" si="102"/>
        <v>MAI</v>
      </c>
      <c r="S222" s="7">
        <f t="shared" si="93"/>
        <v>0</v>
      </c>
      <c r="T222" s="11">
        <f t="shared" si="103"/>
        <v>16</v>
      </c>
      <c r="U222" s="11">
        <f t="shared" si="94"/>
        <v>0</v>
      </c>
      <c r="V222" s="11" t="str">
        <f>VLOOKUP(C222,Referencias!$A$2:$B$33,2,1)</f>
        <v>21 - 22</v>
      </c>
      <c r="W222" s="23" t="str">
        <f t="shared" si="107"/>
        <v/>
      </c>
      <c r="X222" s="11">
        <f t="shared" si="95"/>
        <v>0</v>
      </c>
      <c r="Y222" s="11">
        <f t="shared" si="104"/>
        <v>0</v>
      </c>
      <c r="Z222" s="24">
        <f t="shared" si="105"/>
        <v>0</v>
      </c>
      <c r="AA222" s="25">
        <f t="shared" si="106"/>
        <v>0</v>
      </c>
      <c r="AB222" s="24">
        <f t="shared" si="96"/>
        <v>0</v>
      </c>
      <c r="AC222" s="24">
        <f t="shared" si="97"/>
        <v>0</v>
      </c>
      <c r="AD222" s="24">
        <f t="shared" si="98"/>
        <v>0</v>
      </c>
      <c r="AE222" s="24">
        <f t="shared" si="99"/>
        <v>0</v>
      </c>
      <c r="AF222" s="119" t="str">
        <f>VLOOKUP(P222*1,Referencias!$G:$H,2,0)</f>
        <v>qua</v>
      </c>
      <c r="AZ222" s="11" t="s">
        <v>375</v>
      </c>
      <c r="BA222" s="29">
        <v>3.125E-2</v>
      </c>
      <c r="BB222" s="30">
        <v>4.21</v>
      </c>
      <c r="BC222" s="30">
        <v>7.75</v>
      </c>
      <c r="BD222" s="31">
        <v>1</v>
      </c>
      <c r="BF222"/>
      <c r="BG222"/>
      <c r="BH222"/>
      <c r="BI222"/>
      <c r="BR222" s="10"/>
      <c r="BS222" s="10"/>
    </row>
    <row r="223" spans="1:71" ht="14.4" x14ac:dyDescent="0.3">
      <c r="A223" s="83"/>
      <c r="B223" s="83"/>
      <c r="C223" s="83"/>
      <c r="D223" s="83"/>
      <c r="E223" s="83"/>
      <c r="F223" s="83"/>
      <c r="G223" s="83"/>
      <c r="H223" s="83"/>
      <c r="I223" s="83"/>
      <c r="J223" s="7"/>
      <c r="K223" s="7"/>
      <c r="L223" s="7"/>
      <c r="M223" s="7"/>
      <c r="N223" s="7" t="str">
        <f t="shared" si="100"/>
        <v>#LI1G8EZTK </v>
      </c>
      <c r="O223" s="7">
        <f t="shared" si="92"/>
        <v>0</v>
      </c>
      <c r="P223" s="21">
        <f t="shared" si="101"/>
        <v>43236</v>
      </c>
      <c r="Q223" s="22">
        <f>VLOOKUP(R223,Referencias!$D$1:$E$13,2,0)</f>
        <v>5</v>
      </c>
      <c r="R223" s="7" t="str">
        <f t="shared" si="102"/>
        <v>MAI</v>
      </c>
      <c r="S223" s="7">
        <f t="shared" si="93"/>
        <v>0</v>
      </c>
      <c r="T223" s="11">
        <f t="shared" si="103"/>
        <v>16</v>
      </c>
      <c r="U223" s="11">
        <f t="shared" si="94"/>
        <v>0</v>
      </c>
      <c r="V223" s="11" t="e">
        <f>VLOOKUP(C223,Referencias!$A$2:$B$33,2,1)</f>
        <v>#N/A</v>
      </c>
      <c r="W223" s="23" t="str">
        <f t="shared" si="107"/>
        <v/>
      </c>
      <c r="X223" s="11">
        <f t="shared" si="95"/>
        <v>0</v>
      </c>
      <c r="Y223" s="11">
        <f t="shared" si="104"/>
        <v>0</v>
      </c>
      <c r="Z223" s="24">
        <f t="shared" si="105"/>
        <v>0</v>
      </c>
      <c r="AA223" s="25">
        <f t="shared" si="106"/>
        <v>0</v>
      </c>
      <c r="AB223" s="24">
        <f t="shared" si="96"/>
        <v>0</v>
      </c>
      <c r="AC223" s="24">
        <f t="shared" si="97"/>
        <v>0</v>
      </c>
      <c r="AD223" s="24">
        <f t="shared" si="98"/>
        <v>0</v>
      </c>
      <c r="AE223" s="24">
        <f t="shared" si="99"/>
        <v>0</v>
      </c>
      <c r="AF223" s="119" t="str">
        <f>VLOOKUP(P223*1,Referencias!$G:$H,2,0)</f>
        <v>qua</v>
      </c>
      <c r="AZ223" s="118">
        <v>43256</v>
      </c>
      <c r="BA223" s="29">
        <v>0.16527777777777777</v>
      </c>
      <c r="BB223" s="30">
        <v>22.240000000000002</v>
      </c>
      <c r="BC223" s="30">
        <v>31.32</v>
      </c>
      <c r="BD223" s="31">
        <v>6</v>
      </c>
      <c r="BF223"/>
      <c r="BG223"/>
      <c r="BH223"/>
      <c r="BI223"/>
      <c r="BR223" s="10"/>
      <c r="BS223" s="10"/>
    </row>
    <row r="224" spans="1:71" ht="14.4" x14ac:dyDescent="0.3">
      <c r="A224" s="76"/>
      <c r="B224" s="76"/>
      <c r="C224" s="76"/>
      <c r="D224" s="76"/>
      <c r="E224" s="76"/>
      <c r="F224" s="76"/>
      <c r="G224" s="76"/>
      <c r="H224" s="76"/>
      <c r="I224" s="76"/>
      <c r="J224" s="7"/>
      <c r="K224" s="7"/>
      <c r="L224" s="7"/>
      <c r="M224" s="7"/>
      <c r="N224" s="7" t="str">
        <f t="shared" si="100"/>
        <v>#LI1G8EZTK </v>
      </c>
      <c r="O224" s="7">
        <f t="shared" si="92"/>
        <v>0</v>
      </c>
      <c r="P224" s="21">
        <f t="shared" si="101"/>
        <v>43236</v>
      </c>
      <c r="Q224" s="22">
        <f>VLOOKUP(R224,Referencias!$D$1:$E$13,2,0)</f>
        <v>5</v>
      </c>
      <c r="R224" s="7" t="str">
        <f t="shared" si="102"/>
        <v>MAI</v>
      </c>
      <c r="S224" s="7">
        <f t="shared" si="93"/>
        <v>0</v>
      </c>
      <c r="T224" s="11">
        <f t="shared" si="103"/>
        <v>16</v>
      </c>
      <c r="U224" s="11">
        <f t="shared" si="94"/>
        <v>0</v>
      </c>
      <c r="V224" s="11" t="e">
        <f>VLOOKUP(C224,Referencias!$A$2:$B$33,2,1)</f>
        <v>#N/A</v>
      </c>
      <c r="W224" s="23" t="str">
        <f t="shared" si="107"/>
        <v/>
      </c>
      <c r="X224" s="11">
        <f t="shared" si="95"/>
        <v>0</v>
      </c>
      <c r="Y224" s="11">
        <f t="shared" si="104"/>
        <v>0</v>
      </c>
      <c r="Z224" s="24">
        <f t="shared" si="105"/>
        <v>0</v>
      </c>
      <c r="AA224" s="25">
        <f t="shared" si="106"/>
        <v>0</v>
      </c>
      <c r="AB224" s="24">
        <f t="shared" si="96"/>
        <v>0</v>
      </c>
      <c r="AC224" s="24">
        <f t="shared" si="97"/>
        <v>0</v>
      </c>
      <c r="AD224" s="24">
        <f t="shared" si="98"/>
        <v>0</v>
      </c>
      <c r="AE224" s="24">
        <f t="shared" si="99"/>
        <v>0</v>
      </c>
      <c r="AF224" s="119" t="str">
        <f>VLOOKUP(P224*1,Referencias!$G:$H,2,0)</f>
        <v>qua</v>
      </c>
      <c r="AZ224" s="11" t="s">
        <v>420</v>
      </c>
      <c r="BA224" s="29">
        <v>3.6111111111111115E-2</v>
      </c>
      <c r="BB224" s="30">
        <v>2.87</v>
      </c>
      <c r="BC224" s="30">
        <v>3.93</v>
      </c>
      <c r="BD224" s="31">
        <v>1</v>
      </c>
      <c r="BF224"/>
      <c r="BG224"/>
      <c r="BH224"/>
      <c r="BI224"/>
      <c r="BR224" s="10"/>
      <c r="BS224" s="10"/>
    </row>
    <row r="225" spans="1:71" ht="14.4" x14ac:dyDescent="0.3">
      <c r="A225" s="77"/>
      <c r="B225" s="78" t="s">
        <v>121</v>
      </c>
      <c r="C225" s="79">
        <v>0.89027777777777783</v>
      </c>
      <c r="D225" s="80">
        <v>7.49</v>
      </c>
      <c r="E225" s="80" t="s">
        <v>44</v>
      </c>
      <c r="F225" s="80"/>
      <c r="G225" s="81">
        <v>4.12</v>
      </c>
      <c r="H225" s="82">
        <v>61.05</v>
      </c>
      <c r="I225" s="80"/>
      <c r="J225" s="37"/>
      <c r="K225" s="37"/>
      <c r="L225" s="37"/>
      <c r="M225" s="37"/>
      <c r="N225" s="7" t="str">
        <f t="shared" si="100"/>
        <v>#LIPRCKKJ9 </v>
      </c>
      <c r="O225" s="7" t="str">
        <f t="shared" si="92"/>
        <v>#LIPRCKKJ9 </v>
      </c>
      <c r="P225" s="21">
        <f t="shared" si="101"/>
        <v>43236</v>
      </c>
      <c r="Q225" s="22">
        <f>VLOOKUP(R225,Referencias!$D$1:$E$13,2,0)</f>
        <v>5</v>
      </c>
      <c r="R225" s="7" t="str">
        <f t="shared" si="102"/>
        <v>MAI</v>
      </c>
      <c r="S225" s="7">
        <f t="shared" si="93"/>
        <v>0</v>
      </c>
      <c r="T225" s="11">
        <f t="shared" si="103"/>
        <v>16</v>
      </c>
      <c r="U225" s="11">
        <f t="shared" si="94"/>
        <v>0</v>
      </c>
      <c r="V225" s="11" t="str">
        <f>VLOOKUP(C225,Referencias!$A$2:$B$33,2,1)</f>
        <v>21 - 22</v>
      </c>
      <c r="W225" s="23">
        <f t="shared" si="107"/>
        <v>2.2916666666666696E-2</v>
      </c>
      <c r="X225" s="11">
        <f t="shared" si="95"/>
        <v>7.49</v>
      </c>
      <c r="Y225" s="11">
        <f t="shared" si="104"/>
        <v>13.226840429036862</v>
      </c>
      <c r="Z225" s="24">
        <f t="shared" si="105"/>
        <v>4.12</v>
      </c>
      <c r="AA225" s="25">
        <f t="shared" si="106"/>
        <v>7.4909090909090814</v>
      </c>
      <c r="AB225" s="24">
        <f t="shared" si="96"/>
        <v>1</v>
      </c>
      <c r="AC225" s="24">
        <f t="shared" si="97"/>
        <v>2.6992106542102308</v>
      </c>
      <c r="AD225" s="24">
        <f t="shared" si="98"/>
        <v>3.2702979800216774</v>
      </c>
      <c r="AE225" s="24">
        <f t="shared" si="99"/>
        <v>3.8774413034030379</v>
      </c>
      <c r="AF225" s="119" t="str">
        <f>VLOOKUP(P225*1,Referencias!$G:$H,2,0)</f>
        <v>qua</v>
      </c>
      <c r="AZ225" s="11" t="s">
        <v>419</v>
      </c>
      <c r="BA225" s="29">
        <v>1.7361111111111112E-2</v>
      </c>
      <c r="BB225" s="30">
        <v>3.83</v>
      </c>
      <c r="BC225" s="30">
        <v>6.62</v>
      </c>
      <c r="BD225" s="31">
        <v>1</v>
      </c>
      <c r="BF225"/>
      <c r="BG225"/>
      <c r="BH225"/>
      <c r="BI225"/>
      <c r="BR225" s="10"/>
      <c r="BS225" s="10"/>
    </row>
    <row r="226" spans="1:71" ht="14.4" x14ac:dyDescent="0.3">
      <c r="A226" s="77"/>
      <c r="B226" s="78"/>
      <c r="C226" s="79">
        <v>0.91319444444444453</v>
      </c>
      <c r="D226" s="80"/>
      <c r="E226" s="80"/>
      <c r="F226" s="80"/>
      <c r="G226" s="81"/>
      <c r="H226" s="82"/>
      <c r="I226" s="80"/>
      <c r="J226" s="37"/>
      <c r="K226" s="37"/>
      <c r="L226" s="37"/>
      <c r="M226" s="37"/>
      <c r="N226" s="7" t="str">
        <f t="shared" si="100"/>
        <v>#LIPRCKKJ9 </v>
      </c>
      <c r="O226" s="7">
        <f t="shared" si="92"/>
        <v>0</v>
      </c>
      <c r="P226" s="21">
        <f t="shared" si="101"/>
        <v>43236</v>
      </c>
      <c r="Q226" s="22">
        <f>VLOOKUP(R226,Referencias!$D$1:$E$13,2,0)</f>
        <v>5</v>
      </c>
      <c r="R226" s="7" t="str">
        <f t="shared" si="102"/>
        <v>MAI</v>
      </c>
      <c r="S226" s="7">
        <f t="shared" si="93"/>
        <v>0</v>
      </c>
      <c r="T226" s="11">
        <f t="shared" si="103"/>
        <v>16</v>
      </c>
      <c r="U226" s="11">
        <f t="shared" si="94"/>
        <v>0</v>
      </c>
      <c r="V226" s="11" t="str">
        <f>VLOOKUP(C226,Referencias!$A$2:$B$33,2,1)</f>
        <v>21 - 22</v>
      </c>
      <c r="W226" s="23" t="str">
        <f t="shared" si="107"/>
        <v/>
      </c>
      <c r="X226" s="11">
        <f t="shared" si="95"/>
        <v>0</v>
      </c>
      <c r="Y226" s="11">
        <f t="shared" si="104"/>
        <v>0</v>
      </c>
      <c r="Z226" s="24">
        <f t="shared" si="105"/>
        <v>0</v>
      </c>
      <c r="AA226" s="25">
        <f t="shared" si="106"/>
        <v>0</v>
      </c>
      <c r="AB226" s="24">
        <f t="shared" si="96"/>
        <v>0</v>
      </c>
      <c r="AC226" s="24">
        <f t="shared" si="97"/>
        <v>0</v>
      </c>
      <c r="AD226" s="24">
        <f t="shared" si="98"/>
        <v>0</v>
      </c>
      <c r="AE226" s="24">
        <f t="shared" si="99"/>
        <v>0</v>
      </c>
      <c r="AF226" s="119" t="str">
        <f>VLOOKUP(P226*1,Referencias!$G:$H,2,0)</f>
        <v>qua</v>
      </c>
      <c r="AZ226" s="11" t="s">
        <v>424</v>
      </c>
      <c r="BA226" s="29">
        <v>2.4999999999999998E-2</v>
      </c>
      <c r="BB226" s="30">
        <v>5.72</v>
      </c>
      <c r="BC226" s="30">
        <v>8.2899999999999991</v>
      </c>
      <c r="BD226" s="31">
        <v>1</v>
      </c>
      <c r="BF226"/>
      <c r="BG226"/>
      <c r="BH226"/>
      <c r="BI226"/>
      <c r="BS226" s="10"/>
    </row>
    <row r="227" spans="1:71" ht="14.4" x14ac:dyDescent="0.3">
      <c r="A227" s="83"/>
      <c r="B227" s="83"/>
      <c r="C227" s="83"/>
      <c r="D227" s="83"/>
      <c r="E227" s="83"/>
      <c r="F227" s="83"/>
      <c r="G227" s="83"/>
      <c r="H227" s="83"/>
      <c r="I227" s="83"/>
      <c r="J227" s="7"/>
      <c r="K227" s="7"/>
      <c r="L227" s="7"/>
      <c r="M227" s="7"/>
      <c r="N227" s="7" t="str">
        <f t="shared" si="100"/>
        <v>#LIPRCKKJ9 </v>
      </c>
      <c r="O227" s="7">
        <f t="shared" si="92"/>
        <v>0</v>
      </c>
      <c r="P227" s="21">
        <f t="shared" si="101"/>
        <v>43236</v>
      </c>
      <c r="Q227" s="22">
        <f>VLOOKUP(R227,Referencias!$D$1:$E$13,2,0)</f>
        <v>5</v>
      </c>
      <c r="R227" s="7" t="str">
        <f t="shared" si="102"/>
        <v>MAI</v>
      </c>
      <c r="S227" s="7">
        <f t="shared" si="93"/>
        <v>0</v>
      </c>
      <c r="T227" s="11">
        <f t="shared" si="103"/>
        <v>16</v>
      </c>
      <c r="U227" s="11">
        <f t="shared" si="94"/>
        <v>0</v>
      </c>
      <c r="V227" s="11" t="e">
        <f>VLOOKUP(C227,Referencias!$A$2:$B$33,2,1)</f>
        <v>#N/A</v>
      </c>
      <c r="W227" s="23" t="str">
        <f t="shared" si="107"/>
        <v/>
      </c>
      <c r="X227" s="11">
        <f t="shared" si="95"/>
        <v>0</v>
      </c>
      <c r="Y227" s="11">
        <f t="shared" si="104"/>
        <v>0</v>
      </c>
      <c r="Z227" s="24">
        <f t="shared" si="105"/>
        <v>0</v>
      </c>
      <c r="AA227" s="25">
        <f t="shared" si="106"/>
        <v>0</v>
      </c>
      <c r="AB227" s="24">
        <f t="shared" si="96"/>
        <v>0</v>
      </c>
      <c r="AC227" s="24">
        <f t="shared" si="97"/>
        <v>0</v>
      </c>
      <c r="AD227" s="24">
        <f t="shared" si="98"/>
        <v>0</v>
      </c>
      <c r="AE227" s="24">
        <f t="shared" si="99"/>
        <v>0</v>
      </c>
      <c r="AF227" s="119" t="str">
        <f>VLOOKUP(P227*1,Referencias!$G:$H,2,0)</f>
        <v>qua</v>
      </c>
      <c r="AZ227" s="11" t="s">
        <v>418</v>
      </c>
      <c r="BA227" s="29">
        <v>3.1944444444444449E-2</v>
      </c>
      <c r="BB227" s="30">
        <v>3.49</v>
      </c>
      <c r="BC227" s="30">
        <v>5.7</v>
      </c>
      <c r="BD227" s="31">
        <v>1</v>
      </c>
      <c r="BF227"/>
      <c r="BG227"/>
      <c r="BH227"/>
      <c r="BI227"/>
      <c r="BS227" s="10"/>
    </row>
    <row r="228" spans="1:71" ht="14.4" x14ac:dyDescent="0.3">
      <c r="A228" s="76"/>
      <c r="B228" s="76"/>
      <c r="C228" s="76"/>
      <c r="D228" s="76"/>
      <c r="E228" s="76"/>
      <c r="F228" s="76"/>
      <c r="G228" s="76"/>
      <c r="H228" s="76"/>
      <c r="I228" s="76"/>
      <c r="J228" s="7"/>
      <c r="K228" s="7"/>
      <c r="L228" s="7"/>
      <c r="M228" s="7"/>
      <c r="N228" s="7" t="str">
        <f t="shared" si="100"/>
        <v>#LIPRCKKJ9 </v>
      </c>
      <c r="O228" s="7">
        <f t="shared" si="92"/>
        <v>0</v>
      </c>
      <c r="P228" s="21">
        <f t="shared" si="101"/>
        <v>43236</v>
      </c>
      <c r="Q228" s="22">
        <f>VLOOKUP(R228,Referencias!$D$1:$E$13,2,0)</f>
        <v>5</v>
      </c>
      <c r="R228" s="7" t="str">
        <f t="shared" si="102"/>
        <v>MAI</v>
      </c>
      <c r="S228" s="7">
        <f t="shared" si="93"/>
        <v>0</v>
      </c>
      <c r="T228" s="11">
        <f t="shared" si="103"/>
        <v>16</v>
      </c>
      <c r="U228" s="11">
        <f t="shared" si="94"/>
        <v>0</v>
      </c>
      <c r="V228" s="11" t="e">
        <f>VLOOKUP(C228,Referencias!$A$2:$B$33,2,1)</f>
        <v>#N/A</v>
      </c>
      <c r="W228" s="23" t="str">
        <f t="shared" si="107"/>
        <v/>
      </c>
      <c r="X228" s="11">
        <f t="shared" si="95"/>
        <v>0</v>
      </c>
      <c r="Y228" s="11">
        <f t="shared" si="104"/>
        <v>0</v>
      </c>
      <c r="Z228" s="24">
        <f t="shared" si="105"/>
        <v>0</v>
      </c>
      <c r="AA228" s="25">
        <f t="shared" si="106"/>
        <v>0</v>
      </c>
      <c r="AB228" s="24">
        <f t="shared" si="96"/>
        <v>0</v>
      </c>
      <c r="AC228" s="24">
        <f t="shared" si="97"/>
        <v>0</v>
      </c>
      <c r="AD228" s="24">
        <f t="shared" si="98"/>
        <v>0</v>
      </c>
      <c r="AE228" s="24">
        <f t="shared" si="99"/>
        <v>0</v>
      </c>
      <c r="AF228" s="119" t="str">
        <f>VLOOKUP(P228*1,Referencias!$G:$H,2,0)</f>
        <v>qua</v>
      </c>
      <c r="AZ228" s="11" t="s">
        <v>423</v>
      </c>
      <c r="BA228" s="29">
        <v>2.8472222222222222E-2</v>
      </c>
      <c r="BB228" s="30">
        <v>3.78</v>
      </c>
      <c r="BC228" s="30">
        <v>4.04</v>
      </c>
      <c r="BD228" s="31">
        <v>1</v>
      </c>
      <c r="BF228"/>
      <c r="BG228"/>
      <c r="BH228"/>
      <c r="BI228"/>
      <c r="BS228" s="10"/>
    </row>
    <row r="229" spans="1:71" ht="14.4" x14ac:dyDescent="0.3">
      <c r="A229" s="77"/>
      <c r="B229" s="78" t="s">
        <v>122</v>
      </c>
      <c r="C229" s="79">
        <v>0.91666666666666663</v>
      </c>
      <c r="D229" s="80">
        <v>8.3000000000000007</v>
      </c>
      <c r="E229" s="80" t="s">
        <v>53</v>
      </c>
      <c r="F229" s="80"/>
      <c r="G229" s="81">
        <v>4.4000000000000004</v>
      </c>
      <c r="H229" s="82">
        <v>65.45</v>
      </c>
      <c r="I229" s="80"/>
      <c r="J229" s="37"/>
      <c r="K229" s="37"/>
      <c r="L229" s="37"/>
      <c r="M229" s="37"/>
      <c r="N229" s="7" t="str">
        <f t="shared" si="100"/>
        <v>#LIAPG16DB </v>
      </c>
      <c r="O229" s="7" t="str">
        <f t="shared" si="92"/>
        <v>#LIAPG16DB </v>
      </c>
      <c r="P229" s="21">
        <f t="shared" si="101"/>
        <v>43236</v>
      </c>
      <c r="Q229" s="22">
        <f>VLOOKUP(R229,Referencias!$D$1:$E$13,2,0)</f>
        <v>5</v>
      </c>
      <c r="R229" s="7" t="str">
        <f t="shared" si="102"/>
        <v>MAI</v>
      </c>
      <c r="S229" s="7">
        <f t="shared" si="93"/>
        <v>0</v>
      </c>
      <c r="T229" s="11">
        <f t="shared" si="103"/>
        <v>16</v>
      </c>
      <c r="U229" s="11">
        <f t="shared" si="94"/>
        <v>0</v>
      </c>
      <c r="V229" s="11" t="str">
        <f>VLOOKUP(C229,Referencias!$A$2:$B$33,2,1)</f>
        <v>21 - 22</v>
      </c>
      <c r="W229" s="23">
        <f t="shared" si="107"/>
        <v>2.5000000000000133E-2</v>
      </c>
      <c r="X229" s="11">
        <f t="shared" si="95"/>
        <v>8.3000000000000007</v>
      </c>
      <c r="Y229" s="11">
        <f t="shared" si="104"/>
        <v>14.657246403338581</v>
      </c>
      <c r="Z229" s="24">
        <f t="shared" si="105"/>
        <v>4.4000000000000004</v>
      </c>
      <c r="AA229" s="25">
        <f t="shared" si="106"/>
        <v>7.3333333333332948</v>
      </c>
      <c r="AB229" s="24">
        <f t="shared" si="96"/>
        <v>1</v>
      </c>
      <c r="AC229" s="24">
        <f t="shared" si="97"/>
        <v>2.8826521549818001</v>
      </c>
      <c r="AD229" s="24">
        <f t="shared" si="98"/>
        <v>3.49255124079985</v>
      </c>
      <c r="AE229" s="24">
        <f t="shared" si="99"/>
        <v>4.140956731789653</v>
      </c>
      <c r="AF229" s="119" t="str">
        <f>VLOOKUP(P229*1,Referencias!$G:$H,2,0)</f>
        <v>qua</v>
      </c>
      <c r="AZ229" s="11" t="s">
        <v>422</v>
      </c>
      <c r="BA229" s="29">
        <v>2.6388888888888889E-2</v>
      </c>
      <c r="BB229" s="30">
        <v>2.5499999999999998</v>
      </c>
      <c r="BC229" s="30">
        <v>2.74</v>
      </c>
      <c r="BD229" s="31">
        <v>1</v>
      </c>
      <c r="BF229"/>
      <c r="BG229"/>
      <c r="BH229"/>
      <c r="BI229"/>
      <c r="BS229" s="10"/>
    </row>
    <row r="230" spans="1:71" ht="14.4" x14ac:dyDescent="0.3">
      <c r="A230" s="77"/>
      <c r="B230" s="78"/>
      <c r="C230" s="79">
        <v>0.94166666666666676</v>
      </c>
      <c r="D230" s="80"/>
      <c r="E230" s="80"/>
      <c r="F230" s="80"/>
      <c r="G230" s="81"/>
      <c r="H230" s="82"/>
      <c r="I230" s="80"/>
      <c r="J230" s="37"/>
      <c r="K230" s="37"/>
      <c r="L230" s="37"/>
      <c r="M230" s="37"/>
      <c r="N230" s="7" t="str">
        <f t="shared" si="100"/>
        <v>#LIAPG16DB </v>
      </c>
      <c r="O230" s="7">
        <f t="shared" si="92"/>
        <v>0</v>
      </c>
      <c r="P230" s="21">
        <f t="shared" si="101"/>
        <v>43236</v>
      </c>
      <c r="Q230" s="22">
        <f>VLOOKUP(R230,Referencias!$D$1:$E$13,2,0)</f>
        <v>5</v>
      </c>
      <c r="R230" s="7" t="str">
        <f t="shared" si="102"/>
        <v>MAI</v>
      </c>
      <c r="S230" s="7">
        <f t="shared" si="93"/>
        <v>0</v>
      </c>
      <c r="T230" s="11">
        <f t="shared" si="103"/>
        <v>16</v>
      </c>
      <c r="U230" s="11">
        <f t="shared" si="94"/>
        <v>0</v>
      </c>
      <c r="V230" s="11" t="str">
        <f>VLOOKUP(C230,Referencias!$A$2:$B$33,2,1)</f>
        <v>22 - 23</v>
      </c>
      <c r="W230" s="23" t="str">
        <f t="shared" si="107"/>
        <v/>
      </c>
      <c r="X230" s="11">
        <f t="shared" si="95"/>
        <v>0</v>
      </c>
      <c r="Y230" s="11">
        <f t="shared" si="104"/>
        <v>0</v>
      </c>
      <c r="Z230" s="24">
        <f t="shared" si="105"/>
        <v>0</v>
      </c>
      <c r="AA230" s="25">
        <f t="shared" si="106"/>
        <v>0</v>
      </c>
      <c r="AB230" s="24">
        <f t="shared" si="96"/>
        <v>0</v>
      </c>
      <c r="AC230" s="24">
        <f t="shared" si="97"/>
        <v>0</v>
      </c>
      <c r="AD230" s="24">
        <f t="shared" si="98"/>
        <v>0</v>
      </c>
      <c r="AE230" s="24">
        <f t="shared" si="99"/>
        <v>0</v>
      </c>
      <c r="AF230" s="119" t="str">
        <f>VLOOKUP(P230*1,Referencias!$G:$H,2,0)</f>
        <v>qua</v>
      </c>
      <c r="AZ230" s="118">
        <v>43257</v>
      </c>
      <c r="BA230" s="29">
        <v>0.15347222222222223</v>
      </c>
      <c r="BB230" s="30">
        <v>18.830000000000002</v>
      </c>
      <c r="BC230" s="30">
        <v>27.69</v>
      </c>
      <c r="BD230" s="31">
        <v>5</v>
      </c>
      <c r="BF230"/>
      <c r="BG230"/>
      <c r="BH230"/>
      <c r="BI230"/>
      <c r="BS230" s="10"/>
    </row>
    <row r="231" spans="1:71" ht="15" thickBot="1" x14ac:dyDescent="0.35">
      <c r="A231" s="84"/>
      <c r="B231" s="84"/>
      <c r="C231" s="84"/>
      <c r="D231" s="84"/>
      <c r="E231" s="84"/>
      <c r="F231" s="84"/>
      <c r="G231" s="84"/>
      <c r="H231" s="84"/>
      <c r="I231" s="84"/>
      <c r="J231" s="7"/>
      <c r="K231" s="7"/>
      <c r="L231" s="7"/>
      <c r="M231" s="7"/>
      <c r="N231" s="7" t="str">
        <f t="shared" si="100"/>
        <v>#LIAPG16DB </v>
      </c>
      <c r="O231" s="7">
        <f t="shared" si="92"/>
        <v>0</v>
      </c>
      <c r="P231" s="21">
        <f t="shared" si="101"/>
        <v>43236</v>
      </c>
      <c r="Q231" s="22">
        <f>VLOOKUP(R231,Referencias!$D$1:$E$13,2,0)</f>
        <v>5</v>
      </c>
      <c r="R231" s="7" t="str">
        <f t="shared" si="102"/>
        <v>MAI</v>
      </c>
      <c r="S231" s="7">
        <f t="shared" si="93"/>
        <v>0</v>
      </c>
      <c r="T231" s="11">
        <f t="shared" si="103"/>
        <v>16</v>
      </c>
      <c r="U231" s="11">
        <f t="shared" si="94"/>
        <v>0</v>
      </c>
      <c r="V231" s="11" t="e">
        <f>VLOOKUP(C231,Referencias!$A$2:$B$33,2,1)</f>
        <v>#N/A</v>
      </c>
      <c r="W231" s="23" t="str">
        <f t="shared" si="107"/>
        <v/>
      </c>
      <c r="X231" s="11">
        <f t="shared" si="95"/>
        <v>0</v>
      </c>
      <c r="Y231" s="11">
        <f t="shared" si="104"/>
        <v>0</v>
      </c>
      <c r="Z231" s="24">
        <f t="shared" si="105"/>
        <v>0</v>
      </c>
      <c r="AA231" s="25">
        <f t="shared" si="106"/>
        <v>0</v>
      </c>
      <c r="AB231" s="24">
        <f t="shared" si="96"/>
        <v>0</v>
      </c>
      <c r="AC231" s="24">
        <f t="shared" si="97"/>
        <v>0</v>
      </c>
      <c r="AD231" s="24">
        <f t="shared" si="98"/>
        <v>0</v>
      </c>
      <c r="AE231" s="24">
        <f t="shared" si="99"/>
        <v>0</v>
      </c>
      <c r="AF231" s="119" t="str">
        <f>VLOOKUP(P231*1,Referencias!$G:$H,2,0)</f>
        <v>qua</v>
      </c>
      <c r="AZ231" s="11" t="s">
        <v>432</v>
      </c>
      <c r="BA231" s="29">
        <v>3.888888888888889E-2</v>
      </c>
      <c r="BB231" s="30">
        <v>4.01</v>
      </c>
      <c r="BC231" s="30">
        <v>7.18</v>
      </c>
      <c r="BD231" s="31">
        <v>1</v>
      </c>
      <c r="BF231"/>
      <c r="BG231"/>
      <c r="BH231"/>
      <c r="BI231"/>
      <c r="BS231" s="10"/>
    </row>
    <row r="232" spans="1:71" ht="14.4" x14ac:dyDescent="0.3">
      <c r="A232" s="77">
        <v>17</v>
      </c>
      <c r="B232" s="85" t="s">
        <v>123</v>
      </c>
      <c r="C232" s="79">
        <v>0.53055555555555556</v>
      </c>
      <c r="D232" s="86">
        <v>2.6</v>
      </c>
      <c r="E232" s="86" t="s">
        <v>87</v>
      </c>
      <c r="F232" s="86"/>
      <c r="G232" s="87">
        <v>3.01</v>
      </c>
      <c r="H232" s="88">
        <v>68.459999999999994</v>
      </c>
      <c r="I232" s="86"/>
      <c r="J232" s="7"/>
      <c r="K232" s="7"/>
      <c r="L232" s="7"/>
      <c r="M232" s="7"/>
      <c r="N232" s="7" t="str">
        <f t="shared" si="100"/>
        <v>#LIGRWNLZS </v>
      </c>
      <c r="O232" s="7" t="str">
        <f t="shared" si="92"/>
        <v>#LIGRWNLZS </v>
      </c>
      <c r="P232" s="21">
        <f t="shared" si="101"/>
        <v>43237</v>
      </c>
      <c r="Q232" s="22">
        <f>VLOOKUP(R232,Referencias!$D$1:$E$13,2,0)</f>
        <v>5</v>
      </c>
      <c r="R232" s="7" t="str">
        <f t="shared" si="102"/>
        <v>MAI</v>
      </c>
      <c r="S232" s="7" t="str">
        <f t="shared" si="93"/>
        <v>MAI</v>
      </c>
      <c r="T232" s="11">
        <f t="shared" si="103"/>
        <v>17</v>
      </c>
      <c r="U232" s="11">
        <f t="shared" si="94"/>
        <v>17</v>
      </c>
      <c r="V232" s="11" t="str">
        <f>VLOOKUP(C232,Referencias!$A$2:$B$33,2,1)</f>
        <v>12 - 13</v>
      </c>
      <c r="W232" s="23">
        <f t="shared" si="107"/>
        <v>2.777777777777779E-2</v>
      </c>
      <c r="X232" s="11">
        <f t="shared" si="95"/>
        <v>2.6</v>
      </c>
      <c r="Y232" s="11">
        <f t="shared" si="104"/>
        <v>4.5914265841783504</v>
      </c>
      <c r="Z232" s="24">
        <f t="shared" si="105"/>
        <v>3.01</v>
      </c>
      <c r="AA232" s="25">
        <f t="shared" si="106"/>
        <v>4.5149999999999979</v>
      </c>
      <c r="AB232" s="24">
        <f t="shared" si="96"/>
        <v>1</v>
      </c>
      <c r="AC232" s="24">
        <f t="shared" si="97"/>
        <v>1.9719961332943674</v>
      </c>
      <c r="AD232" s="24">
        <f t="shared" si="98"/>
        <v>2.3892225533653515</v>
      </c>
      <c r="AE232" s="24">
        <f t="shared" si="99"/>
        <v>2.832790855156103</v>
      </c>
      <c r="AF232" s="119" t="str">
        <f>VLOOKUP(P232*1,Referencias!$G:$H,2,0)</f>
        <v>qui</v>
      </c>
      <c r="AZ232" s="11" t="s">
        <v>435</v>
      </c>
      <c r="BA232" s="29">
        <v>2.2916666666666669E-2</v>
      </c>
      <c r="BB232" s="30">
        <v>3.62</v>
      </c>
      <c r="BC232" s="30">
        <v>4.87</v>
      </c>
      <c r="BD232" s="31">
        <v>1</v>
      </c>
      <c r="BF232"/>
      <c r="BG232"/>
      <c r="BH232"/>
      <c r="BI232"/>
      <c r="BS232" s="10"/>
    </row>
    <row r="233" spans="1:71" ht="14.4" x14ac:dyDescent="0.3">
      <c r="A233" s="77" t="s">
        <v>19</v>
      </c>
      <c r="B233" s="78"/>
      <c r="C233" s="79">
        <v>0.55833333333333335</v>
      </c>
      <c r="D233" s="80"/>
      <c r="E233" s="80"/>
      <c r="F233" s="80"/>
      <c r="G233" s="81"/>
      <c r="H233" s="82"/>
      <c r="I233" s="80"/>
      <c r="J233" s="41"/>
      <c r="K233" s="41"/>
      <c r="L233" s="41"/>
      <c r="M233" s="41"/>
      <c r="N233" s="7" t="str">
        <f t="shared" si="100"/>
        <v>#LIGRWNLZS </v>
      </c>
      <c r="O233" s="7">
        <f t="shared" si="92"/>
        <v>0</v>
      </c>
      <c r="P233" s="21">
        <f t="shared" si="101"/>
        <v>43237</v>
      </c>
      <c r="Q233" s="22">
        <f>VLOOKUP(R233,Referencias!$D$1:$E$13,2,0)</f>
        <v>5</v>
      </c>
      <c r="R233" s="7" t="str">
        <f t="shared" si="102"/>
        <v>MAI</v>
      </c>
      <c r="S233" s="7">
        <f t="shared" si="93"/>
        <v>0</v>
      </c>
      <c r="T233" s="11">
        <f t="shared" si="103"/>
        <v>17</v>
      </c>
      <c r="U233" s="11">
        <f t="shared" si="94"/>
        <v>0</v>
      </c>
      <c r="V233" s="11" t="str">
        <f>VLOOKUP(C233,Referencias!$A$2:$B$33,2,1)</f>
        <v>13 - 14</v>
      </c>
      <c r="W233" s="23" t="str">
        <f t="shared" si="107"/>
        <v/>
      </c>
      <c r="X233" s="11">
        <f t="shared" si="95"/>
        <v>0</v>
      </c>
      <c r="Y233" s="11">
        <f t="shared" si="104"/>
        <v>0</v>
      </c>
      <c r="Z233" s="24">
        <f t="shared" si="105"/>
        <v>0</v>
      </c>
      <c r="AA233" s="25">
        <f t="shared" si="106"/>
        <v>0</v>
      </c>
      <c r="AB233" s="24">
        <f t="shared" si="96"/>
        <v>0</v>
      </c>
      <c r="AC233" s="24">
        <f t="shared" si="97"/>
        <v>0</v>
      </c>
      <c r="AD233" s="24">
        <f t="shared" si="98"/>
        <v>0</v>
      </c>
      <c r="AE233" s="24">
        <f t="shared" si="99"/>
        <v>0</v>
      </c>
      <c r="AF233" s="119" t="str">
        <f>VLOOKUP(P233*1,Referencias!$G:$H,2,0)</f>
        <v>qui</v>
      </c>
      <c r="AZ233" s="11" t="s">
        <v>436</v>
      </c>
      <c r="BA233" s="29">
        <v>3.4722222222222224E-2</v>
      </c>
      <c r="BB233" s="30">
        <v>4.74</v>
      </c>
      <c r="BC233" s="30">
        <v>5.73</v>
      </c>
      <c r="BD233" s="31">
        <v>1</v>
      </c>
      <c r="BF233"/>
      <c r="BG233"/>
      <c r="BH233"/>
      <c r="BI233"/>
      <c r="BS233" s="10"/>
    </row>
    <row r="234" spans="1:71" ht="14.4" x14ac:dyDescent="0.3">
      <c r="A234" s="83"/>
      <c r="B234" s="83"/>
      <c r="C234" s="83"/>
      <c r="D234" s="83"/>
      <c r="E234" s="83"/>
      <c r="F234" s="83"/>
      <c r="G234" s="83"/>
      <c r="H234" s="83"/>
      <c r="I234" s="83"/>
      <c r="J234" s="7"/>
      <c r="K234" s="7"/>
      <c r="L234" s="7"/>
      <c r="M234" s="7"/>
      <c r="N234" s="7" t="str">
        <f t="shared" si="100"/>
        <v>#LIGRWNLZS </v>
      </c>
      <c r="O234" s="7">
        <f t="shared" si="92"/>
        <v>0</v>
      </c>
      <c r="P234" s="21">
        <f t="shared" si="101"/>
        <v>43237</v>
      </c>
      <c r="Q234" s="22">
        <f>VLOOKUP(R234,Referencias!$D$1:$E$13,2,0)</f>
        <v>5</v>
      </c>
      <c r="R234" s="7" t="str">
        <f t="shared" si="102"/>
        <v>MAI</v>
      </c>
      <c r="S234" s="7">
        <f t="shared" si="93"/>
        <v>0</v>
      </c>
      <c r="T234" s="11">
        <f t="shared" si="103"/>
        <v>17</v>
      </c>
      <c r="U234" s="11">
        <f t="shared" si="94"/>
        <v>0</v>
      </c>
      <c r="V234" s="11" t="e">
        <f>VLOOKUP(C234,Referencias!$A$2:$B$33,2,1)</f>
        <v>#N/A</v>
      </c>
      <c r="W234" s="23" t="str">
        <f t="shared" si="107"/>
        <v/>
      </c>
      <c r="X234" s="11">
        <f t="shared" si="95"/>
        <v>0</v>
      </c>
      <c r="Y234" s="11">
        <f t="shared" si="104"/>
        <v>0</v>
      </c>
      <c r="Z234" s="24">
        <f t="shared" si="105"/>
        <v>0</v>
      </c>
      <c r="AA234" s="25">
        <f t="shared" si="106"/>
        <v>0</v>
      </c>
      <c r="AB234" s="24">
        <f t="shared" si="96"/>
        <v>0</v>
      </c>
      <c r="AC234" s="24">
        <f t="shared" si="97"/>
        <v>0</v>
      </c>
      <c r="AD234" s="24">
        <f t="shared" si="98"/>
        <v>0</v>
      </c>
      <c r="AE234" s="24">
        <f t="shared" si="99"/>
        <v>0</v>
      </c>
      <c r="AF234" s="119" t="str">
        <f>VLOOKUP(P234*1,Referencias!$G:$H,2,0)</f>
        <v>qui</v>
      </c>
      <c r="AZ234" s="11" t="s">
        <v>433</v>
      </c>
      <c r="BA234" s="29">
        <v>2.4305555555555556E-2</v>
      </c>
      <c r="BB234" s="30">
        <v>3.68</v>
      </c>
      <c r="BC234" s="30">
        <v>6.23</v>
      </c>
      <c r="BD234" s="31">
        <v>1</v>
      </c>
      <c r="BF234"/>
      <c r="BG234"/>
      <c r="BH234"/>
      <c r="BI234"/>
      <c r="BS234" s="10"/>
    </row>
    <row r="235" spans="1:71" ht="14.4" x14ac:dyDescent="0.3">
      <c r="A235" s="76"/>
      <c r="B235" s="76"/>
      <c r="C235" s="76"/>
      <c r="D235" s="76"/>
      <c r="E235" s="76"/>
      <c r="F235" s="76"/>
      <c r="G235" s="76"/>
      <c r="H235" s="76"/>
      <c r="I235" s="76"/>
      <c r="J235" s="7"/>
      <c r="K235" s="7"/>
      <c r="L235" s="7"/>
      <c r="M235" s="7"/>
      <c r="N235" s="7" t="str">
        <f t="shared" si="100"/>
        <v>#LIGRWNLZS </v>
      </c>
      <c r="O235" s="7">
        <f t="shared" si="92"/>
        <v>0</v>
      </c>
      <c r="P235" s="21">
        <f t="shared" si="101"/>
        <v>43237</v>
      </c>
      <c r="Q235" s="22">
        <f>VLOOKUP(R235,Referencias!$D$1:$E$13,2,0)</f>
        <v>5</v>
      </c>
      <c r="R235" s="7" t="str">
        <f t="shared" si="102"/>
        <v>MAI</v>
      </c>
      <c r="S235" s="7">
        <f t="shared" si="93"/>
        <v>0</v>
      </c>
      <c r="T235" s="11">
        <f t="shared" si="103"/>
        <v>17</v>
      </c>
      <c r="U235" s="11">
        <f t="shared" si="94"/>
        <v>0</v>
      </c>
      <c r="V235" s="11" t="e">
        <f>VLOOKUP(C235,Referencias!$A$2:$B$33,2,1)</f>
        <v>#N/A</v>
      </c>
      <c r="W235" s="23" t="str">
        <f t="shared" si="107"/>
        <v/>
      </c>
      <c r="X235" s="11">
        <f t="shared" si="95"/>
        <v>0</v>
      </c>
      <c r="Y235" s="11">
        <f t="shared" si="104"/>
        <v>0</v>
      </c>
      <c r="Z235" s="24">
        <f t="shared" si="105"/>
        <v>0</v>
      </c>
      <c r="AA235" s="25">
        <f t="shared" si="106"/>
        <v>0</v>
      </c>
      <c r="AB235" s="24">
        <f t="shared" si="96"/>
        <v>0</v>
      </c>
      <c r="AC235" s="24">
        <f t="shared" si="97"/>
        <v>0</v>
      </c>
      <c r="AD235" s="24">
        <f t="shared" si="98"/>
        <v>0</v>
      </c>
      <c r="AE235" s="24">
        <f t="shared" si="99"/>
        <v>0</v>
      </c>
      <c r="AF235" s="119" t="str">
        <f>VLOOKUP(P235*1,Referencias!$G:$H,2,0)</f>
        <v>qui</v>
      </c>
      <c r="AZ235" s="11" t="s">
        <v>434</v>
      </c>
      <c r="BA235" s="29">
        <v>3.2638888888888891E-2</v>
      </c>
      <c r="BB235" s="30">
        <v>2.78</v>
      </c>
      <c r="BC235" s="30">
        <v>3.68</v>
      </c>
      <c r="BD235" s="31">
        <v>1</v>
      </c>
      <c r="BF235"/>
      <c r="BG235"/>
      <c r="BH235"/>
      <c r="BI235"/>
      <c r="BS235" s="10"/>
    </row>
    <row r="236" spans="1:71" ht="14.4" x14ac:dyDescent="0.3">
      <c r="A236" s="77"/>
      <c r="B236" s="78" t="s">
        <v>124</v>
      </c>
      <c r="C236" s="79">
        <v>0.55833333333333335</v>
      </c>
      <c r="D236" s="80">
        <v>5.16</v>
      </c>
      <c r="E236" s="80" t="s">
        <v>36</v>
      </c>
      <c r="F236" s="80"/>
      <c r="G236" s="81">
        <v>3.3</v>
      </c>
      <c r="H236" s="82">
        <v>71.760000000000005</v>
      </c>
      <c r="I236" s="80"/>
      <c r="J236" s="37"/>
      <c r="K236" s="37"/>
      <c r="L236" s="37"/>
      <c r="M236" s="37"/>
      <c r="N236" s="7" t="str">
        <f t="shared" si="100"/>
        <v>#LI119141D </v>
      </c>
      <c r="O236" s="7" t="str">
        <f t="shared" si="92"/>
        <v>#LI119141D </v>
      </c>
      <c r="P236" s="21">
        <f t="shared" si="101"/>
        <v>43237</v>
      </c>
      <c r="Q236" s="22">
        <f>VLOOKUP(R236,Referencias!$D$1:$E$13,2,0)</f>
        <v>5</v>
      </c>
      <c r="R236" s="7" t="str">
        <f t="shared" si="102"/>
        <v>MAI</v>
      </c>
      <c r="S236" s="7">
        <f t="shared" si="93"/>
        <v>0</v>
      </c>
      <c r="T236" s="11">
        <f t="shared" si="103"/>
        <v>17</v>
      </c>
      <c r="U236" s="11">
        <f t="shared" si="94"/>
        <v>0</v>
      </c>
      <c r="V236" s="11" t="str">
        <f>VLOOKUP(C236,Referencias!$A$2:$B$33,2,1)</f>
        <v>13 - 14</v>
      </c>
      <c r="W236" s="23">
        <f t="shared" si="107"/>
        <v>3.0555555555555558E-2</v>
      </c>
      <c r="X236" s="11">
        <f t="shared" si="95"/>
        <v>5.16</v>
      </c>
      <c r="Y236" s="11">
        <f t="shared" si="104"/>
        <v>9.1122158362924175</v>
      </c>
      <c r="Z236" s="24">
        <f t="shared" si="105"/>
        <v>3.3</v>
      </c>
      <c r="AA236" s="25">
        <f t="shared" si="106"/>
        <v>4.5</v>
      </c>
      <c r="AB236" s="24">
        <f t="shared" si="96"/>
        <v>1</v>
      </c>
      <c r="AC236" s="24">
        <f t="shared" si="97"/>
        <v>2.1619891162363496</v>
      </c>
      <c r="AD236" s="24">
        <f t="shared" si="98"/>
        <v>2.6194134305998871</v>
      </c>
      <c r="AE236" s="24">
        <f t="shared" si="99"/>
        <v>3.1057175488422391</v>
      </c>
      <c r="AF236" s="119" t="str">
        <f>VLOOKUP(P236*1,Referencias!$G:$H,2,0)</f>
        <v>qui</v>
      </c>
      <c r="AZ236" s="118">
        <v>43258</v>
      </c>
      <c r="BA236" s="29">
        <v>0.33611111111111108</v>
      </c>
      <c r="BB236" s="30">
        <v>58.38000000000001</v>
      </c>
      <c r="BC236" s="30">
        <v>84.75</v>
      </c>
      <c r="BD236" s="31">
        <v>11</v>
      </c>
      <c r="BF236"/>
      <c r="BG236"/>
      <c r="BH236"/>
      <c r="BI236"/>
      <c r="BS236" s="10"/>
    </row>
    <row r="237" spans="1:71" ht="14.4" x14ac:dyDescent="0.3">
      <c r="A237" s="77"/>
      <c r="B237" s="78"/>
      <c r="C237" s="79">
        <v>0.58888888888888891</v>
      </c>
      <c r="D237" s="80"/>
      <c r="E237" s="80"/>
      <c r="F237" s="80"/>
      <c r="G237" s="81"/>
      <c r="H237" s="82"/>
      <c r="I237" s="80"/>
      <c r="J237" s="37"/>
      <c r="K237" s="37"/>
      <c r="L237" s="37"/>
      <c r="M237" s="37"/>
      <c r="N237" s="7" t="str">
        <f t="shared" si="100"/>
        <v>#LI119141D </v>
      </c>
      <c r="O237" s="7">
        <f t="shared" si="92"/>
        <v>0</v>
      </c>
      <c r="P237" s="21">
        <f t="shared" si="101"/>
        <v>43237</v>
      </c>
      <c r="Q237" s="22">
        <f>VLOOKUP(R237,Referencias!$D$1:$E$13,2,0)</f>
        <v>5</v>
      </c>
      <c r="R237" s="7" t="str">
        <f t="shared" si="102"/>
        <v>MAI</v>
      </c>
      <c r="S237" s="7">
        <f t="shared" si="93"/>
        <v>0</v>
      </c>
      <c r="T237" s="11">
        <f t="shared" si="103"/>
        <v>17</v>
      </c>
      <c r="U237" s="11">
        <f t="shared" si="94"/>
        <v>0</v>
      </c>
      <c r="V237" s="11" t="str">
        <f>VLOOKUP(C237,Referencias!$A$2:$B$33,2,1)</f>
        <v>14 - 15</v>
      </c>
      <c r="W237" s="23" t="str">
        <f t="shared" si="107"/>
        <v/>
      </c>
      <c r="X237" s="11">
        <f t="shared" si="95"/>
        <v>0</v>
      </c>
      <c r="Y237" s="11">
        <f t="shared" si="104"/>
        <v>0</v>
      </c>
      <c r="Z237" s="24">
        <f t="shared" si="105"/>
        <v>0</v>
      </c>
      <c r="AA237" s="25">
        <f t="shared" si="106"/>
        <v>0</v>
      </c>
      <c r="AB237" s="24">
        <f t="shared" si="96"/>
        <v>0</v>
      </c>
      <c r="AC237" s="24">
        <f t="shared" si="97"/>
        <v>0</v>
      </c>
      <c r="AD237" s="24">
        <f t="shared" si="98"/>
        <v>0</v>
      </c>
      <c r="AE237" s="24">
        <f t="shared" si="99"/>
        <v>0</v>
      </c>
      <c r="AF237" s="119" t="str">
        <f>VLOOKUP(P237*1,Referencias!$G:$H,2,0)</f>
        <v>qui</v>
      </c>
      <c r="AZ237" s="11" t="s">
        <v>442</v>
      </c>
      <c r="BA237" s="29">
        <v>1.5972222222222224E-2</v>
      </c>
      <c r="BB237" s="30">
        <v>4.08</v>
      </c>
      <c r="BC237" s="30">
        <v>4.7</v>
      </c>
      <c r="BD237" s="31">
        <v>1</v>
      </c>
      <c r="BF237"/>
      <c r="BG237"/>
      <c r="BH237"/>
      <c r="BI237"/>
      <c r="BS237" s="10"/>
    </row>
    <row r="238" spans="1:71" ht="14.4" x14ac:dyDescent="0.3">
      <c r="A238" s="83"/>
      <c r="B238" s="83"/>
      <c r="C238" s="83"/>
      <c r="D238" s="83"/>
      <c r="E238" s="83"/>
      <c r="F238" s="83"/>
      <c r="G238" s="83"/>
      <c r="H238" s="83"/>
      <c r="I238" s="83"/>
      <c r="J238" s="7"/>
      <c r="K238" s="7"/>
      <c r="L238" s="7"/>
      <c r="M238" s="7"/>
      <c r="N238" s="7" t="str">
        <f t="shared" si="100"/>
        <v>#LI119141D </v>
      </c>
      <c r="O238" s="7">
        <f t="shared" si="92"/>
        <v>0</v>
      </c>
      <c r="P238" s="21">
        <f t="shared" si="101"/>
        <v>43237</v>
      </c>
      <c r="Q238" s="22">
        <f>VLOOKUP(R238,Referencias!$D$1:$E$13,2,0)</f>
        <v>5</v>
      </c>
      <c r="R238" s="7" t="str">
        <f t="shared" si="102"/>
        <v>MAI</v>
      </c>
      <c r="S238" s="7">
        <f t="shared" si="93"/>
        <v>0</v>
      </c>
      <c r="T238" s="11">
        <f t="shared" si="103"/>
        <v>17</v>
      </c>
      <c r="U238" s="11">
        <f t="shared" si="94"/>
        <v>0</v>
      </c>
      <c r="V238" s="11" t="e">
        <f>VLOOKUP(C238,Referencias!$A$2:$B$33,2,1)</f>
        <v>#N/A</v>
      </c>
      <c r="W238" s="23" t="str">
        <f t="shared" si="107"/>
        <v/>
      </c>
      <c r="X238" s="11">
        <f t="shared" si="95"/>
        <v>0</v>
      </c>
      <c r="Y238" s="11">
        <f t="shared" si="104"/>
        <v>0</v>
      </c>
      <c r="Z238" s="24">
        <f t="shared" si="105"/>
        <v>0</v>
      </c>
      <c r="AA238" s="25">
        <f t="shared" si="106"/>
        <v>0</v>
      </c>
      <c r="AB238" s="24">
        <f t="shared" si="96"/>
        <v>0</v>
      </c>
      <c r="AC238" s="24">
        <f t="shared" si="97"/>
        <v>0</v>
      </c>
      <c r="AD238" s="24">
        <f t="shared" si="98"/>
        <v>0</v>
      </c>
      <c r="AE238" s="24">
        <f t="shared" si="99"/>
        <v>0</v>
      </c>
      <c r="AF238" s="119" t="str">
        <f>VLOOKUP(P238*1,Referencias!$G:$H,2,0)</f>
        <v>qui</v>
      </c>
      <c r="AZ238" s="11" t="s">
        <v>446</v>
      </c>
      <c r="BA238" s="29">
        <v>2.4999999999999998E-2</v>
      </c>
      <c r="BB238" s="30">
        <v>4.2300000000000004</v>
      </c>
      <c r="BC238" s="30">
        <v>2.82</v>
      </c>
      <c r="BD238" s="31">
        <v>1</v>
      </c>
      <c r="BF238"/>
      <c r="BG238"/>
      <c r="BH238"/>
      <c r="BI238"/>
      <c r="BS238" s="10"/>
    </row>
    <row r="239" spans="1:71" ht="14.4" x14ac:dyDescent="0.3">
      <c r="A239" s="76"/>
      <c r="B239" s="76"/>
      <c r="C239" s="76"/>
      <c r="D239" s="76"/>
      <c r="E239" s="76"/>
      <c r="F239" s="76"/>
      <c r="G239" s="76"/>
      <c r="H239" s="76"/>
      <c r="I239" s="76"/>
      <c r="J239" s="7"/>
      <c r="K239" s="7"/>
      <c r="L239" s="7"/>
      <c r="M239" s="7"/>
      <c r="N239" s="7" t="str">
        <f t="shared" si="100"/>
        <v>#LI119141D </v>
      </c>
      <c r="O239" s="7">
        <f t="shared" si="92"/>
        <v>0</v>
      </c>
      <c r="P239" s="21">
        <f t="shared" si="101"/>
        <v>43237</v>
      </c>
      <c r="Q239" s="22">
        <f>VLOOKUP(R239,Referencias!$D$1:$E$13,2,0)</f>
        <v>5</v>
      </c>
      <c r="R239" s="7" t="str">
        <f t="shared" si="102"/>
        <v>MAI</v>
      </c>
      <c r="S239" s="7">
        <f t="shared" si="93"/>
        <v>0</v>
      </c>
      <c r="T239" s="11">
        <f t="shared" si="103"/>
        <v>17</v>
      </c>
      <c r="U239" s="11">
        <f t="shared" si="94"/>
        <v>0</v>
      </c>
      <c r="V239" s="11" t="e">
        <f>VLOOKUP(C239,Referencias!$A$2:$B$33,2,1)</f>
        <v>#N/A</v>
      </c>
      <c r="W239" s="23" t="str">
        <f t="shared" si="107"/>
        <v/>
      </c>
      <c r="X239" s="11">
        <f t="shared" si="95"/>
        <v>0</v>
      </c>
      <c r="Y239" s="11">
        <f t="shared" si="104"/>
        <v>0</v>
      </c>
      <c r="Z239" s="24">
        <f t="shared" si="105"/>
        <v>0</v>
      </c>
      <c r="AA239" s="25">
        <f t="shared" si="106"/>
        <v>0</v>
      </c>
      <c r="AB239" s="24">
        <f t="shared" si="96"/>
        <v>0</v>
      </c>
      <c r="AC239" s="24">
        <f t="shared" si="97"/>
        <v>0</v>
      </c>
      <c r="AD239" s="24">
        <f t="shared" si="98"/>
        <v>0</v>
      </c>
      <c r="AE239" s="24">
        <f t="shared" si="99"/>
        <v>0</v>
      </c>
      <c r="AF239" s="119" t="str">
        <f>VLOOKUP(P239*1,Referencias!$G:$H,2,0)</f>
        <v>qui</v>
      </c>
      <c r="AZ239" s="11" t="s">
        <v>451</v>
      </c>
      <c r="BA239" s="29">
        <v>6.9444444444444441E-3</v>
      </c>
      <c r="BB239" s="30">
        <v>4.34</v>
      </c>
      <c r="BC239" s="30">
        <v>5.27</v>
      </c>
      <c r="BD239" s="31">
        <v>1</v>
      </c>
      <c r="BF239"/>
      <c r="BG239"/>
      <c r="BH239"/>
      <c r="BI239"/>
      <c r="BS239" s="10"/>
    </row>
    <row r="240" spans="1:71" ht="14.4" x14ac:dyDescent="0.3">
      <c r="A240" s="77"/>
      <c r="B240" s="78" t="s">
        <v>125</v>
      </c>
      <c r="C240" s="79">
        <v>0.59166666666666667</v>
      </c>
      <c r="D240" s="80">
        <v>4.3899999999999997</v>
      </c>
      <c r="E240" s="80" t="s">
        <v>89</v>
      </c>
      <c r="F240" s="80"/>
      <c r="G240" s="81">
        <v>4.05</v>
      </c>
      <c r="H240" s="82">
        <v>75.81</v>
      </c>
      <c r="I240" s="80"/>
      <c r="J240" s="37"/>
      <c r="K240" s="37"/>
      <c r="L240" s="37"/>
      <c r="M240" s="37"/>
      <c r="N240" s="7" t="str">
        <f t="shared" si="100"/>
        <v>#LI2Z7ZAQ1 </v>
      </c>
      <c r="O240" s="7" t="str">
        <f t="shared" si="92"/>
        <v>#LI2Z7ZAQ1 </v>
      </c>
      <c r="P240" s="21">
        <f t="shared" si="101"/>
        <v>43237</v>
      </c>
      <c r="Q240" s="22">
        <f>VLOOKUP(R240,Referencias!$D$1:$E$13,2,0)</f>
        <v>5</v>
      </c>
      <c r="R240" s="7" t="str">
        <f t="shared" si="102"/>
        <v>MAI</v>
      </c>
      <c r="S240" s="7">
        <f t="shared" si="93"/>
        <v>0</v>
      </c>
      <c r="T240" s="11">
        <f t="shared" si="103"/>
        <v>17</v>
      </c>
      <c r="U240" s="11">
        <f t="shared" si="94"/>
        <v>0</v>
      </c>
      <c r="V240" s="11" t="str">
        <f>VLOOKUP(C240,Referencias!$A$2:$B$33,2,1)</f>
        <v>14 - 15</v>
      </c>
      <c r="W240" s="23">
        <f t="shared" si="107"/>
        <v>3.8888888888888862E-2</v>
      </c>
      <c r="X240" s="11">
        <f t="shared" si="95"/>
        <v>4.3899999999999997</v>
      </c>
      <c r="Y240" s="11">
        <f t="shared" si="104"/>
        <v>7.7524471940549828</v>
      </c>
      <c r="Z240" s="24">
        <f t="shared" si="105"/>
        <v>4.05</v>
      </c>
      <c r="AA240" s="25">
        <f t="shared" si="106"/>
        <v>4.3392857142857171</v>
      </c>
      <c r="AB240" s="24">
        <f t="shared" si="96"/>
        <v>1</v>
      </c>
      <c r="AC240" s="24">
        <f t="shared" si="97"/>
        <v>2.6533502790173382</v>
      </c>
      <c r="AD240" s="24">
        <f t="shared" si="98"/>
        <v>3.2147346648271342</v>
      </c>
      <c r="AE240" s="24">
        <f t="shared" si="99"/>
        <v>3.8115624463063842</v>
      </c>
      <c r="AF240" s="119" t="str">
        <f>VLOOKUP(P240*1,Referencias!$G:$H,2,0)</f>
        <v>qui</v>
      </c>
      <c r="AZ240" s="11" t="s">
        <v>443</v>
      </c>
      <c r="BA240" s="29">
        <v>3.0555555555555555E-2</v>
      </c>
      <c r="BB240" s="30">
        <v>4.6500000000000004</v>
      </c>
      <c r="BC240" s="30">
        <v>5.92</v>
      </c>
      <c r="BD240" s="31">
        <v>1</v>
      </c>
      <c r="BF240"/>
      <c r="BG240"/>
      <c r="BH240"/>
      <c r="BI240"/>
      <c r="BS240" s="10"/>
    </row>
    <row r="241" spans="1:71" ht="14.4" x14ac:dyDescent="0.3">
      <c r="A241" s="77"/>
      <c r="B241" s="78"/>
      <c r="C241" s="79">
        <v>0.63055555555555554</v>
      </c>
      <c r="D241" s="80"/>
      <c r="E241" s="80"/>
      <c r="F241" s="80"/>
      <c r="G241" s="81"/>
      <c r="H241" s="82"/>
      <c r="I241" s="80"/>
      <c r="J241" s="37"/>
      <c r="K241" s="37"/>
      <c r="L241" s="37"/>
      <c r="M241" s="37"/>
      <c r="N241" s="7" t="str">
        <f t="shared" si="100"/>
        <v>#LI2Z7ZAQ1 </v>
      </c>
      <c r="O241" s="7">
        <f t="shared" si="92"/>
        <v>0</v>
      </c>
      <c r="P241" s="21">
        <f t="shared" si="101"/>
        <v>43237</v>
      </c>
      <c r="Q241" s="22">
        <f>VLOOKUP(R241,Referencias!$D$1:$E$13,2,0)</f>
        <v>5</v>
      </c>
      <c r="R241" s="7" t="str">
        <f t="shared" si="102"/>
        <v>MAI</v>
      </c>
      <c r="S241" s="7">
        <f t="shared" si="93"/>
        <v>0</v>
      </c>
      <c r="T241" s="11">
        <f t="shared" si="103"/>
        <v>17</v>
      </c>
      <c r="U241" s="11">
        <f t="shared" si="94"/>
        <v>0</v>
      </c>
      <c r="V241" s="11" t="str">
        <f>VLOOKUP(C241,Referencias!$A$2:$B$33,2,1)</f>
        <v>15 - 16</v>
      </c>
      <c r="W241" s="23" t="str">
        <f t="shared" si="107"/>
        <v/>
      </c>
      <c r="X241" s="11">
        <f t="shared" si="95"/>
        <v>0</v>
      </c>
      <c r="Y241" s="11">
        <f t="shared" si="104"/>
        <v>0</v>
      </c>
      <c r="Z241" s="24">
        <f t="shared" si="105"/>
        <v>0</v>
      </c>
      <c r="AA241" s="25">
        <f t="shared" si="106"/>
        <v>0</v>
      </c>
      <c r="AB241" s="24">
        <f t="shared" si="96"/>
        <v>0</v>
      </c>
      <c r="AC241" s="24">
        <f t="shared" si="97"/>
        <v>0</v>
      </c>
      <c r="AD241" s="24">
        <f t="shared" si="98"/>
        <v>0</v>
      </c>
      <c r="AE241" s="24">
        <f t="shared" si="99"/>
        <v>0</v>
      </c>
      <c r="AF241" s="119" t="str">
        <f>VLOOKUP(P241*1,Referencias!$G:$H,2,0)</f>
        <v>qui</v>
      </c>
      <c r="AZ241" s="11" t="s">
        <v>444</v>
      </c>
      <c r="BA241" s="29">
        <v>1.9444444444444445E-2</v>
      </c>
      <c r="BB241" s="30">
        <v>7.21</v>
      </c>
      <c r="BC241" s="30">
        <v>11.59</v>
      </c>
      <c r="BD241" s="31">
        <v>1</v>
      </c>
      <c r="BF241"/>
      <c r="BG241"/>
      <c r="BH241"/>
      <c r="BI241"/>
      <c r="BS241" s="10"/>
    </row>
    <row r="242" spans="1:71" ht="14.4" x14ac:dyDescent="0.3">
      <c r="A242" s="83"/>
      <c r="B242" s="83"/>
      <c r="C242" s="83"/>
      <c r="D242" s="83"/>
      <c r="E242" s="83"/>
      <c r="F242" s="83"/>
      <c r="G242" s="83"/>
      <c r="H242" s="83"/>
      <c r="I242" s="83"/>
      <c r="J242" s="7"/>
      <c r="K242" s="7"/>
      <c r="L242" s="7"/>
      <c r="M242" s="7"/>
      <c r="N242" s="7" t="str">
        <f t="shared" si="100"/>
        <v>#LI2Z7ZAQ1 </v>
      </c>
      <c r="O242" s="7">
        <f t="shared" si="92"/>
        <v>0</v>
      </c>
      <c r="P242" s="21">
        <f t="shared" si="101"/>
        <v>43237</v>
      </c>
      <c r="Q242" s="22">
        <f>VLOOKUP(R242,Referencias!$D$1:$E$13,2,0)</f>
        <v>5</v>
      </c>
      <c r="R242" s="7" t="str">
        <f t="shared" si="102"/>
        <v>MAI</v>
      </c>
      <c r="S242" s="7">
        <f t="shared" si="93"/>
        <v>0</v>
      </c>
      <c r="T242" s="11">
        <f t="shared" si="103"/>
        <v>17</v>
      </c>
      <c r="U242" s="11">
        <f t="shared" si="94"/>
        <v>0</v>
      </c>
      <c r="V242" s="11" t="e">
        <f>VLOOKUP(C242,Referencias!$A$2:$B$33,2,1)</f>
        <v>#N/A</v>
      </c>
      <c r="W242" s="23" t="str">
        <f t="shared" si="107"/>
        <v/>
      </c>
      <c r="X242" s="11">
        <f t="shared" si="95"/>
        <v>0</v>
      </c>
      <c r="Y242" s="11">
        <f t="shared" si="104"/>
        <v>0</v>
      </c>
      <c r="Z242" s="24">
        <f t="shared" si="105"/>
        <v>0</v>
      </c>
      <c r="AA242" s="25">
        <f t="shared" si="106"/>
        <v>0</v>
      </c>
      <c r="AB242" s="24">
        <f t="shared" si="96"/>
        <v>0</v>
      </c>
      <c r="AC242" s="24">
        <f t="shared" si="97"/>
        <v>0</v>
      </c>
      <c r="AD242" s="24">
        <f t="shared" si="98"/>
        <v>0</v>
      </c>
      <c r="AE242" s="24">
        <f t="shared" si="99"/>
        <v>0</v>
      </c>
      <c r="AF242" s="119" t="str">
        <f>VLOOKUP(P242*1,Referencias!$G:$H,2,0)</f>
        <v>qui</v>
      </c>
      <c r="AZ242" s="11" t="s">
        <v>449</v>
      </c>
      <c r="BA242" s="29">
        <v>1.1805555555555555E-2</v>
      </c>
      <c r="BB242" s="30">
        <v>4.6500000000000004</v>
      </c>
      <c r="BC242" s="30">
        <v>5.62</v>
      </c>
      <c r="BD242" s="31">
        <v>1</v>
      </c>
      <c r="BF242"/>
      <c r="BG242"/>
      <c r="BH242"/>
      <c r="BI242"/>
      <c r="BS242" s="10"/>
    </row>
    <row r="243" spans="1:71" ht="14.4" x14ac:dyDescent="0.3">
      <c r="A243" s="76"/>
      <c r="B243" s="76"/>
      <c r="C243" s="76"/>
      <c r="D243" s="76"/>
      <c r="E243" s="76"/>
      <c r="F243" s="76"/>
      <c r="G243" s="76"/>
      <c r="H243" s="76"/>
      <c r="I243" s="76"/>
      <c r="J243" s="7"/>
      <c r="K243" s="7"/>
      <c r="L243" s="7"/>
      <c r="M243" s="7"/>
      <c r="N243" s="7" t="str">
        <f t="shared" si="100"/>
        <v>#LI2Z7ZAQ1 </v>
      </c>
      <c r="O243" s="7">
        <f t="shared" si="92"/>
        <v>0</v>
      </c>
      <c r="P243" s="21">
        <f t="shared" si="101"/>
        <v>43237</v>
      </c>
      <c r="Q243" s="22">
        <f>VLOOKUP(R243,Referencias!$D$1:$E$13,2,0)</f>
        <v>5</v>
      </c>
      <c r="R243" s="7" t="str">
        <f t="shared" si="102"/>
        <v>MAI</v>
      </c>
      <c r="S243" s="7">
        <f t="shared" si="93"/>
        <v>0</v>
      </c>
      <c r="T243" s="11">
        <f t="shared" si="103"/>
        <v>17</v>
      </c>
      <c r="U243" s="11">
        <f t="shared" si="94"/>
        <v>0</v>
      </c>
      <c r="V243" s="11" t="e">
        <f>VLOOKUP(C243,Referencias!$A$2:$B$33,2,1)</f>
        <v>#N/A</v>
      </c>
      <c r="W243" s="23" t="str">
        <f t="shared" si="107"/>
        <v/>
      </c>
      <c r="X243" s="11">
        <f t="shared" si="95"/>
        <v>0</v>
      </c>
      <c r="Y243" s="11">
        <f t="shared" si="104"/>
        <v>0</v>
      </c>
      <c r="Z243" s="24">
        <f t="shared" si="105"/>
        <v>0</v>
      </c>
      <c r="AA243" s="25">
        <f t="shared" si="106"/>
        <v>0</v>
      </c>
      <c r="AB243" s="24">
        <f t="shared" si="96"/>
        <v>0</v>
      </c>
      <c r="AC243" s="24">
        <f t="shared" si="97"/>
        <v>0</v>
      </c>
      <c r="AD243" s="24">
        <f t="shared" si="98"/>
        <v>0</v>
      </c>
      <c r="AE243" s="24">
        <f t="shared" si="99"/>
        <v>0</v>
      </c>
      <c r="AF243" s="119" t="str">
        <f>VLOOKUP(P243*1,Referencias!$G:$H,2,0)</f>
        <v>qui</v>
      </c>
      <c r="AZ243" s="11" t="s">
        <v>447</v>
      </c>
      <c r="BA243" s="29">
        <v>3.7499999999999999E-2</v>
      </c>
      <c r="BB243" s="30">
        <v>9.7799999999999994</v>
      </c>
      <c r="BC243" s="30">
        <v>13.01</v>
      </c>
      <c r="BD243" s="31">
        <v>1</v>
      </c>
      <c r="BF243"/>
      <c r="BG243"/>
      <c r="BH243"/>
      <c r="BI243"/>
      <c r="BS243" s="10"/>
    </row>
    <row r="244" spans="1:71" ht="14.4" x14ac:dyDescent="0.3">
      <c r="A244" s="77"/>
      <c r="B244" s="78" t="s">
        <v>126</v>
      </c>
      <c r="C244" s="79">
        <v>0.82152777777777775</v>
      </c>
      <c r="D244" s="80">
        <v>9.57</v>
      </c>
      <c r="E244" s="80" t="s">
        <v>48</v>
      </c>
      <c r="F244" s="80"/>
      <c r="G244" s="81">
        <v>4.93</v>
      </c>
      <c r="H244" s="82">
        <v>80.739999999999995</v>
      </c>
      <c r="I244" s="80"/>
      <c r="J244" s="37"/>
      <c r="K244" s="37"/>
      <c r="L244" s="37"/>
      <c r="M244" s="37"/>
      <c r="N244" s="7" t="str">
        <f t="shared" si="100"/>
        <v>#LIAKK1XN1 </v>
      </c>
      <c r="O244" s="7" t="str">
        <f t="shared" si="92"/>
        <v>#LIAKK1XN1 </v>
      </c>
      <c r="P244" s="21">
        <f t="shared" si="101"/>
        <v>43237</v>
      </c>
      <c r="Q244" s="22">
        <f>VLOOKUP(R244,Referencias!$D$1:$E$13,2,0)</f>
        <v>5</v>
      </c>
      <c r="R244" s="7" t="str">
        <f t="shared" si="102"/>
        <v>MAI</v>
      </c>
      <c r="S244" s="7">
        <f t="shared" si="93"/>
        <v>0</v>
      </c>
      <c r="T244" s="11">
        <f t="shared" si="103"/>
        <v>17</v>
      </c>
      <c r="U244" s="11">
        <f t="shared" si="94"/>
        <v>0</v>
      </c>
      <c r="V244" s="11" t="str">
        <f>VLOOKUP(C244,Referencias!$A$2:$B$33,2,1)</f>
        <v>19 - 20</v>
      </c>
      <c r="W244" s="23">
        <f t="shared" si="107"/>
        <v>2.5694444444444464E-2</v>
      </c>
      <c r="X244" s="11">
        <f t="shared" si="95"/>
        <v>9.57</v>
      </c>
      <c r="Y244" s="11">
        <f t="shared" si="104"/>
        <v>16.899981696379545</v>
      </c>
      <c r="Z244" s="24">
        <f t="shared" si="105"/>
        <v>4.93</v>
      </c>
      <c r="AA244" s="25">
        <f t="shared" si="106"/>
        <v>7.994594594594588</v>
      </c>
      <c r="AB244" s="24">
        <f t="shared" si="96"/>
        <v>1</v>
      </c>
      <c r="AC244" s="24">
        <f t="shared" si="97"/>
        <v>3.2298807100136981</v>
      </c>
      <c r="AD244" s="24">
        <f t="shared" si="98"/>
        <v>3.9132449129871039</v>
      </c>
      <c r="AE244" s="24">
        <f t="shared" si="99"/>
        <v>4.6397537926643144</v>
      </c>
      <c r="AF244" s="119" t="str">
        <f>VLOOKUP(P244*1,Referencias!$G:$H,2,0)</f>
        <v>qui</v>
      </c>
      <c r="AZ244" s="11" t="s">
        <v>450</v>
      </c>
      <c r="BA244" s="29">
        <v>5.6250000000000001E-2</v>
      </c>
      <c r="BB244" s="30">
        <v>1.95</v>
      </c>
      <c r="BC244" s="30">
        <v>13.89</v>
      </c>
      <c r="BD244" s="31">
        <v>1</v>
      </c>
      <c r="BF244"/>
      <c r="BG244"/>
      <c r="BH244"/>
      <c r="BI244"/>
      <c r="BS244" s="10"/>
    </row>
    <row r="245" spans="1:71" ht="14.4" x14ac:dyDescent="0.3">
      <c r="A245" s="77"/>
      <c r="B245" s="78"/>
      <c r="C245" s="79">
        <v>0.84722222222222221</v>
      </c>
      <c r="D245" s="80"/>
      <c r="E245" s="80"/>
      <c r="F245" s="80"/>
      <c r="G245" s="81"/>
      <c r="H245" s="82"/>
      <c r="I245" s="80"/>
      <c r="J245" s="37"/>
      <c r="K245" s="37"/>
      <c r="L245" s="37"/>
      <c r="M245" s="37"/>
      <c r="N245" s="7" t="str">
        <f t="shared" si="100"/>
        <v>#LIAKK1XN1 </v>
      </c>
      <c r="O245" s="7">
        <f t="shared" si="92"/>
        <v>0</v>
      </c>
      <c r="P245" s="21">
        <f t="shared" si="101"/>
        <v>43237</v>
      </c>
      <c r="Q245" s="22">
        <f>VLOOKUP(R245,Referencias!$D$1:$E$13,2,0)</f>
        <v>5</v>
      </c>
      <c r="R245" s="7" t="str">
        <f t="shared" si="102"/>
        <v>MAI</v>
      </c>
      <c r="S245" s="7">
        <f t="shared" si="93"/>
        <v>0</v>
      </c>
      <c r="T245" s="11">
        <f t="shared" si="103"/>
        <v>17</v>
      </c>
      <c r="U245" s="11">
        <f t="shared" si="94"/>
        <v>0</v>
      </c>
      <c r="V245" s="11" t="str">
        <f>VLOOKUP(C245,Referencias!$A$2:$B$33,2,1)</f>
        <v>20 - 21</v>
      </c>
      <c r="W245" s="23" t="str">
        <f t="shared" si="107"/>
        <v/>
      </c>
      <c r="X245" s="11">
        <f t="shared" si="95"/>
        <v>0</v>
      </c>
      <c r="Y245" s="11">
        <f t="shared" si="104"/>
        <v>0</v>
      </c>
      <c r="Z245" s="24">
        <f t="shared" si="105"/>
        <v>0</v>
      </c>
      <c r="AA245" s="25">
        <f t="shared" si="106"/>
        <v>0</v>
      </c>
      <c r="AB245" s="24">
        <f t="shared" si="96"/>
        <v>0</v>
      </c>
      <c r="AC245" s="24">
        <f t="shared" si="97"/>
        <v>0</v>
      </c>
      <c r="AD245" s="24">
        <f t="shared" si="98"/>
        <v>0</v>
      </c>
      <c r="AE245" s="24">
        <f t="shared" si="99"/>
        <v>0</v>
      </c>
      <c r="AF245" s="119" t="str">
        <f>VLOOKUP(P245*1,Referencias!$G:$H,2,0)</f>
        <v>qui</v>
      </c>
      <c r="AZ245" s="11" t="s">
        <v>448</v>
      </c>
      <c r="BA245" s="29">
        <v>0</v>
      </c>
      <c r="BB245" s="30">
        <v>6.36</v>
      </c>
      <c r="BC245" s="30">
        <v>6.22</v>
      </c>
      <c r="BD245" s="31">
        <v>1</v>
      </c>
      <c r="BF245"/>
      <c r="BG245"/>
      <c r="BH245"/>
      <c r="BI245"/>
      <c r="BS245" s="10"/>
    </row>
    <row r="246" spans="1:71" ht="14.4" x14ac:dyDescent="0.3">
      <c r="A246" s="83"/>
      <c r="B246" s="83"/>
      <c r="C246" s="83"/>
      <c r="D246" s="83"/>
      <c r="E246" s="83"/>
      <c r="F246" s="83"/>
      <c r="G246" s="83"/>
      <c r="H246" s="83"/>
      <c r="I246" s="83"/>
      <c r="J246" s="7"/>
      <c r="K246" s="7"/>
      <c r="L246" s="7"/>
      <c r="M246" s="7"/>
      <c r="N246" s="7" t="str">
        <f t="shared" si="100"/>
        <v>#LIAKK1XN1 </v>
      </c>
      <c r="O246" s="7">
        <f t="shared" si="92"/>
        <v>0</v>
      </c>
      <c r="P246" s="21">
        <f t="shared" si="101"/>
        <v>43237</v>
      </c>
      <c r="Q246" s="22">
        <f>VLOOKUP(R246,Referencias!$D$1:$E$13,2,0)</f>
        <v>5</v>
      </c>
      <c r="R246" s="7" t="str">
        <f t="shared" si="102"/>
        <v>MAI</v>
      </c>
      <c r="S246" s="7">
        <f t="shared" si="93"/>
        <v>0</v>
      </c>
      <c r="T246" s="11">
        <f t="shared" si="103"/>
        <v>17</v>
      </c>
      <c r="U246" s="11">
        <f t="shared" si="94"/>
        <v>0</v>
      </c>
      <c r="V246" s="11" t="e">
        <f>VLOOKUP(C246,Referencias!$A$2:$B$33,2,1)</f>
        <v>#N/A</v>
      </c>
      <c r="W246" s="23" t="str">
        <f t="shared" si="107"/>
        <v/>
      </c>
      <c r="X246" s="11">
        <f t="shared" si="95"/>
        <v>0</v>
      </c>
      <c r="Y246" s="11">
        <f t="shared" si="104"/>
        <v>0</v>
      </c>
      <c r="Z246" s="24">
        <f t="shared" si="105"/>
        <v>0</v>
      </c>
      <c r="AA246" s="25">
        <f t="shared" si="106"/>
        <v>0</v>
      </c>
      <c r="AB246" s="24">
        <f t="shared" si="96"/>
        <v>0</v>
      </c>
      <c r="AC246" s="24">
        <f t="shared" si="97"/>
        <v>0</v>
      </c>
      <c r="AD246" s="24">
        <f t="shared" si="98"/>
        <v>0</v>
      </c>
      <c r="AE246" s="24">
        <f t="shared" si="99"/>
        <v>0</v>
      </c>
      <c r="AF246" s="119" t="str">
        <f>VLOOKUP(P246*1,Referencias!$G:$H,2,0)</f>
        <v>qui</v>
      </c>
      <c r="AZ246" s="11" t="s">
        <v>441</v>
      </c>
      <c r="BA246" s="29">
        <v>4.7916666666666663E-2</v>
      </c>
      <c r="BB246" s="30">
        <v>4.96</v>
      </c>
      <c r="BC246" s="30">
        <v>6.41</v>
      </c>
      <c r="BD246" s="31">
        <v>1</v>
      </c>
      <c r="BF246"/>
      <c r="BG246"/>
      <c r="BH246"/>
      <c r="BI246"/>
      <c r="BS246" s="10"/>
    </row>
    <row r="247" spans="1:71" ht="14.4" x14ac:dyDescent="0.3">
      <c r="A247" s="76"/>
      <c r="B247" s="76"/>
      <c r="C247" s="76"/>
      <c r="D247" s="76"/>
      <c r="E247" s="76"/>
      <c r="F247" s="76"/>
      <c r="G247" s="76"/>
      <c r="H247" s="76"/>
      <c r="I247" s="76"/>
      <c r="J247" s="7"/>
      <c r="K247" s="7"/>
      <c r="L247" s="7"/>
      <c r="M247" s="7"/>
      <c r="N247" s="7" t="str">
        <f t="shared" si="100"/>
        <v>#LIAKK1XN1 </v>
      </c>
      <c r="O247" s="7">
        <f t="shared" si="92"/>
        <v>0</v>
      </c>
      <c r="P247" s="21">
        <f t="shared" si="101"/>
        <v>43237</v>
      </c>
      <c r="Q247" s="22">
        <f>VLOOKUP(R247,Referencias!$D$1:$E$13,2,0)</f>
        <v>5</v>
      </c>
      <c r="R247" s="7" t="str">
        <f t="shared" si="102"/>
        <v>MAI</v>
      </c>
      <c r="S247" s="7">
        <f t="shared" si="93"/>
        <v>0</v>
      </c>
      <c r="T247" s="11">
        <f t="shared" si="103"/>
        <v>17</v>
      </c>
      <c r="U247" s="11">
        <f t="shared" si="94"/>
        <v>0</v>
      </c>
      <c r="V247" s="11" t="e">
        <f>VLOOKUP(C247,Referencias!$A$2:$B$33,2,1)</f>
        <v>#N/A</v>
      </c>
      <c r="W247" s="23" t="str">
        <f t="shared" si="107"/>
        <v/>
      </c>
      <c r="X247" s="11">
        <f t="shared" si="95"/>
        <v>0</v>
      </c>
      <c r="Y247" s="11">
        <f t="shared" si="104"/>
        <v>0</v>
      </c>
      <c r="Z247" s="24">
        <f t="shared" si="105"/>
        <v>0</v>
      </c>
      <c r="AA247" s="25">
        <f t="shared" si="106"/>
        <v>0</v>
      </c>
      <c r="AB247" s="24">
        <f t="shared" si="96"/>
        <v>0</v>
      </c>
      <c r="AC247" s="24">
        <f t="shared" si="97"/>
        <v>0</v>
      </c>
      <c r="AD247" s="24">
        <f t="shared" si="98"/>
        <v>0</v>
      </c>
      <c r="AE247" s="24">
        <f t="shared" si="99"/>
        <v>0</v>
      </c>
      <c r="AF247" s="119" t="str">
        <f>VLOOKUP(P247*1,Referencias!$G:$H,2,0)</f>
        <v>qui</v>
      </c>
      <c r="AZ247" s="11" t="s">
        <v>445</v>
      </c>
      <c r="BA247" s="29">
        <v>8.4722222222222213E-2</v>
      </c>
      <c r="BB247" s="30">
        <v>6.17</v>
      </c>
      <c r="BC247" s="30">
        <v>9.3000000000000007</v>
      </c>
      <c r="BD247" s="31">
        <v>1</v>
      </c>
      <c r="BF247"/>
      <c r="BG247"/>
      <c r="BH247"/>
      <c r="BI247"/>
      <c r="BS247" s="10"/>
    </row>
    <row r="248" spans="1:71" ht="14.4" x14ac:dyDescent="0.3">
      <c r="A248" s="77"/>
      <c r="B248" s="78" t="s">
        <v>127</v>
      </c>
      <c r="C248" s="79">
        <v>0.85763888888888884</v>
      </c>
      <c r="D248" s="80">
        <v>5.68</v>
      </c>
      <c r="E248" s="80" t="s">
        <v>48</v>
      </c>
      <c r="F248" s="80"/>
      <c r="G248" s="81">
        <v>3.6</v>
      </c>
      <c r="H248" s="82">
        <v>84.34</v>
      </c>
      <c r="I248" s="80"/>
      <c r="J248" s="37"/>
      <c r="K248" s="37"/>
      <c r="L248" s="37"/>
      <c r="M248" s="37"/>
      <c r="N248" s="7" t="str">
        <f t="shared" si="100"/>
        <v>#LIVQRUHEQ </v>
      </c>
      <c r="O248" s="7" t="str">
        <f t="shared" si="92"/>
        <v>#LIVQRUHEQ </v>
      </c>
      <c r="P248" s="21">
        <f t="shared" si="101"/>
        <v>43237</v>
      </c>
      <c r="Q248" s="22">
        <f>VLOOKUP(R248,Referencias!$D$1:$E$13,2,0)</f>
        <v>5</v>
      </c>
      <c r="R248" s="7" t="str">
        <f t="shared" si="102"/>
        <v>MAI</v>
      </c>
      <c r="S248" s="7">
        <f t="shared" si="93"/>
        <v>0</v>
      </c>
      <c r="T248" s="11">
        <f t="shared" si="103"/>
        <v>17</v>
      </c>
      <c r="U248" s="11">
        <f t="shared" si="94"/>
        <v>0</v>
      </c>
      <c r="V248" s="11" t="str">
        <f>VLOOKUP(C248,Referencias!$A$2:$B$33,2,1)</f>
        <v>20 - 21</v>
      </c>
      <c r="W248" s="23">
        <f t="shared" si="107"/>
        <v>2.777777777777779E-2</v>
      </c>
      <c r="X248" s="11">
        <f t="shared" si="95"/>
        <v>5.68</v>
      </c>
      <c r="Y248" s="11">
        <f t="shared" si="104"/>
        <v>10.030501153128087</v>
      </c>
      <c r="Z248" s="24">
        <f t="shared" si="105"/>
        <v>3.6</v>
      </c>
      <c r="AA248" s="25">
        <f t="shared" si="106"/>
        <v>5.3999999999999977</v>
      </c>
      <c r="AB248" s="24">
        <f t="shared" si="96"/>
        <v>1</v>
      </c>
      <c r="AC248" s="24">
        <f t="shared" si="97"/>
        <v>2.3585335813487451</v>
      </c>
      <c r="AD248" s="24">
        <f t="shared" si="98"/>
        <v>2.857541924290786</v>
      </c>
      <c r="AE248" s="24">
        <f t="shared" si="99"/>
        <v>3.3880555078278976</v>
      </c>
      <c r="AF248" s="119" t="str">
        <f>VLOOKUP(P248*1,Referencias!$G:$H,2,0)</f>
        <v>qui</v>
      </c>
      <c r="AZ248" s="118">
        <v>43259</v>
      </c>
      <c r="BA248" s="29">
        <v>0.12986111111111112</v>
      </c>
      <c r="BB248" s="30">
        <v>15.53</v>
      </c>
      <c r="BC248" s="30">
        <v>17.91</v>
      </c>
      <c r="BD248" s="31">
        <v>5</v>
      </c>
      <c r="BF248"/>
      <c r="BG248"/>
      <c r="BH248"/>
      <c r="BI248"/>
      <c r="BS248" s="10"/>
    </row>
    <row r="249" spans="1:71" ht="14.4" x14ac:dyDescent="0.3">
      <c r="A249" s="77"/>
      <c r="B249" s="78"/>
      <c r="C249" s="79">
        <v>0.88541666666666663</v>
      </c>
      <c r="D249" s="80"/>
      <c r="E249" s="80"/>
      <c r="F249" s="80"/>
      <c r="G249" s="81"/>
      <c r="H249" s="82"/>
      <c r="I249" s="80"/>
      <c r="J249" s="37"/>
      <c r="K249" s="37"/>
      <c r="L249" s="37"/>
      <c r="M249" s="37"/>
      <c r="N249" s="7" t="str">
        <f t="shared" si="100"/>
        <v>#LIVQRUHEQ </v>
      </c>
      <c r="O249" s="7">
        <f t="shared" si="92"/>
        <v>0</v>
      </c>
      <c r="P249" s="21">
        <f t="shared" si="101"/>
        <v>43237</v>
      </c>
      <c r="Q249" s="22">
        <f>VLOOKUP(R249,Referencias!$D$1:$E$13,2,0)</f>
        <v>5</v>
      </c>
      <c r="R249" s="7" t="str">
        <f t="shared" si="102"/>
        <v>MAI</v>
      </c>
      <c r="S249" s="7">
        <f t="shared" si="93"/>
        <v>0</v>
      </c>
      <c r="T249" s="11">
        <f t="shared" si="103"/>
        <v>17</v>
      </c>
      <c r="U249" s="11">
        <f t="shared" si="94"/>
        <v>0</v>
      </c>
      <c r="V249" s="11" t="str">
        <f>VLOOKUP(C249,Referencias!$A$2:$B$33,2,1)</f>
        <v>21 - 22</v>
      </c>
      <c r="W249" s="23" t="str">
        <f t="shared" si="107"/>
        <v/>
      </c>
      <c r="X249" s="11">
        <f t="shared" si="95"/>
        <v>0</v>
      </c>
      <c r="Y249" s="11">
        <f t="shared" si="104"/>
        <v>0</v>
      </c>
      <c r="Z249" s="24">
        <f t="shared" si="105"/>
        <v>0</v>
      </c>
      <c r="AA249" s="25">
        <f t="shared" si="106"/>
        <v>0</v>
      </c>
      <c r="AB249" s="24">
        <f t="shared" si="96"/>
        <v>0</v>
      </c>
      <c r="AC249" s="24">
        <f t="shared" si="97"/>
        <v>0</v>
      </c>
      <c r="AD249" s="24">
        <f t="shared" si="98"/>
        <v>0</v>
      </c>
      <c r="AE249" s="24">
        <f t="shared" si="99"/>
        <v>0</v>
      </c>
      <c r="AF249" s="119" t="str">
        <f>VLOOKUP(P249*1,Referencias!$G:$H,2,0)</f>
        <v>qui</v>
      </c>
      <c r="AZ249" s="11" t="s">
        <v>455</v>
      </c>
      <c r="BA249" s="29">
        <v>3.3333333333333333E-2</v>
      </c>
      <c r="BB249" s="30">
        <v>2.66</v>
      </c>
      <c r="BC249" s="30">
        <v>3.32</v>
      </c>
      <c r="BD249" s="31">
        <v>1</v>
      </c>
      <c r="BF249"/>
      <c r="BG249"/>
      <c r="BH249"/>
      <c r="BI249"/>
      <c r="BS249" s="10"/>
    </row>
    <row r="250" spans="1:71" ht="14.4" x14ac:dyDescent="0.3">
      <c r="A250" s="83"/>
      <c r="B250" s="83"/>
      <c r="C250" s="83"/>
      <c r="D250" s="83"/>
      <c r="E250" s="83"/>
      <c r="F250" s="83"/>
      <c r="G250" s="83"/>
      <c r="H250" s="83"/>
      <c r="I250" s="83"/>
      <c r="J250" s="7"/>
      <c r="K250" s="7"/>
      <c r="L250" s="7"/>
      <c r="M250" s="7"/>
      <c r="N250" s="7" t="str">
        <f t="shared" si="100"/>
        <v>#LIVQRUHEQ </v>
      </c>
      <c r="O250" s="7">
        <f t="shared" si="92"/>
        <v>0</v>
      </c>
      <c r="P250" s="21">
        <f t="shared" si="101"/>
        <v>43237</v>
      </c>
      <c r="Q250" s="22">
        <f>VLOOKUP(R250,Referencias!$D$1:$E$13,2,0)</f>
        <v>5</v>
      </c>
      <c r="R250" s="7" t="str">
        <f t="shared" si="102"/>
        <v>MAI</v>
      </c>
      <c r="S250" s="7">
        <f t="shared" si="93"/>
        <v>0</v>
      </c>
      <c r="T250" s="11">
        <f t="shared" si="103"/>
        <v>17</v>
      </c>
      <c r="U250" s="11">
        <f t="shared" si="94"/>
        <v>0</v>
      </c>
      <c r="V250" s="11" t="e">
        <f>VLOOKUP(C250,Referencias!$A$2:$B$33,2,1)</f>
        <v>#N/A</v>
      </c>
      <c r="W250" s="23" t="str">
        <f t="shared" si="107"/>
        <v/>
      </c>
      <c r="X250" s="11">
        <f t="shared" si="95"/>
        <v>0</v>
      </c>
      <c r="Y250" s="11">
        <f t="shared" si="104"/>
        <v>0</v>
      </c>
      <c r="Z250" s="24">
        <f t="shared" si="105"/>
        <v>0</v>
      </c>
      <c r="AA250" s="25">
        <f t="shared" si="106"/>
        <v>0</v>
      </c>
      <c r="AB250" s="24">
        <f t="shared" si="96"/>
        <v>0</v>
      </c>
      <c r="AC250" s="24">
        <f t="shared" si="97"/>
        <v>0</v>
      </c>
      <c r="AD250" s="24">
        <f t="shared" si="98"/>
        <v>0</v>
      </c>
      <c r="AE250" s="24">
        <f t="shared" si="99"/>
        <v>0</v>
      </c>
      <c r="AF250" s="119" t="str">
        <f>VLOOKUP(P250*1,Referencias!$G:$H,2,0)</f>
        <v>qui</v>
      </c>
      <c r="AZ250" s="11" t="s">
        <v>459</v>
      </c>
      <c r="BA250" s="29">
        <v>2.0833333333333332E-2</v>
      </c>
      <c r="BB250" s="30">
        <v>2.78</v>
      </c>
      <c r="BC250" s="30">
        <v>3.68</v>
      </c>
      <c r="BD250" s="31">
        <v>1</v>
      </c>
      <c r="BF250"/>
      <c r="BG250"/>
      <c r="BH250"/>
      <c r="BI250"/>
      <c r="BS250" s="10"/>
    </row>
    <row r="251" spans="1:71" ht="14.4" x14ac:dyDescent="0.3">
      <c r="A251" s="76"/>
      <c r="B251" s="76"/>
      <c r="C251" s="76"/>
      <c r="D251" s="76"/>
      <c r="E251" s="76"/>
      <c r="F251" s="76"/>
      <c r="G251" s="76"/>
      <c r="H251" s="76"/>
      <c r="I251" s="76"/>
      <c r="J251" s="7"/>
      <c r="K251" s="7"/>
      <c r="L251" s="7"/>
      <c r="M251" s="7"/>
      <c r="N251" s="7" t="str">
        <f t="shared" si="100"/>
        <v>#LIVQRUHEQ </v>
      </c>
      <c r="O251" s="7">
        <f t="shared" si="92"/>
        <v>0</v>
      </c>
      <c r="P251" s="21">
        <f t="shared" si="101"/>
        <v>43237</v>
      </c>
      <c r="Q251" s="22">
        <f>VLOOKUP(R251,Referencias!$D$1:$E$13,2,0)</f>
        <v>5</v>
      </c>
      <c r="R251" s="7" t="str">
        <f t="shared" si="102"/>
        <v>MAI</v>
      </c>
      <c r="S251" s="7">
        <f t="shared" si="93"/>
        <v>0</v>
      </c>
      <c r="T251" s="11">
        <f t="shared" si="103"/>
        <v>17</v>
      </c>
      <c r="U251" s="11">
        <f t="shared" si="94"/>
        <v>0</v>
      </c>
      <c r="V251" s="11" t="e">
        <f>VLOOKUP(C251,Referencias!$A$2:$B$33,2,1)</f>
        <v>#N/A</v>
      </c>
      <c r="W251" s="23" t="str">
        <f t="shared" si="107"/>
        <v/>
      </c>
      <c r="X251" s="11">
        <f t="shared" si="95"/>
        <v>0</v>
      </c>
      <c r="Y251" s="11">
        <f t="shared" si="104"/>
        <v>0</v>
      </c>
      <c r="Z251" s="24">
        <f t="shared" si="105"/>
        <v>0</v>
      </c>
      <c r="AA251" s="25">
        <f t="shared" si="106"/>
        <v>0</v>
      </c>
      <c r="AB251" s="24">
        <f t="shared" si="96"/>
        <v>0</v>
      </c>
      <c r="AC251" s="24">
        <f t="shared" si="97"/>
        <v>0</v>
      </c>
      <c r="AD251" s="24">
        <f t="shared" si="98"/>
        <v>0</v>
      </c>
      <c r="AE251" s="24">
        <f t="shared" si="99"/>
        <v>0</v>
      </c>
      <c r="AF251" s="119" t="str">
        <f>VLOOKUP(P251*1,Referencias!$G:$H,2,0)</f>
        <v>qui</v>
      </c>
      <c r="AZ251" s="11" t="s">
        <v>458</v>
      </c>
      <c r="BA251" s="29">
        <v>2.5694444444444447E-2</v>
      </c>
      <c r="BB251" s="30">
        <v>3.29</v>
      </c>
      <c r="BC251" s="30">
        <v>5.13</v>
      </c>
      <c r="BD251" s="31">
        <v>1</v>
      </c>
      <c r="BF251"/>
      <c r="BG251"/>
      <c r="BH251"/>
      <c r="BI251"/>
      <c r="BS251" s="10"/>
    </row>
    <row r="252" spans="1:71" ht="14.4" x14ac:dyDescent="0.3">
      <c r="A252" s="77"/>
      <c r="B252" s="78" t="s">
        <v>128</v>
      </c>
      <c r="C252" s="79">
        <v>0.88541666666666663</v>
      </c>
      <c r="D252" s="80">
        <v>5.78</v>
      </c>
      <c r="E252" s="80" t="s">
        <v>17</v>
      </c>
      <c r="F252" s="80"/>
      <c r="G252" s="81">
        <v>3.52</v>
      </c>
      <c r="H252" s="82">
        <v>87.86</v>
      </c>
      <c r="I252" s="80"/>
      <c r="J252" s="37"/>
      <c r="K252" s="37"/>
      <c r="L252" s="37"/>
      <c r="M252" s="37"/>
      <c r="N252" s="7" t="str">
        <f t="shared" si="100"/>
        <v>#LIMJMXRBP </v>
      </c>
      <c r="O252" s="7" t="str">
        <f t="shared" si="92"/>
        <v>#LIMJMXRBP </v>
      </c>
      <c r="P252" s="21">
        <f t="shared" si="101"/>
        <v>43237</v>
      </c>
      <c r="Q252" s="22">
        <f>VLOOKUP(R252,Referencias!$D$1:$E$13,2,0)</f>
        <v>5</v>
      </c>
      <c r="R252" s="7" t="str">
        <f t="shared" si="102"/>
        <v>MAI</v>
      </c>
      <c r="S252" s="7">
        <f t="shared" si="93"/>
        <v>0</v>
      </c>
      <c r="T252" s="11">
        <f t="shared" si="103"/>
        <v>17</v>
      </c>
      <c r="U252" s="11">
        <f t="shared" si="94"/>
        <v>0</v>
      </c>
      <c r="V252" s="11" t="str">
        <f>VLOOKUP(C252,Referencias!$A$2:$B$33,2,1)</f>
        <v>21 - 22</v>
      </c>
      <c r="W252" s="23">
        <f t="shared" si="107"/>
        <v>1.8750000000000044E-2</v>
      </c>
      <c r="X252" s="11">
        <f t="shared" si="95"/>
        <v>5.78</v>
      </c>
      <c r="Y252" s="11">
        <f t="shared" si="104"/>
        <v>10.207094483288794</v>
      </c>
      <c r="Z252" s="24">
        <f t="shared" si="105"/>
        <v>3.52</v>
      </c>
      <c r="AA252" s="25">
        <f t="shared" si="106"/>
        <v>7.8222222222222033</v>
      </c>
      <c r="AB252" s="24">
        <f t="shared" si="96"/>
        <v>1</v>
      </c>
      <c r="AC252" s="24">
        <f t="shared" si="97"/>
        <v>2.3061217239854397</v>
      </c>
      <c r="AD252" s="24">
        <f t="shared" si="98"/>
        <v>2.7940409926398795</v>
      </c>
      <c r="AE252" s="24">
        <f t="shared" si="99"/>
        <v>3.3127653854317218</v>
      </c>
      <c r="AF252" s="119" t="str">
        <f>VLOOKUP(P252*1,Referencias!$G:$H,2,0)</f>
        <v>qui</v>
      </c>
      <c r="AZ252" s="11" t="s">
        <v>457</v>
      </c>
      <c r="BA252" s="29">
        <v>2.4999999999999998E-2</v>
      </c>
      <c r="BB252" s="30">
        <v>3.19</v>
      </c>
      <c r="BC252" s="30">
        <v>3.21</v>
      </c>
      <c r="BD252" s="31">
        <v>1</v>
      </c>
      <c r="BF252"/>
      <c r="BG252"/>
      <c r="BH252"/>
      <c r="BI252"/>
      <c r="BS252" s="10"/>
    </row>
    <row r="253" spans="1:71" ht="14.4" x14ac:dyDescent="0.3">
      <c r="A253" s="77"/>
      <c r="B253" s="78"/>
      <c r="C253" s="79">
        <v>0.90416666666666667</v>
      </c>
      <c r="D253" s="80"/>
      <c r="E253" s="80"/>
      <c r="F253" s="80"/>
      <c r="G253" s="81"/>
      <c r="H253" s="82"/>
      <c r="I253" s="80"/>
      <c r="J253" s="37"/>
      <c r="K253" s="37"/>
      <c r="L253" s="37"/>
      <c r="M253" s="37"/>
      <c r="N253" s="7" t="str">
        <f t="shared" si="100"/>
        <v>#LIMJMXRBP </v>
      </c>
      <c r="O253" s="7">
        <f t="shared" si="92"/>
        <v>0</v>
      </c>
      <c r="P253" s="21">
        <f t="shared" si="101"/>
        <v>43237</v>
      </c>
      <c r="Q253" s="22">
        <f>VLOOKUP(R253,Referencias!$D$1:$E$13,2,0)</f>
        <v>5</v>
      </c>
      <c r="R253" s="7" t="str">
        <f t="shared" si="102"/>
        <v>MAI</v>
      </c>
      <c r="S253" s="7">
        <f t="shared" si="93"/>
        <v>0</v>
      </c>
      <c r="T253" s="11">
        <f t="shared" si="103"/>
        <v>17</v>
      </c>
      <c r="U253" s="11">
        <f t="shared" si="94"/>
        <v>0</v>
      </c>
      <c r="V253" s="11" t="str">
        <f>VLOOKUP(C253,Referencias!$A$2:$B$33,2,1)</f>
        <v>21 - 22</v>
      </c>
      <c r="W253" s="23" t="str">
        <f t="shared" si="107"/>
        <v/>
      </c>
      <c r="X253" s="11">
        <f t="shared" si="95"/>
        <v>0</v>
      </c>
      <c r="Y253" s="11">
        <f t="shared" si="104"/>
        <v>0</v>
      </c>
      <c r="Z253" s="24">
        <f t="shared" si="105"/>
        <v>0</v>
      </c>
      <c r="AA253" s="25">
        <f t="shared" si="106"/>
        <v>0</v>
      </c>
      <c r="AB253" s="24">
        <f t="shared" si="96"/>
        <v>0</v>
      </c>
      <c r="AC253" s="24">
        <f t="shared" si="97"/>
        <v>0</v>
      </c>
      <c r="AD253" s="24">
        <f t="shared" si="98"/>
        <v>0</v>
      </c>
      <c r="AE253" s="24">
        <f t="shared" si="99"/>
        <v>0</v>
      </c>
      <c r="AF253" s="119" t="str">
        <f>VLOOKUP(P253*1,Referencias!$G:$H,2,0)</f>
        <v>qui</v>
      </c>
      <c r="AZ253" s="11" t="s">
        <v>456</v>
      </c>
      <c r="BA253" s="29">
        <v>2.4999999999999998E-2</v>
      </c>
      <c r="BB253" s="30">
        <v>3.61</v>
      </c>
      <c r="BC253" s="30">
        <v>2.57</v>
      </c>
      <c r="BD253" s="31">
        <v>1</v>
      </c>
      <c r="BF253"/>
      <c r="BG253"/>
      <c r="BH253"/>
      <c r="BI253"/>
      <c r="BS253" s="10"/>
    </row>
    <row r="254" spans="1:71" ht="14.4" x14ac:dyDescent="0.3">
      <c r="A254" s="83"/>
      <c r="B254" s="83"/>
      <c r="C254" s="83"/>
      <c r="D254" s="83"/>
      <c r="E254" s="83"/>
      <c r="F254" s="83"/>
      <c r="G254" s="83"/>
      <c r="H254" s="83"/>
      <c r="I254" s="83"/>
      <c r="J254" s="7"/>
      <c r="K254" s="7"/>
      <c r="L254" s="7"/>
      <c r="M254" s="7"/>
      <c r="N254" s="7" t="str">
        <f t="shared" si="100"/>
        <v>#LIMJMXRBP </v>
      </c>
      <c r="O254" s="7">
        <f t="shared" si="92"/>
        <v>0</v>
      </c>
      <c r="P254" s="21">
        <f t="shared" si="101"/>
        <v>43237</v>
      </c>
      <c r="Q254" s="22">
        <f>VLOOKUP(R254,Referencias!$D$1:$E$13,2,0)</f>
        <v>5</v>
      </c>
      <c r="R254" s="7" t="str">
        <f t="shared" si="102"/>
        <v>MAI</v>
      </c>
      <c r="S254" s="7">
        <f t="shared" si="93"/>
        <v>0</v>
      </c>
      <c r="T254" s="11">
        <f t="shared" si="103"/>
        <v>17</v>
      </c>
      <c r="U254" s="11">
        <f t="shared" si="94"/>
        <v>0</v>
      </c>
      <c r="V254" s="11" t="e">
        <f>VLOOKUP(C254,Referencias!$A$2:$B$33,2,1)</f>
        <v>#N/A</v>
      </c>
      <c r="W254" s="23" t="str">
        <f t="shared" si="107"/>
        <v/>
      </c>
      <c r="X254" s="11">
        <f t="shared" si="95"/>
        <v>0</v>
      </c>
      <c r="Y254" s="11">
        <f t="shared" si="104"/>
        <v>0</v>
      </c>
      <c r="Z254" s="24">
        <f t="shared" si="105"/>
        <v>0</v>
      </c>
      <c r="AA254" s="25">
        <f t="shared" si="106"/>
        <v>0</v>
      </c>
      <c r="AB254" s="24">
        <f t="shared" si="96"/>
        <v>0</v>
      </c>
      <c r="AC254" s="24">
        <f t="shared" si="97"/>
        <v>0</v>
      </c>
      <c r="AD254" s="24">
        <f t="shared" si="98"/>
        <v>0</v>
      </c>
      <c r="AE254" s="24">
        <f t="shared" si="99"/>
        <v>0</v>
      </c>
      <c r="AF254" s="119" t="str">
        <f>VLOOKUP(P254*1,Referencias!$G:$H,2,0)</f>
        <v>qui</v>
      </c>
      <c r="AZ254" s="118">
        <v>43260</v>
      </c>
      <c r="BA254" s="29">
        <v>0.22291666666666665</v>
      </c>
      <c r="BB254" s="30">
        <v>27.03</v>
      </c>
      <c r="BC254" s="30">
        <v>56.37</v>
      </c>
      <c r="BD254" s="31">
        <v>6</v>
      </c>
      <c r="BF254"/>
      <c r="BG254"/>
      <c r="BH254"/>
      <c r="BI254"/>
      <c r="BS254" s="10"/>
    </row>
    <row r="255" spans="1:71" ht="14.4" x14ac:dyDescent="0.3">
      <c r="A255" s="76"/>
      <c r="B255" s="76"/>
      <c r="C255" s="76"/>
      <c r="D255" s="76"/>
      <c r="E255" s="76"/>
      <c r="F255" s="76"/>
      <c r="G255" s="76"/>
      <c r="H255" s="76"/>
      <c r="I255" s="76"/>
      <c r="J255" s="7"/>
      <c r="K255" s="7"/>
      <c r="L255" s="7"/>
      <c r="M255" s="7"/>
      <c r="N255" s="7" t="str">
        <f t="shared" si="100"/>
        <v>#LIMJMXRBP </v>
      </c>
      <c r="O255" s="7">
        <f t="shared" si="92"/>
        <v>0</v>
      </c>
      <c r="P255" s="21">
        <f t="shared" si="101"/>
        <v>43237</v>
      </c>
      <c r="Q255" s="22">
        <f>VLOOKUP(R255,Referencias!$D$1:$E$13,2,0)</f>
        <v>5</v>
      </c>
      <c r="R255" s="7" t="str">
        <f t="shared" si="102"/>
        <v>MAI</v>
      </c>
      <c r="S255" s="7">
        <f t="shared" si="93"/>
        <v>0</v>
      </c>
      <c r="T255" s="11">
        <f t="shared" si="103"/>
        <v>17</v>
      </c>
      <c r="U255" s="11">
        <f t="shared" si="94"/>
        <v>0</v>
      </c>
      <c r="V255" s="11" t="e">
        <f>VLOOKUP(C255,Referencias!$A$2:$B$33,2,1)</f>
        <v>#N/A</v>
      </c>
      <c r="W255" s="23" t="str">
        <f t="shared" si="107"/>
        <v/>
      </c>
      <c r="X255" s="11">
        <f t="shared" si="95"/>
        <v>0</v>
      </c>
      <c r="Y255" s="11">
        <f t="shared" si="104"/>
        <v>0</v>
      </c>
      <c r="Z255" s="24">
        <f t="shared" si="105"/>
        <v>0</v>
      </c>
      <c r="AA255" s="25">
        <f t="shared" si="106"/>
        <v>0</v>
      </c>
      <c r="AB255" s="24">
        <f t="shared" si="96"/>
        <v>0</v>
      </c>
      <c r="AC255" s="24">
        <f t="shared" si="97"/>
        <v>0</v>
      </c>
      <c r="AD255" s="24">
        <f t="shared" si="98"/>
        <v>0</v>
      </c>
      <c r="AE255" s="24">
        <f t="shared" si="99"/>
        <v>0</v>
      </c>
      <c r="AF255" s="119" t="str">
        <f>VLOOKUP(P255*1,Referencias!$G:$H,2,0)</f>
        <v>qui</v>
      </c>
      <c r="AZ255" s="11" t="s">
        <v>464</v>
      </c>
      <c r="BA255" s="29">
        <v>1.7361111111111112E-2</v>
      </c>
      <c r="BB255" s="30">
        <v>4.28</v>
      </c>
      <c r="BC255" s="30">
        <v>7.7</v>
      </c>
      <c r="BD255" s="31">
        <v>1</v>
      </c>
      <c r="BF255"/>
      <c r="BG255"/>
      <c r="BH255"/>
      <c r="BI255"/>
      <c r="BS255" s="10"/>
    </row>
    <row r="256" spans="1:71" ht="14.4" x14ac:dyDescent="0.3">
      <c r="A256" s="77"/>
      <c r="B256" s="78" t="s">
        <v>129</v>
      </c>
      <c r="C256" s="79">
        <v>0.91249999999999998</v>
      </c>
      <c r="D256" s="80">
        <v>5.51</v>
      </c>
      <c r="E256" s="80" t="s">
        <v>90</v>
      </c>
      <c r="F256" s="80"/>
      <c r="G256" s="81">
        <v>5.23</v>
      </c>
      <c r="H256" s="82">
        <v>93.09</v>
      </c>
      <c r="I256" s="80"/>
      <c r="J256" s="37"/>
      <c r="K256" s="37"/>
      <c r="L256" s="37"/>
      <c r="M256" s="37"/>
      <c r="N256" s="7" t="str">
        <f t="shared" si="100"/>
        <v>#LI14LCRJ6 </v>
      </c>
      <c r="O256" s="7" t="str">
        <f t="shared" si="92"/>
        <v>#LI14LCRJ6 </v>
      </c>
      <c r="P256" s="21">
        <f t="shared" si="101"/>
        <v>43237</v>
      </c>
      <c r="Q256" s="22">
        <f>VLOOKUP(R256,Referencias!$D$1:$E$13,2,0)</f>
        <v>5</v>
      </c>
      <c r="R256" s="7" t="str">
        <f t="shared" si="102"/>
        <v>MAI</v>
      </c>
      <c r="S256" s="7">
        <f t="shared" si="93"/>
        <v>0</v>
      </c>
      <c r="T256" s="11">
        <f t="shared" si="103"/>
        <v>17</v>
      </c>
      <c r="U256" s="11">
        <f t="shared" si="94"/>
        <v>0</v>
      </c>
      <c r="V256" s="11" t="str">
        <f>VLOOKUP(C256,Referencias!$A$2:$B$33,2,1)</f>
        <v>21 - 22</v>
      </c>
      <c r="W256" s="23">
        <f t="shared" si="107"/>
        <v>5.0000000000000044E-2</v>
      </c>
      <c r="X256" s="11">
        <f t="shared" si="95"/>
        <v>5.51</v>
      </c>
      <c r="Y256" s="11">
        <f t="shared" si="104"/>
        <v>9.7302924918548879</v>
      </c>
      <c r="Z256" s="24">
        <f t="shared" si="105"/>
        <v>5.23</v>
      </c>
      <c r="AA256" s="25">
        <f t="shared" si="106"/>
        <v>4.3583333333333298</v>
      </c>
      <c r="AB256" s="24">
        <f t="shared" si="96"/>
        <v>1</v>
      </c>
      <c r="AC256" s="24">
        <f t="shared" si="97"/>
        <v>3.4264251751260941</v>
      </c>
      <c r="AD256" s="24">
        <f t="shared" si="98"/>
        <v>4.1513734066780037</v>
      </c>
      <c r="AE256" s="24">
        <f t="shared" si="99"/>
        <v>4.9220917516499734</v>
      </c>
      <c r="AF256" s="119" t="str">
        <f>VLOOKUP(P256*1,Referencias!$G:$H,2,0)</f>
        <v>qui</v>
      </c>
      <c r="AZ256" s="11" t="s">
        <v>465</v>
      </c>
      <c r="BA256" s="29">
        <v>2.7083333333333334E-2</v>
      </c>
      <c r="BB256" s="30">
        <v>6.92</v>
      </c>
      <c r="BC256" s="30">
        <v>15.32</v>
      </c>
      <c r="BD256" s="31">
        <v>1</v>
      </c>
      <c r="BF256"/>
      <c r="BG256"/>
      <c r="BH256"/>
      <c r="BI256"/>
      <c r="BS256" s="10"/>
    </row>
    <row r="257" spans="1:71" ht="14.4" x14ac:dyDescent="0.3">
      <c r="A257" s="77"/>
      <c r="B257" s="78"/>
      <c r="C257" s="79">
        <v>0.96250000000000002</v>
      </c>
      <c r="D257" s="80"/>
      <c r="E257" s="80"/>
      <c r="F257" s="80"/>
      <c r="G257" s="81"/>
      <c r="H257" s="82"/>
      <c r="I257" s="80"/>
      <c r="J257" s="37"/>
      <c r="K257" s="37"/>
      <c r="L257" s="37"/>
      <c r="M257" s="37"/>
      <c r="N257" s="7" t="str">
        <f t="shared" si="100"/>
        <v>#LI14LCRJ6 </v>
      </c>
      <c r="O257" s="7">
        <f t="shared" si="92"/>
        <v>0</v>
      </c>
      <c r="P257" s="21">
        <f t="shared" si="101"/>
        <v>43237</v>
      </c>
      <c r="Q257" s="22">
        <f>VLOOKUP(R257,Referencias!$D$1:$E$13,2,0)</f>
        <v>5</v>
      </c>
      <c r="R257" s="7" t="str">
        <f t="shared" si="102"/>
        <v>MAI</v>
      </c>
      <c r="S257" s="7">
        <f t="shared" si="93"/>
        <v>0</v>
      </c>
      <c r="T257" s="11">
        <f t="shared" si="103"/>
        <v>17</v>
      </c>
      <c r="U257" s="11">
        <f t="shared" si="94"/>
        <v>0</v>
      </c>
      <c r="V257" s="11" t="str">
        <f>VLOOKUP(C257,Referencias!$A$2:$B$33,2,1)</f>
        <v>23 - 24</v>
      </c>
      <c r="W257" s="23" t="str">
        <f t="shared" si="107"/>
        <v/>
      </c>
      <c r="X257" s="11">
        <f t="shared" si="95"/>
        <v>0</v>
      </c>
      <c r="Y257" s="11">
        <f t="shared" si="104"/>
        <v>0</v>
      </c>
      <c r="Z257" s="24">
        <f t="shared" si="105"/>
        <v>0</v>
      </c>
      <c r="AA257" s="25">
        <f t="shared" si="106"/>
        <v>0</v>
      </c>
      <c r="AB257" s="24">
        <f t="shared" si="96"/>
        <v>0</v>
      </c>
      <c r="AC257" s="24">
        <f t="shared" si="97"/>
        <v>0</v>
      </c>
      <c r="AD257" s="24">
        <f t="shared" si="98"/>
        <v>0</v>
      </c>
      <c r="AE257" s="24">
        <f t="shared" si="99"/>
        <v>0</v>
      </c>
      <c r="AF257" s="119" t="str">
        <f>VLOOKUP(P257*1,Referencias!$G:$H,2,0)</f>
        <v>qui</v>
      </c>
      <c r="AZ257" s="11" t="s">
        <v>461</v>
      </c>
      <c r="BA257" s="29">
        <v>2.9861111111111113E-2</v>
      </c>
      <c r="BB257" s="30">
        <v>3.96</v>
      </c>
      <c r="BC257" s="30">
        <v>7.04</v>
      </c>
      <c r="BD257" s="31">
        <v>1</v>
      </c>
      <c r="BF257"/>
      <c r="BG257"/>
      <c r="BH257"/>
      <c r="BI257"/>
      <c r="BS257" s="10"/>
    </row>
    <row r="258" spans="1:71" ht="15" thickBot="1" x14ac:dyDescent="0.35">
      <c r="A258" s="84"/>
      <c r="B258" s="84"/>
      <c r="C258" s="84"/>
      <c r="D258" s="84"/>
      <c r="E258" s="84"/>
      <c r="F258" s="84"/>
      <c r="G258" s="84"/>
      <c r="H258" s="84"/>
      <c r="I258" s="84"/>
      <c r="J258" s="37"/>
      <c r="K258" s="37"/>
      <c r="L258" s="37"/>
      <c r="M258" s="37"/>
      <c r="N258" s="7" t="str">
        <f t="shared" si="100"/>
        <v>#LI14LCRJ6 </v>
      </c>
      <c r="O258" s="7">
        <f t="shared" ref="O258:O321" si="108">IF(X258&gt;0,B258,0)</f>
        <v>0</v>
      </c>
      <c r="P258" s="21">
        <f t="shared" si="101"/>
        <v>43237</v>
      </c>
      <c r="Q258" s="22">
        <f>VLOOKUP(R258,Referencias!$D$1:$E$13,2,0)</f>
        <v>5</v>
      </c>
      <c r="R258" s="7" t="str">
        <f t="shared" si="102"/>
        <v>MAI</v>
      </c>
      <c r="S258" s="7">
        <f t="shared" ref="S258:S321" si="109">IF(X258&gt;0,A259,0)</f>
        <v>0</v>
      </c>
      <c r="T258" s="11">
        <f t="shared" si="103"/>
        <v>17</v>
      </c>
      <c r="U258" s="11">
        <f t="shared" ref="U258:U321" si="110">IF(X258&gt;0,A258,0)</f>
        <v>0</v>
      </c>
      <c r="V258" s="11" t="e">
        <f>VLOOKUP(C258,Referencias!$A$2:$B$33,2,1)</f>
        <v>#N/A</v>
      </c>
      <c r="W258" s="23" t="str">
        <f t="shared" si="107"/>
        <v/>
      </c>
      <c r="X258" s="11">
        <f t="shared" ref="X258:X321" si="111">D258*1</f>
        <v>0</v>
      </c>
      <c r="Y258" s="11">
        <f t="shared" si="104"/>
        <v>0</v>
      </c>
      <c r="Z258" s="24">
        <f t="shared" si="105"/>
        <v>0</v>
      </c>
      <c r="AA258" s="25">
        <f t="shared" si="106"/>
        <v>0</v>
      </c>
      <c r="AB258" s="24">
        <f t="shared" ref="AB258:AB321" si="112">IF(O258&gt;0,1,0)</f>
        <v>0</v>
      </c>
      <c r="AC258" s="24">
        <f t="shared" ref="AC258:AC321" si="113">Z258*$AL$14</f>
        <v>0</v>
      </c>
      <c r="AD258" s="24">
        <f t="shared" ref="AD258:AD321" si="114">Z258*$AN$14</f>
        <v>0</v>
      </c>
      <c r="AE258" s="24">
        <f t="shared" ref="AE258:AE321" si="115">Z258*$AL$26</f>
        <v>0</v>
      </c>
      <c r="AF258" s="119" t="str">
        <f>VLOOKUP(P258*1,Referencias!$G:$H,2,0)</f>
        <v>qui</v>
      </c>
      <c r="AZ258" s="11" t="s">
        <v>463</v>
      </c>
      <c r="BA258" s="29">
        <v>2.361111111111111E-2</v>
      </c>
      <c r="BB258" s="30">
        <v>5.78</v>
      </c>
      <c r="BC258" s="30">
        <v>11.15</v>
      </c>
      <c r="BD258" s="31">
        <v>1</v>
      </c>
      <c r="BF258"/>
      <c r="BG258"/>
      <c r="BH258"/>
      <c r="BI258"/>
      <c r="BS258" s="10"/>
    </row>
    <row r="259" spans="1:71" ht="14.4" x14ac:dyDescent="0.3">
      <c r="A259" s="77">
        <v>18</v>
      </c>
      <c r="B259" s="85" t="s">
        <v>130</v>
      </c>
      <c r="C259" s="79">
        <v>0.52222222222222225</v>
      </c>
      <c r="D259" s="86">
        <v>5.71</v>
      </c>
      <c r="E259" s="86" t="s">
        <v>48</v>
      </c>
      <c r="F259" s="86"/>
      <c r="G259" s="87">
        <v>3.57</v>
      </c>
      <c r="H259" s="88">
        <v>96.66</v>
      </c>
      <c r="I259" s="86"/>
      <c r="J259" s="37"/>
      <c r="K259" s="37"/>
      <c r="L259" s="37"/>
      <c r="M259" s="37"/>
      <c r="N259" s="7" t="str">
        <f t="shared" ref="N259:N322" si="116">IF(O259&lt;&gt;0,O259,N258)</f>
        <v>#LIU1H1NWU </v>
      </c>
      <c r="O259" s="7" t="str">
        <f t="shared" si="108"/>
        <v>#LIU1H1NWU </v>
      </c>
      <c r="P259" s="21">
        <f t="shared" ref="P259:P322" si="117">(T259&amp;"/"&amp;Q259&amp;"/2018")*1</f>
        <v>43238</v>
      </c>
      <c r="Q259" s="22">
        <f>VLOOKUP(R259,Referencias!$D$1:$E$13,2,0)</f>
        <v>5</v>
      </c>
      <c r="R259" s="7" t="str">
        <f t="shared" ref="R259:R322" si="118">IF(S259="ganhos garantidos",R258,IF(S259&lt;&gt;0,S259,R258))</f>
        <v>MAI</v>
      </c>
      <c r="S259" s="7" t="str">
        <f t="shared" si="109"/>
        <v>MAI</v>
      </c>
      <c r="T259" s="11">
        <f t="shared" ref="T259:T322" si="119">IF(U259&lt;&gt;0,U259,T258)</f>
        <v>18</v>
      </c>
      <c r="U259" s="11">
        <f t="shared" si="110"/>
        <v>18</v>
      </c>
      <c r="V259" s="11" t="str">
        <f>VLOOKUP(C259,Referencias!$A$2:$B$33,2,1)</f>
        <v>12 - 13</v>
      </c>
      <c r="W259" s="23">
        <f t="shared" si="107"/>
        <v>2.9166666666666563E-2</v>
      </c>
      <c r="X259" s="11">
        <f t="shared" si="111"/>
        <v>5.71</v>
      </c>
      <c r="Y259" s="11">
        <f>X259*$AK$2</f>
        <v>10.083479152176301</v>
      </c>
      <c r="Z259" s="24">
        <f t="shared" ref="Z259:Z322" si="120">IF(A259="Ganhos Garantidos",G259,IF(X259&gt;0,G259*1,0))</f>
        <v>3.57</v>
      </c>
      <c r="AA259" s="25">
        <f t="shared" ref="AA259:AA322" si="121">IFERROR(Z259/(86400*(W259)/360/10),0)</f>
        <v>5.1000000000000183</v>
      </c>
      <c r="AB259" s="24">
        <f t="shared" si="112"/>
        <v>1</v>
      </c>
      <c r="AC259" s="24">
        <f t="shared" si="113"/>
        <v>2.3388791348375055</v>
      </c>
      <c r="AD259" s="24">
        <f t="shared" si="114"/>
        <v>2.8337290749216959</v>
      </c>
      <c r="AE259" s="24">
        <f t="shared" si="115"/>
        <v>3.3598217119293312</v>
      </c>
      <c r="AF259" s="119" t="str">
        <f>VLOOKUP(P259*1,Referencias!$G:$H,2,0)</f>
        <v>sex</v>
      </c>
      <c r="AZ259" s="11" t="s">
        <v>462</v>
      </c>
      <c r="BA259" s="29">
        <v>1.9444444444444445E-2</v>
      </c>
      <c r="BB259" s="30">
        <v>4.59</v>
      </c>
      <c r="BC259" s="30">
        <v>8.58</v>
      </c>
      <c r="BD259" s="31">
        <v>1</v>
      </c>
      <c r="BF259"/>
      <c r="BG259"/>
      <c r="BH259"/>
      <c r="BI259"/>
      <c r="BS259" s="10"/>
    </row>
    <row r="260" spans="1:71" ht="14.4" x14ac:dyDescent="0.3">
      <c r="A260" s="77" t="s">
        <v>19</v>
      </c>
      <c r="B260" s="78"/>
      <c r="C260" s="79">
        <v>0.55138888888888882</v>
      </c>
      <c r="D260" s="80"/>
      <c r="E260" s="80"/>
      <c r="F260" s="80"/>
      <c r="G260" s="81"/>
      <c r="H260" s="82"/>
      <c r="I260" s="80"/>
      <c r="N260" s="7" t="str">
        <f t="shared" si="116"/>
        <v>#LIU1H1NWU </v>
      </c>
      <c r="O260" s="7">
        <f t="shared" si="108"/>
        <v>0</v>
      </c>
      <c r="P260" s="21">
        <f t="shared" si="117"/>
        <v>43238</v>
      </c>
      <c r="Q260" s="22">
        <f>VLOOKUP(R260,Referencias!$D$1:$E$13,2,0)</f>
        <v>5</v>
      </c>
      <c r="R260" s="7" t="str">
        <f t="shared" si="118"/>
        <v>MAI</v>
      </c>
      <c r="S260" s="7">
        <f t="shared" si="109"/>
        <v>0</v>
      </c>
      <c r="T260" s="11">
        <f t="shared" si="119"/>
        <v>18</v>
      </c>
      <c r="U260" s="11">
        <f t="shared" si="110"/>
        <v>0</v>
      </c>
      <c r="V260" s="11" t="str">
        <f>VLOOKUP(C260,Referencias!$A$2:$B$33,2,1)</f>
        <v>13 - 14</v>
      </c>
      <c r="W260" s="23" t="str">
        <f t="shared" ref="W260:W323" si="122">IF(X260&gt;0,C261-C260,"")</f>
        <v/>
      </c>
      <c r="X260" s="11">
        <f t="shared" si="111"/>
        <v>0</v>
      </c>
      <c r="Y260" s="11">
        <f t="shared" ref="Y260:Y323" si="123">X260*$AK$2</f>
        <v>0</v>
      </c>
      <c r="Z260" s="24">
        <f t="shared" si="120"/>
        <v>0</v>
      </c>
      <c r="AA260" s="25">
        <f t="shared" si="121"/>
        <v>0</v>
      </c>
      <c r="AB260" s="24">
        <f t="shared" si="112"/>
        <v>0</v>
      </c>
      <c r="AC260" s="24">
        <f t="shared" si="113"/>
        <v>0</v>
      </c>
      <c r="AD260" s="24">
        <f t="shared" si="114"/>
        <v>0</v>
      </c>
      <c r="AE260" s="24">
        <f t="shared" si="115"/>
        <v>0</v>
      </c>
      <c r="AF260" s="119" t="str">
        <f>VLOOKUP(P260*1,Referencias!$G:$H,2,0)</f>
        <v>sex</v>
      </c>
      <c r="AZ260" s="11" t="s">
        <v>460</v>
      </c>
      <c r="BA260" s="29">
        <v>0.10555555555555556</v>
      </c>
      <c r="BB260" s="30">
        <v>1.5</v>
      </c>
      <c r="BC260" s="30">
        <v>6.58</v>
      </c>
      <c r="BD260" s="31">
        <v>1</v>
      </c>
      <c r="BF260"/>
      <c r="BG260"/>
      <c r="BH260"/>
      <c r="BI260"/>
      <c r="BS260" s="10"/>
    </row>
    <row r="261" spans="1:71" ht="14.4" x14ac:dyDescent="0.3">
      <c r="A261" s="83"/>
      <c r="B261" s="83"/>
      <c r="C261" s="83"/>
      <c r="D261" s="83"/>
      <c r="E261" s="83"/>
      <c r="F261" s="83"/>
      <c r="G261" s="83"/>
      <c r="H261" s="83"/>
      <c r="I261" s="83"/>
      <c r="N261" s="7" t="str">
        <f t="shared" si="116"/>
        <v>#LIU1H1NWU </v>
      </c>
      <c r="O261" s="7">
        <f t="shared" si="108"/>
        <v>0</v>
      </c>
      <c r="P261" s="21">
        <f t="shared" si="117"/>
        <v>43238</v>
      </c>
      <c r="Q261" s="22">
        <f>VLOOKUP(R261,Referencias!$D$1:$E$13,2,0)</f>
        <v>5</v>
      </c>
      <c r="R261" s="7" t="str">
        <f t="shared" si="118"/>
        <v>MAI</v>
      </c>
      <c r="S261" s="7">
        <f t="shared" si="109"/>
        <v>0</v>
      </c>
      <c r="T261" s="11">
        <f t="shared" si="119"/>
        <v>18</v>
      </c>
      <c r="U261" s="11">
        <f t="shared" si="110"/>
        <v>0</v>
      </c>
      <c r="V261" s="11" t="e">
        <f>VLOOKUP(C261,Referencias!$A$2:$B$33,2,1)</f>
        <v>#N/A</v>
      </c>
      <c r="W261" s="23" t="str">
        <f t="shared" si="122"/>
        <v/>
      </c>
      <c r="X261" s="11">
        <f t="shared" si="111"/>
        <v>0</v>
      </c>
      <c r="Y261" s="11">
        <f t="shared" si="123"/>
        <v>0</v>
      </c>
      <c r="Z261" s="24">
        <f t="shared" si="120"/>
        <v>0</v>
      </c>
      <c r="AA261" s="25">
        <f t="shared" si="121"/>
        <v>0</v>
      </c>
      <c r="AB261" s="24">
        <f t="shared" si="112"/>
        <v>0</v>
      </c>
      <c r="AC261" s="24">
        <f t="shared" si="113"/>
        <v>0</v>
      </c>
      <c r="AD261" s="24">
        <f t="shared" si="114"/>
        <v>0</v>
      </c>
      <c r="AE261" s="24">
        <f t="shared" si="115"/>
        <v>0</v>
      </c>
      <c r="AF261" s="119" t="str">
        <f>VLOOKUP(P261*1,Referencias!$G:$H,2,0)</f>
        <v>sex</v>
      </c>
      <c r="AZ261" s="118">
        <v>43261</v>
      </c>
      <c r="BA261" s="29">
        <v>0.44930555555555557</v>
      </c>
      <c r="BB261" s="30">
        <v>65.39</v>
      </c>
      <c r="BC261" s="30">
        <v>105.95999999999998</v>
      </c>
      <c r="BD261" s="31">
        <v>15</v>
      </c>
      <c r="BF261"/>
      <c r="BG261"/>
      <c r="BH261"/>
      <c r="BI261"/>
      <c r="BS261" s="10"/>
    </row>
    <row r="262" spans="1:71" ht="14.4" x14ac:dyDescent="0.3">
      <c r="A262" s="76"/>
      <c r="B262" s="76"/>
      <c r="C262" s="76"/>
      <c r="D262" s="76"/>
      <c r="E262" s="76"/>
      <c r="F262" s="76"/>
      <c r="G262" s="76"/>
      <c r="H262" s="76"/>
      <c r="I262" s="76"/>
      <c r="N262" s="7" t="str">
        <f t="shared" si="116"/>
        <v>#LIU1H1NWU </v>
      </c>
      <c r="O262" s="7">
        <f t="shared" si="108"/>
        <v>0</v>
      </c>
      <c r="P262" s="21">
        <f t="shared" si="117"/>
        <v>43238</v>
      </c>
      <c r="Q262" s="22">
        <f>VLOOKUP(R262,Referencias!$D$1:$E$13,2,0)</f>
        <v>5</v>
      </c>
      <c r="R262" s="7" t="str">
        <f t="shared" si="118"/>
        <v>MAI</v>
      </c>
      <c r="S262" s="7">
        <f t="shared" si="109"/>
        <v>0</v>
      </c>
      <c r="T262" s="11">
        <f t="shared" si="119"/>
        <v>18</v>
      </c>
      <c r="U262" s="11">
        <f t="shared" si="110"/>
        <v>0</v>
      </c>
      <c r="V262" s="11" t="e">
        <f>VLOOKUP(C262,Referencias!$A$2:$B$33,2,1)</f>
        <v>#N/A</v>
      </c>
      <c r="W262" s="23" t="str">
        <f t="shared" si="122"/>
        <v/>
      </c>
      <c r="X262" s="11">
        <f t="shared" si="111"/>
        <v>0</v>
      </c>
      <c r="Y262" s="11">
        <f t="shared" si="123"/>
        <v>0</v>
      </c>
      <c r="Z262" s="24">
        <f t="shared" si="120"/>
        <v>0</v>
      </c>
      <c r="AA262" s="25">
        <f t="shared" si="121"/>
        <v>0</v>
      </c>
      <c r="AB262" s="24">
        <f t="shared" si="112"/>
        <v>0</v>
      </c>
      <c r="AC262" s="24">
        <f t="shared" si="113"/>
        <v>0</v>
      </c>
      <c r="AD262" s="24">
        <f t="shared" si="114"/>
        <v>0</v>
      </c>
      <c r="AE262" s="24">
        <f t="shared" si="115"/>
        <v>0</v>
      </c>
      <c r="AF262" s="119" t="str">
        <f>VLOOKUP(P262*1,Referencias!$G:$H,2,0)</f>
        <v>sex</v>
      </c>
      <c r="AZ262" s="11" t="s">
        <v>472</v>
      </c>
      <c r="BA262" s="29">
        <v>3.5416666666666666E-2</v>
      </c>
      <c r="BB262" s="30">
        <v>2.4900000000000002</v>
      </c>
      <c r="BC262" s="30">
        <v>1.62</v>
      </c>
      <c r="BD262" s="31">
        <v>1</v>
      </c>
      <c r="BF262"/>
      <c r="BG262"/>
      <c r="BH262"/>
      <c r="BI262"/>
      <c r="BS262" s="10"/>
    </row>
    <row r="263" spans="1:71" ht="14.4" x14ac:dyDescent="0.3">
      <c r="A263" s="77"/>
      <c r="B263" s="78" t="s">
        <v>131</v>
      </c>
      <c r="C263" s="79">
        <v>0.84305555555555556</v>
      </c>
      <c r="D263" s="80">
        <v>2.9</v>
      </c>
      <c r="E263" s="80" t="s">
        <v>85</v>
      </c>
      <c r="F263" s="81">
        <v>0.6</v>
      </c>
      <c r="G263" s="81">
        <v>3.6</v>
      </c>
      <c r="H263" s="82">
        <v>100.26</v>
      </c>
      <c r="I263" s="80"/>
      <c r="N263" s="7" t="str">
        <f t="shared" si="116"/>
        <v>#LIHBWSEH1 </v>
      </c>
      <c r="O263" s="7" t="str">
        <f t="shared" si="108"/>
        <v>#LIHBWSEH1 </v>
      </c>
      <c r="P263" s="21">
        <f t="shared" si="117"/>
        <v>43238</v>
      </c>
      <c r="Q263" s="22">
        <f>VLOOKUP(R263,Referencias!$D$1:$E$13,2,0)</f>
        <v>5</v>
      </c>
      <c r="R263" s="7" t="str">
        <f t="shared" si="118"/>
        <v>MAI</v>
      </c>
      <c r="S263" s="7">
        <f t="shared" si="109"/>
        <v>0</v>
      </c>
      <c r="T263" s="11">
        <f t="shared" si="119"/>
        <v>18</v>
      </c>
      <c r="U263" s="11">
        <f t="shared" si="110"/>
        <v>0</v>
      </c>
      <c r="V263" s="11" t="str">
        <f>VLOOKUP(C263,Referencias!$A$2:$B$33,2,1)</f>
        <v>20 - 21</v>
      </c>
      <c r="W263" s="23">
        <f t="shared" si="122"/>
        <v>3.472222222222221E-2</v>
      </c>
      <c r="X263" s="11">
        <f t="shared" si="111"/>
        <v>2.9</v>
      </c>
      <c r="Y263" s="11">
        <f t="shared" si="123"/>
        <v>5.1212065746604676</v>
      </c>
      <c r="Z263" s="24">
        <f t="shared" si="120"/>
        <v>3.6</v>
      </c>
      <c r="AA263" s="25">
        <f t="shared" si="121"/>
        <v>4.3200000000000021</v>
      </c>
      <c r="AB263" s="24">
        <f t="shared" si="112"/>
        <v>1</v>
      </c>
      <c r="AC263" s="24">
        <f t="shared" si="113"/>
        <v>2.3585335813487451</v>
      </c>
      <c r="AD263" s="24">
        <f t="shared" si="114"/>
        <v>2.857541924290786</v>
      </c>
      <c r="AE263" s="24">
        <f t="shared" si="115"/>
        <v>3.3880555078278976</v>
      </c>
      <c r="AF263" s="119" t="str">
        <f>VLOOKUP(P263*1,Referencias!$G:$H,2,0)</f>
        <v>sex</v>
      </c>
      <c r="AZ263" s="11" t="s">
        <v>476</v>
      </c>
      <c r="BA263" s="29">
        <v>3.125E-2</v>
      </c>
      <c r="BB263" s="30">
        <v>5.35</v>
      </c>
      <c r="BC263" s="30">
        <v>9.61</v>
      </c>
      <c r="BD263" s="31">
        <v>1</v>
      </c>
      <c r="BF263"/>
      <c r="BG263"/>
      <c r="BH263"/>
      <c r="BI263"/>
      <c r="BS263" s="10"/>
    </row>
    <row r="264" spans="1:71" ht="14.4" x14ac:dyDescent="0.3">
      <c r="A264" s="77"/>
      <c r="B264" s="78"/>
      <c r="C264" s="79">
        <v>0.87777777777777777</v>
      </c>
      <c r="D264" s="80"/>
      <c r="E264" s="80"/>
      <c r="F264" s="80" t="s">
        <v>132</v>
      </c>
      <c r="G264" s="81"/>
      <c r="H264" s="82"/>
      <c r="I264" s="80"/>
      <c r="N264" s="7" t="str">
        <f t="shared" si="116"/>
        <v>#LIHBWSEH1 </v>
      </c>
      <c r="O264" s="7">
        <f t="shared" si="108"/>
        <v>0</v>
      </c>
      <c r="P264" s="21">
        <f t="shared" si="117"/>
        <v>43238</v>
      </c>
      <c r="Q264" s="22">
        <f>VLOOKUP(R264,Referencias!$D$1:$E$13,2,0)</f>
        <v>5</v>
      </c>
      <c r="R264" s="7" t="str">
        <f t="shared" si="118"/>
        <v>MAI</v>
      </c>
      <c r="S264" s="7">
        <f t="shared" si="109"/>
        <v>0</v>
      </c>
      <c r="T264" s="11">
        <f t="shared" si="119"/>
        <v>18</v>
      </c>
      <c r="U264" s="11">
        <f t="shared" si="110"/>
        <v>0</v>
      </c>
      <c r="V264" s="11" t="str">
        <f>VLOOKUP(C264,Referencias!$A$2:$B$33,2,1)</f>
        <v>21 - 22</v>
      </c>
      <c r="W264" s="23" t="str">
        <f t="shared" si="122"/>
        <v/>
      </c>
      <c r="X264" s="11">
        <f t="shared" si="111"/>
        <v>0</v>
      </c>
      <c r="Y264" s="11">
        <f t="shared" si="123"/>
        <v>0</v>
      </c>
      <c r="Z264" s="24">
        <f t="shared" si="120"/>
        <v>0</v>
      </c>
      <c r="AA264" s="25">
        <f t="shared" si="121"/>
        <v>0</v>
      </c>
      <c r="AB264" s="24">
        <f t="shared" si="112"/>
        <v>0</v>
      </c>
      <c r="AC264" s="24">
        <f t="shared" si="113"/>
        <v>0</v>
      </c>
      <c r="AD264" s="24">
        <f t="shared" si="114"/>
        <v>0</v>
      </c>
      <c r="AE264" s="24">
        <f t="shared" si="115"/>
        <v>0</v>
      </c>
      <c r="AF264" s="119" t="str">
        <f>VLOOKUP(P264*1,Referencias!$G:$H,2,0)</f>
        <v>sex</v>
      </c>
      <c r="AZ264" s="11" t="s">
        <v>483</v>
      </c>
      <c r="BA264" s="29">
        <v>2.1527777777777781E-2</v>
      </c>
      <c r="BB264" s="30">
        <v>3.67</v>
      </c>
      <c r="BC264" s="30">
        <v>6.03</v>
      </c>
      <c r="BD264" s="31">
        <v>1</v>
      </c>
      <c r="BF264"/>
      <c r="BG264"/>
      <c r="BH264"/>
      <c r="BI264"/>
      <c r="BS264" s="10"/>
    </row>
    <row r="265" spans="1:71" ht="14.4" x14ac:dyDescent="0.3">
      <c r="A265" s="83"/>
      <c r="B265" s="83"/>
      <c r="C265" s="83"/>
      <c r="D265" s="83"/>
      <c r="E265" s="83"/>
      <c r="F265" s="83"/>
      <c r="G265" s="83"/>
      <c r="H265" s="83"/>
      <c r="I265" s="83"/>
      <c r="N265" s="7" t="str">
        <f t="shared" si="116"/>
        <v>#LIHBWSEH1 </v>
      </c>
      <c r="O265" s="7">
        <f t="shared" si="108"/>
        <v>0</v>
      </c>
      <c r="P265" s="21">
        <f t="shared" si="117"/>
        <v>43238</v>
      </c>
      <c r="Q265" s="22">
        <f>VLOOKUP(R265,Referencias!$D$1:$E$13,2,0)</f>
        <v>5</v>
      </c>
      <c r="R265" s="7" t="str">
        <f t="shared" si="118"/>
        <v>MAI</v>
      </c>
      <c r="S265" s="7">
        <f t="shared" si="109"/>
        <v>0</v>
      </c>
      <c r="T265" s="11">
        <f t="shared" si="119"/>
        <v>18</v>
      </c>
      <c r="U265" s="11">
        <f t="shared" si="110"/>
        <v>0</v>
      </c>
      <c r="V265" s="11" t="e">
        <f>VLOOKUP(C265,Referencias!$A$2:$B$33,2,1)</f>
        <v>#N/A</v>
      </c>
      <c r="W265" s="23" t="str">
        <f t="shared" si="122"/>
        <v/>
      </c>
      <c r="X265" s="11">
        <f t="shared" si="111"/>
        <v>0</v>
      </c>
      <c r="Y265" s="11">
        <f t="shared" si="123"/>
        <v>0</v>
      </c>
      <c r="Z265" s="24">
        <f t="shared" si="120"/>
        <v>0</v>
      </c>
      <c r="AA265" s="25">
        <f t="shared" si="121"/>
        <v>0</v>
      </c>
      <c r="AB265" s="24">
        <f t="shared" si="112"/>
        <v>0</v>
      </c>
      <c r="AC265" s="24">
        <f t="shared" si="113"/>
        <v>0</v>
      </c>
      <c r="AD265" s="24">
        <f t="shared" si="114"/>
        <v>0</v>
      </c>
      <c r="AE265" s="24">
        <f t="shared" si="115"/>
        <v>0</v>
      </c>
      <c r="AF265" s="119" t="str">
        <f>VLOOKUP(P265*1,Referencias!$G:$H,2,0)</f>
        <v>sex</v>
      </c>
      <c r="AZ265" s="11" t="s">
        <v>477</v>
      </c>
      <c r="BA265" s="29">
        <v>4.027777777777778E-2</v>
      </c>
      <c r="BB265" s="30">
        <v>5.97</v>
      </c>
      <c r="BC265" s="30">
        <v>11.67</v>
      </c>
      <c r="BD265" s="31">
        <v>1</v>
      </c>
      <c r="BF265"/>
      <c r="BG265"/>
      <c r="BH265"/>
      <c r="BI265"/>
      <c r="BS265" s="10"/>
    </row>
    <row r="266" spans="1:71" ht="14.4" x14ac:dyDescent="0.3">
      <c r="A266" s="76"/>
      <c r="B266" s="76"/>
      <c r="C266" s="76"/>
      <c r="D266" s="76"/>
      <c r="E266" s="76"/>
      <c r="F266" s="76"/>
      <c r="G266" s="76"/>
      <c r="H266" s="76"/>
      <c r="I266" s="76"/>
      <c r="N266" s="7" t="str">
        <f t="shared" si="116"/>
        <v>#LIHBWSEH1 </v>
      </c>
      <c r="O266" s="7">
        <f t="shared" si="108"/>
        <v>0</v>
      </c>
      <c r="P266" s="21">
        <f t="shared" si="117"/>
        <v>43238</v>
      </c>
      <c r="Q266" s="22">
        <f>VLOOKUP(R266,Referencias!$D$1:$E$13,2,0)</f>
        <v>5</v>
      </c>
      <c r="R266" s="7" t="str">
        <f t="shared" si="118"/>
        <v>MAI</v>
      </c>
      <c r="S266" s="7">
        <f t="shared" si="109"/>
        <v>0</v>
      </c>
      <c r="T266" s="11">
        <f t="shared" si="119"/>
        <v>18</v>
      </c>
      <c r="U266" s="11">
        <f t="shared" si="110"/>
        <v>0</v>
      </c>
      <c r="V266" s="11" t="e">
        <f>VLOOKUP(C266,Referencias!$A$2:$B$33,2,1)</f>
        <v>#N/A</v>
      </c>
      <c r="W266" s="23" t="str">
        <f t="shared" si="122"/>
        <v/>
      </c>
      <c r="X266" s="11">
        <f t="shared" si="111"/>
        <v>0</v>
      </c>
      <c r="Y266" s="11">
        <f t="shared" si="123"/>
        <v>0</v>
      </c>
      <c r="Z266" s="24">
        <f t="shared" si="120"/>
        <v>0</v>
      </c>
      <c r="AA266" s="25">
        <f t="shared" si="121"/>
        <v>0</v>
      </c>
      <c r="AB266" s="24">
        <f t="shared" si="112"/>
        <v>0</v>
      </c>
      <c r="AC266" s="24">
        <f t="shared" si="113"/>
        <v>0</v>
      </c>
      <c r="AD266" s="24">
        <f t="shared" si="114"/>
        <v>0</v>
      </c>
      <c r="AE266" s="24">
        <f t="shared" si="115"/>
        <v>0</v>
      </c>
      <c r="AF266" s="119" t="str">
        <f>VLOOKUP(P266*1,Referencias!$G:$H,2,0)</f>
        <v>sex</v>
      </c>
      <c r="AZ266" s="11" t="s">
        <v>481</v>
      </c>
      <c r="BA266" s="29">
        <v>1.8055555555555557E-2</v>
      </c>
      <c r="BB266" s="30">
        <v>5.04</v>
      </c>
      <c r="BC266" s="30">
        <v>7.73</v>
      </c>
      <c r="BD266" s="31">
        <v>1</v>
      </c>
      <c r="BF266"/>
      <c r="BG266"/>
      <c r="BH266"/>
      <c r="BI266"/>
      <c r="BS266" s="10"/>
    </row>
    <row r="267" spans="1:71" ht="14.4" x14ac:dyDescent="0.3">
      <c r="A267" s="77"/>
      <c r="B267" s="78" t="s">
        <v>133</v>
      </c>
      <c r="C267" s="79">
        <v>0.87777777777777777</v>
      </c>
      <c r="D267" s="80">
        <v>2.52</v>
      </c>
      <c r="E267" s="80" t="s">
        <v>48</v>
      </c>
      <c r="F267" s="80"/>
      <c r="G267" s="81">
        <v>2.48</v>
      </c>
      <c r="H267" s="82">
        <v>102.74</v>
      </c>
      <c r="I267" s="80"/>
      <c r="N267" s="7" t="str">
        <f t="shared" si="116"/>
        <v>#LINL6ZBF9 </v>
      </c>
      <c r="O267" s="7" t="str">
        <f t="shared" si="108"/>
        <v>#LINL6ZBF9 </v>
      </c>
      <c r="P267" s="21">
        <f t="shared" si="117"/>
        <v>43238</v>
      </c>
      <c r="Q267" s="22">
        <f>VLOOKUP(R267,Referencias!$D$1:$E$13,2,0)</f>
        <v>5</v>
      </c>
      <c r="R267" s="7" t="str">
        <f t="shared" si="118"/>
        <v>MAI</v>
      </c>
      <c r="S267" s="7">
        <f t="shared" si="109"/>
        <v>0</v>
      </c>
      <c r="T267" s="11">
        <f t="shared" si="119"/>
        <v>18</v>
      </c>
      <c r="U267" s="11">
        <f t="shared" si="110"/>
        <v>0</v>
      </c>
      <c r="V267" s="11" t="str">
        <f>VLOOKUP(C267,Referencias!$A$2:$B$33,2,1)</f>
        <v>21 - 22</v>
      </c>
      <c r="W267" s="23">
        <f t="shared" si="122"/>
        <v>1.6666666666666607E-2</v>
      </c>
      <c r="X267" s="11">
        <f t="shared" si="111"/>
        <v>2.52</v>
      </c>
      <c r="Y267" s="11">
        <f t="shared" si="123"/>
        <v>4.4501519200497857</v>
      </c>
      <c r="Z267" s="24">
        <f t="shared" si="120"/>
        <v>2.48</v>
      </c>
      <c r="AA267" s="25">
        <f t="shared" si="121"/>
        <v>6.2000000000000215</v>
      </c>
      <c r="AB267" s="24">
        <f t="shared" si="112"/>
        <v>1</v>
      </c>
      <c r="AC267" s="24">
        <f t="shared" si="113"/>
        <v>1.6247675782624689</v>
      </c>
      <c r="AD267" s="24">
        <f t="shared" si="114"/>
        <v>1.968528881178097</v>
      </c>
      <c r="AE267" s="24">
        <f t="shared" si="115"/>
        <v>2.3339937942814402</v>
      </c>
      <c r="AF267" s="119" t="str">
        <f>VLOOKUP(P267*1,Referencias!$G:$H,2,0)</f>
        <v>sex</v>
      </c>
      <c r="AZ267" s="11" t="s">
        <v>480</v>
      </c>
      <c r="BA267" s="29">
        <v>3.7499999999999999E-2</v>
      </c>
      <c r="BB267" s="30">
        <v>3.96</v>
      </c>
      <c r="BC267" s="30">
        <v>6.44</v>
      </c>
      <c r="BD267" s="31">
        <v>1</v>
      </c>
      <c r="BF267"/>
      <c r="BG267"/>
      <c r="BH267"/>
      <c r="BI267"/>
      <c r="BS267" s="10"/>
    </row>
    <row r="268" spans="1:71" ht="14.4" x14ac:dyDescent="0.3">
      <c r="A268" s="77"/>
      <c r="B268" s="78"/>
      <c r="C268" s="79">
        <v>0.89444444444444438</v>
      </c>
      <c r="D268" s="80"/>
      <c r="E268" s="80"/>
      <c r="F268" s="80"/>
      <c r="G268" s="81"/>
      <c r="H268" s="82"/>
      <c r="I268" s="80"/>
      <c r="N268" s="7" t="str">
        <f t="shared" si="116"/>
        <v>#LINL6ZBF9 </v>
      </c>
      <c r="O268" s="7">
        <f t="shared" si="108"/>
        <v>0</v>
      </c>
      <c r="P268" s="21">
        <f t="shared" si="117"/>
        <v>43238</v>
      </c>
      <c r="Q268" s="22">
        <f>VLOOKUP(R268,Referencias!$D$1:$E$13,2,0)</f>
        <v>5</v>
      </c>
      <c r="R268" s="7" t="str">
        <f t="shared" si="118"/>
        <v>MAI</v>
      </c>
      <c r="S268" s="7">
        <f t="shared" si="109"/>
        <v>0</v>
      </c>
      <c r="T268" s="11">
        <f t="shared" si="119"/>
        <v>18</v>
      </c>
      <c r="U268" s="11">
        <f t="shared" si="110"/>
        <v>0</v>
      </c>
      <c r="V268" s="11" t="str">
        <f>VLOOKUP(C268,Referencias!$A$2:$B$33,2,1)</f>
        <v>21 - 22</v>
      </c>
      <c r="W268" s="23" t="str">
        <f t="shared" si="122"/>
        <v/>
      </c>
      <c r="X268" s="11">
        <f t="shared" si="111"/>
        <v>0</v>
      </c>
      <c r="Y268" s="11">
        <f t="shared" si="123"/>
        <v>0</v>
      </c>
      <c r="Z268" s="24">
        <f t="shared" si="120"/>
        <v>0</v>
      </c>
      <c r="AA268" s="25">
        <f t="shared" si="121"/>
        <v>0</v>
      </c>
      <c r="AB268" s="24">
        <f t="shared" si="112"/>
        <v>0</v>
      </c>
      <c r="AC268" s="24">
        <f t="shared" si="113"/>
        <v>0</v>
      </c>
      <c r="AD268" s="24">
        <f t="shared" si="114"/>
        <v>0</v>
      </c>
      <c r="AE268" s="24">
        <f t="shared" si="115"/>
        <v>0</v>
      </c>
      <c r="AF268" s="119" t="str">
        <f>VLOOKUP(P268*1,Referencias!$G:$H,2,0)</f>
        <v>sex</v>
      </c>
      <c r="AZ268" s="11" t="s">
        <v>469</v>
      </c>
      <c r="BA268" s="29">
        <v>3.888888888888889E-2</v>
      </c>
      <c r="BB268" s="30">
        <v>4.22</v>
      </c>
      <c r="BC268" s="30">
        <v>5.59</v>
      </c>
      <c r="BD268" s="31">
        <v>1</v>
      </c>
      <c r="BF268"/>
      <c r="BG268"/>
      <c r="BH268"/>
      <c r="BI268"/>
      <c r="BS268" s="10"/>
    </row>
    <row r="269" spans="1:71" ht="14.4" x14ac:dyDescent="0.3">
      <c r="A269" s="83"/>
      <c r="B269" s="83"/>
      <c r="C269" s="83"/>
      <c r="D269" s="83"/>
      <c r="E269" s="83"/>
      <c r="F269" s="83"/>
      <c r="G269" s="83"/>
      <c r="H269" s="83"/>
      <c r="I269" s="83"/>
      <c r="N269" s="7" t="str">
        <f t="shared" si="116"/>
        <v>#LINL6ZBF9 </v>
      </c>
      <c r="O269" s="7">
        <f t="shared" si="108"/>
        <v>0</v>
      </c>
      <c r="P269" s="21">
        <f t="shared" si="117"/>
        <v>43238</v>
      </c>
      <c r="Q269" s="22">
        <f>VLOOKUP(R269,Referencias!$D$1:$E$13,2,0)</f>
        <v>5</v>
      </c>
      <c r="R269" s="7" t="str">
        <f t="shared" si="118"/>
        <v>MAI</v>
      </c>
      <c r="S269" s="7">
        <f t="shared" si="109"/>
        <v>0</v>
      </c>
      <c r="T269" s="11">
        <f t="shared" si="119"/>
        <v>18</v>
      </c>
      <c r="U269" s="11">
        <f t="shared" si="110"/>
        <v>0</v>
      </c>
      <c r="V269" s="11" t="e">
        <f>VLOOKUP(C269,Referencias!$A$2:$B$33,2,1)</f>
        <v>#N/A</v>
      </c>
      <c r="W269" s="23" t="str">
        <f t="shared" si="122"/>
        <v/>
      </c>
      <c r="X269" s="11">
        <f t="shared" si="111"/>
        <v>0</v>
      </c>
      <c r="Y269" s="11">
        <f t="shared" si="123"/>
        <v>0</v>
      </c>
      <c r="Z269" s="24">
        <f t="shared" si="120"/>
        <v>0</v>
      </c>
      <c r="AA269" s="25">
        <f t="shared" si="121"/>
        <v>0</v>
      </c>
      <c r="AB269" s="24">
        <f t="shared" si="112"/>
        <v>0</v>
      </c>
      <c r="AC269" s="24">
        <f t="shared" si="113"/>
        <v>0</v>
      </c>
      <c r="AD269" s="24">
        <f t="shared" si="114"/>
        <v>0</v>
      </c>
      <c r="AE269" s="24">
        <f t="shared" si="115"/>
        <v>0</v>
      </c>
      <c r="AF269" s="119" t="str">
        <f>VLOOKUP(P269*1,Referencias!$G:$H,2,0)</f>
        <v>sex</v>
      </c>
      <c r="AZ269" s="11" t="s">
        <v>484</v>
      </c>
      <c r="BA269" s="29">
        <v>2.0833333333333332E-2</v>
      </c>
      <c r="BB269" s="30">
        <v>4.09</v>
      </c>
      <c r="BC269" s="30">
        <v>5.48</v>
      </c>
      <c r="BD269" s="31">
        <v>1</v>
      </c>
      <c r="BF269"/>
      <c r="BG269"/>
      <c r="BH269"/>
      <c r="BI269"/>
      <c r="BS269" s="10"/>
    </row>
    <row r="270" spans="1:71" ht="14.4" x14ac:dyDescent="0.3">
      <c r="A270" s="76"/>
      <c r="B270" s="76"/>
      <c r="C270" s="76"/>
      <c r="D270" s="76"/>
      <c r="E270" s="76"/>
      <c r="F270" s="76"/>
      <c r="G270" s="76"/>
      <c r="H270" s="76"/>
      <c r="I270" s="76"/>
      <c r="N270" s="7" t="str">
        <f t="shared" si="116"/>
        <v>#LINL6ZBF9 </v>
      </c>
      <c r="O270" s="7">
        <f t="shared" si="108"/>
        <v>0</v>
      </c>
      <c r="P270" s="21">
        <f t="shared" si="117"/>
        <v>43238</v>
      </c>
      <c r="Q270" s="22">
        <f>VLOOKUP(R270,Referencias!$D$1:$E$13,2,0)</f>
        <v>5</v>
      </c>
      <c r="R270" s="7" t="str">
        <f t="shared" si="118"/>
        <v>MAI</v>
      </c>
      <c r="S270" s="7">
        <f t="shared" si="109"/>
        <v>0</v>
      </c>
      <c r="T270" s="11">
        <f t="shared" si="119"/>
        <v>18</v>
      </c>
      <c r="U270" s="11">
        <f t="shared" si="110"/>
        <v>0</v>
      </c>
      <c r="V270" s="11" t="e">
        <f>VLOOKUP(C270,Referencias!$A$2:$B$33,2,1)</f>
        <v>#N/A</v>
      </c>
      <c r="W270" s="23" t="str">
        <f t="shared" si="122"/>
        <v/>
      </c>
      <c r="X270" s="11">
        <f t="shared" si="111"/>
        <v>0</v>
      </c>
      <c r="Y270" s="11">
        <f t="shared" si="123"/>
        <v>0</v>
      </c>
      <c r="Z270" s="24">
        <f t="shared" si="120"/>
        <v>0</v>
      </c>
      <c r="AA270" s="25">
        <f t="shared" si="121"/>
        <v>0</v>
      </c>
      <c r="AB270" s="24">
        <f t="shared" si="112"/>
        <v>0</v>
      </c>
      <c r="AC270" s="24">
        <f t="shared" si="113"/>
        <v>0</v>
      </c>
      <c r="AD270" s="24">
        <f t="shared" si="114"/>
        <v>0</v>
      </c>
      <c r="AE270" s="24">
        <f t="shared" si="115"/>
        <v>0</v>
      </c>
      <c r="AF270" s="119" t="str">
        <f>VLOOKUP(P270*1,Referencias!$G:$H,2,0)</f>
        <v>sex</v>
      </c>
      <c r="AZ270" s="11" t="s">
        <v>467</v>
      </c>
      <c r="BA270" s="29">
        <v>1.9444444444444445E-2</v>
      </c>
      <c r="BB270" s="30">
        <v>3.04</v>
      </c>
      <c r="BC270" s="30">
        <v>4.08</v>
      </c>
      <c r="BD270" s="31">
        <v>1</v>
      </c>
      <c r="BF270"/>
      <c r="BG270"/>
      <c r="BH270"/>
      <c r="BI270"/>
      <c r="BS270" s="10"/>
    </row>
    <row r="271" spans="1:71" ht="14.4" x14ac:dyDescent="0.3">
      <c r="A271" s="77"/>
      <c r="B271" s="78" t="s">
        <v>134</v>
      </c>
      <c r="C271" s="79">
        <v>0.89444444444444438</v>
      </c>
      <c r="D271" s="80">
        <v>4.4800000000000004</v>
      </c>
      <c r="E271" s="80" t="s">
        <v>53</v>
      </c>
      <c r="F271" s="80"/>
      <c r="G271" s="81">
        <v>3.06</v>
      </c>
      <c r="H271" s="82">
        <v>105.8</v>
      </c>
      <c r="I271" s="80"/>
      <c r="N271" s="7" t="str">
        <f t="shared" si="116"/>
        <v>#LILV1DC1T </v>
      </c>
      <c r="O271" s="7" t="str">
        <f t="shared" si="108"/>
        <v>#LILV1DC1T </v>
      </c>
      <c r="P271" s="21">
        <f t="shared" si="117"/>
        <v>43238</v>
      </c>
      <c r="Q271" s="22">
        <f>VLOOKUP(R271,Referencias!$D$1:$E$13,2,0)</f>
        <v>5</v>
      </c>
      <c r="R271" s="7" t="str">
        <f t="shared" si="118"/>
        <v>MAI</v>
      </c>
      <c r="S271" s="7">
        <f t="shared" si="109"/>
        <v>0</v>
      </c>
      <c r="T271" s="11">
        <f t="shared" si="119"/>
        <v>18</v>
      </c>
      <c r="U271" s="11">
        <f t="shared" si="110"/>
        <v>0</v>
      </c>
      <c r="V271" s="11" t="str">
        <f>VLOOKUP(C271,Referencias!$A$2:$B$33,2,1)</f>
        <v>21 - 22</v>
      </c>
      <c r="W271" s="23">
        <f t="shared" si="122"/>
        <v>2.0138888888888928E-2</v>
      </c>
      <c r="X271" s="11">
        <f t="shared" si="111"/>
        <v>4.4800000000000004</v>
      </c>
      <c r="Y271" s="11">
        <f t="shared" si="123"/>
        <v>7.9113811911996192</v>
      </c>
      <c r="Z271" s="24">
        <f t="shared" si="120"/>
        <v>3.06</v>
      </c>
      <c r="AA271" s="25">
        <f t="shared" si="121"/>
        <v>6.331034482758608</v>
      </c>
      <c r="AB271" s="24">
        <f t="shared" si="112"/>
        <v>1</v>
      </c>
      <c r="AC271" s="24">
        <f t="shared" si="113"/>
        <v>2.0047535441464333</v>
      </c>
      <c r="AD271" s="24">
        <f t="shared" si="114"/>
        <v>2.4289106356471684</v>
      </c>
      <c r="AE271" s="24">
        <f t="shared" si="115"/>
        <v>2.8798471816537128</v>
      </c>
      <c r="AF271" s="119" t="str">
        <f>VLOOKUP(P271*1,Referencias!$G:$H,2,0)</f>
        <v>sex</v>
      </c>
      <c r="AZ271" s="11" t="s">
        <v>471</v>
      </c>
      <c r="BA271" s="29">
        <v>2.4305555555555556E-2</v>
      </c>
      <c r="BB271" s="30">
        <v>5.19</v>
      </c>
      <c r="BC271" s="30">
        <v>10.16</v>
      </c>
      <c r="BD271" s="31">
        <v>1</v>
      </c>
      <c r="BF271"/>
      <c r="BG271"/>
      <c r="BH271"/>
      <c r="BI271"/>
      <c r="BS271" s="10"/>
    </row>
    <row r="272" spans="1:71" ht="14.4" x14ac:dyDescent="0.3">
      <c r="A272" s="77"/>
      <c r="B272" s="78"/>
      <c r="C272" s="79">
        <v>0.9145833333333333</v>
      </c>
      <c r="D272" s="80"/>
      <c r="E272" s="80"/>
      <c r="F272" s="80"/>
      <c r="G272" s="81"/>
      <c r="H272" s="82"/>
      <c r="I272" s="80"/>
      <c r="N272" s="7" t="str">
        <f t="shared" si="116"/>
        <v>#LILV1DC1T </v>
      </c>
      <c r="O272" s="7">
        <f t="shared" si="108"/>
        <v>0</v>
      </c>
      <c r="P272" s="21">
        <f t="shared" si="117"/>
        <v>43238</v>
      </c>
      <c r="Q272" s="22">
        <f>VLOOKUP(R272,Referencias!$D$1:$E$13,2,0)</f>
        <v>5</v>
      </c>
      <c r="R272" s="7" t="str">
        <f t="shared" si="118"/>
        <v>MAI</v>
      </c>
      <c r="S272" s="7">
        <f t="shared" si="109"/>
        <v>0</v>
      </c>
      <c r="T272" s="11">
        <f t="shared" si="119"/>
        <v>18</v>
      </c>
      <c r="U272" s="11">
        <f t="shared" si="110"/>
        <v>0</v>
      </c>
      <c r="V272" s="11" t="str">
        <f>VLOOKUP(C272,Referencias!$A$2:$B$33,2,1)</f>
        <v>21 - 22</v>
      </c>
      <c r="W272" s="23" t="str">
        <f t="shared" si="122"/>
        <v/>
      </c>
      <c r="X272" s="11">
        <f t="shared" si="111"/>
        <v>0</v>
      </c>
      <c r="Y272" s="11">
        <f t="shared" si="123"/>
        <v>0</v>
      </c>
      <c r="Z272" s="24">
        <f t="shared" si="120"/>
        <v>0</v>
      </c>
      <c r="AA272" s="25">
        <f t="shared" si="121"/>
        <v>0</v>
      </c>
      <c r="AB272" s="24">
        <f t="shared" si="112"/>
        <v>0</v>
      </c>
      <c r="AC272" s="24">
        <f t="shared" si="113"/>
        <v>0</v>
      </c>
      <c r="AD272" s="24">
        <f t="shared" si="114"/>
        <v>0</v>
      </c>
      <c r="AE272" s="24">
        <f t="shared" si="115"/>
        <v>0</v>
      </c>
      <c r="AF272" s="119" t="str">
        <f>VLOOKUP(P272*1,Referencias!$G:$H,2,0)</f>
        <v>sex</v>
      </c>
      <c r="AZ272" s="11" t="s">
        <v>482</v>
      </c>
      <c r="BA272" s="29">
        <v>2.6388888888888889E-2</v>
      </c>
      <c r="BB272" s="30">
        <v>3.34</v>
      </c>
      <c r="BC272" s="30">
        <v>4.92</v>
      </c>
      <c r="BD272" s="31">
        <v>1</v>
      </c>
      <c r="BF272"/>
      <c r="BG272"/>
      <c r="BH272"/>
      <c r="BI272"/>
      <c r="BS272" s="10"/>
    </row>
    <row r="273" spans="1:71" ht="14.4" x14ac:dyDescent="0.3">
      <c r="A273" s="83"/>
      <c r="B273" s="83"/>
      <c r="C273" s="83"/>
      <c r="D273" s="83"/>
      <c r="E273" s="83"/>
      <c r="F273" s="83"/>
      <c r="G273" s="83"/>
      <c r="H273" s="83"/>
      <c r="I273" s="83"/>
      <c r="N273" s="7" t="str">
        <f t="shared" si="116"/>
        <v>#LILV1DC1T </v>
      </c>
      <c r="O273" s="7">
        <f t="shared" si="108"/>
        <v>0</v>
      </c>
      <c r="P273" s="21">
        <f t="shared" si="117"/>
        <v>43238</v>
      </c>
      <c r="Q273" s="22">
        <f>VLOOKUP(R273,Referencias!$D$1:$E$13,2,0)</f>
        <v>5</v>
      </c>
      <c r="R273" s="7" t="str">
        <f t="shared" si="118"/>
        <v>MAI</v>
      </c>
      <c r="S273" s="7">
        <f t="shared" si="109"/>
        <v>0</v>
      </c>
      <c r="T273" s="11">
        <f t="shared" si="119"/>
        <v>18</v>
      </c>
      <c r="U273" s="11">
        <f t="shared" si="110"/>
        <v>0</v>
      </c>
      <c r="V273" s="11" t="e">
        <f>VLOOKUP(C273,Referencias!$A$2:$B$33,2,1)</f>
        <v>#N/A</v>
      </c>
      <c r="W273" s="23" t="str">
        <f t="shared" si="122"/>
        <v/>
      </c>
      <c r="X273" s="11">
        <f t="shared" si="111"/>
        <v>0</v>
      </c>
      <c r="Y273" s="11">
        <f t="shared" si="123"/>
        <v>0</v>
      </c>
      <c r="Z273" s="24">
        <f t="shared" si="120"/>
        <v>0</v>
      </c>
      <c r="AA273" s="25">
        <f t="shared" si="121"/>
        <v>0</v>
      </c>
      <c r="AB273" s="24">
        <f t="shared" si="112"/>
        <v>0</v>
      </c>
      <c r="AC273" s="24">
        <f t="shared" si="113"/>
        <v>0</v>
      </c>
      <c r="AD273" s="24">
        <f t="shared" si="114"/>
        <v>0</v>
      </c>
      <c r="AE273" s="24">
        <f t="shared" si="115"/>
        <v>0</v>
      </c>
      <c r="AF273" s="119" t="str">
        <f>VLOOKUP(P273*1,Referencias!$G:$H,2,0)</f>
        <v>sex</v>
      </c>
      <c r="AZ273" s="11" t="s">
        <v>478</v>
      </c>
      <c r="BA273" s="29">
        <v>2.2916666666666669E-2</v>
      </c>
      <c r="BB273" s="30">
        <v>6.66</v>
      </c>
      <c r="BC273" s="30">
        <v>10.1</v>
      </c>
      <c r="BD273" s="31">
        <v>1</v>
      </c>
      <c r="BF273"/>
      <c r="BG273"/>
      <c r="BH273"/>
      <c r="BI273"/>
      <c r="BS273" s="10"/>
    </row>
    <row r="274" spans="1:71" ht="14.4" x14ac:dyDescent="0.3">
      <c r="A274" s="76"/>
      <c r="B274" s="76"/>
      <c r="C274" s="76"/>
      <c r="D274" s="76"/>
      <c r="E274" s="76"/>
      <c r="F274" s="76"/>
      <c r="G274" s="76"/>
      <c r="H274" s="76"/>
      <c r="I274" s="76"/>
      <c r="N274" s="7" t="str">
        <f t="shared" si="116"/>
        <v>#LILV1DC1T </v>
      </c>
      <c r="O274" s="7">
        <f t="shared" si="108"/>
        <v>0</v>
      </c>
      <c r="P274" s="21">
        <f t="shared" si="117"/>
        <v>43238</v>
      </c>
      <c r="Q274" s="22">
        <f>VLOOKUP(R274,Referencias!$D$1:$E$13,2,0)</f>
        <v>5</v>
      </c>
      <c r="R274" s="7" t="str">
        <f t="shared" si="118"/>
        <v>MAI</v>
      </c>
      <c r="S274" s="7">
        <f t="shared" si="109"/>
        <v>0</v>
      </c>
      <c r="T274" s="11">
        <f t="shared" si="119"/>
        <v>18</v>
      </c>
      <c r="U274" s="11">
        <f t="shared" si="110"/>
        <v>0</v>
      </c>
      <c r="V274" s="11" t="e">
        <f>VLOOKUP(C274,Referencias!$A$2:$B$33,2,1)</f>
        <v>#N/A</v>
      </c>
      <c r="W274" s="23" t="str">
        <f t="shared" si="122"/>
        <v/>
      </c>
      <c r="X274" s="11">
        <f t="shared" si="111"/>
        <v>0</v>
      </c>
      <c r="Y274" s="11">
        <f t="shared" si="123"/>
        <v>0</v>
      </c>
      <c r="Z274" s="24">
        <f t="shared" si="120"/>
        <v>0</v>
      </c>
      <c r="AA274" s="25">
        <f t="shared" si="121"/>
        <v>0</v>
      </c>
      <c r="AB274" s="24">
        <f t="shared" si="112"/>
        <v>0</v>
      </c>
      <c r="AC274" s="24">
        <f t="shared" si="113"/>
        <v>0</v>
      </c>
      <c r="AD274" s="24">
        <f t="shared" si="114"/>
        <v>0</v>
      </c>
      <c r="AE274" s="24">
        <f t="shared" si="115"/>
        <v>0</v>
      </c>
      <c r="AF274" s="119" t="str">
        <f>VLOOKUP(P274*1,Referencias!$G:$H,2,0)</f>
        <v>sex</v>
      </c>
      <c r="AZ274" s="11" t="s">
        <v>466</v>
      </c>
      <c r="BA274" s="29">
        <v>2.4999999999999998E-2</v>
      </c>
      <c r="BB274" s="30">
        <v>2.35</v>
      </c>
      <c r="BC274" s="30">
        <v>2.44</v>
      </c>
      <c r="BD274" s="31">
        <v>1</v>
      </c>
      <c r="BF274"/>
      <c r="BG274"/>
      <c r="BS274" s="10"/>
    </row>
    <row r="275" spans="1:71" ht="14.4" x14ac:dyDescent="0.3">
      <c r="A275" s="77"/>
      <c r="B275" s="78" t="s">
        <v>135</v>
      </c>
      <c r="C275" s="79">
        <v>0.9145833333333333</v>
      </c>
      <c r="D275" s="80">
        <v>7.71</v>
      </c>
      <c r="E275" s="80" t="s">
        <v>40</v>
      </c>
      <c r="F275" s="80"/>
      <c r="G275" s="81">
        <v>4.46</v>
      </c>
      <c r="H275" s="82">
        <v>110.26</v>
      </c>
      <c r="I275" s="80"/>
      <c r="N275" s="7" t="str">
        <f t="shared" si="116"/>
        <v>#LIFUKKG8B </v>
      </c>
      <c r="O275" s="7" t="str">
        <f t="shared" si="108"/>
        <v>#LIFUKKG8B </v>
      </c>
      <c r="P275" s="21">
        <f t="shared" si="117"/>
        <v>43238</v>
      </c>
      <c r="Q275" s="22">
        <f>VLOOKUP(R275,Referencias!$D$1:$E$13,2,0)</f>
        <v>5</v>
      </c>
      <c r="R275" s="7" t="str">
        <f t="shared" si="118"/>
        <v>MAI</v>
      </c>
      <c r="S275" s="7">
        <f t="shared" si="109"/>
        <v>0</v>
      </c>
      <c r="T275" s="11">
        <f t="shared" si="119"/>
        <v>18</v>
      </c>
      <c r="U275" s="11">
        <f t="shared" si="110"/>
        <v>0</v>
      </c>
      <c r="V275" s="11" t="str">
        <f>VLOOKUP(C275,Referencias!$A$2:$B$33,2,1)</f>
        <v>21 - 22</v>
      </c>
      <c r="W275" s="23">
        <f t="shared" si="122"/>
        <v>2.6388888888888906E-2</v>
      </c>
      <c r="X275" s="11">
        <f t="shared" si="111"/>
        <v>7.71</v>
      </c>
      <c r="Y275" s="11">
        <f t="shared" si="123"/>
        <v>13.615345755390415</v>
      </c>
      <c r="Z275" s="24">
        <f t="shared" si="120"/>
        <v>4.46</v>
      </c>
      <c r="AA275" s="25">
        <f t="shared" si="121"/>
        <v>7.0421052631578904</v>
      </c>
      <c r="AB275" s="24">
        <f t="shared" si="112"/>
        <v>1</v>
      </c>
      <c r="AC275" s="24">
        <f t="shared" si="113"/>
        <v>2.9219610480042788</v>
      </c>
      <c r="AD275" s="24">
        <f t="shared" si="114"/>
        <v>3.5401769395380294</v>
      </c>
      <c r="AE275" s="24">
        <f t="shared" si="115"/>
        <v>4.1974243235867839</v>
      </c>
      <c r="AF275" s="119" t="str">
        <f>VLOOKUP(P275*1,Referencias!$G:$H,2,0)</f>
        <v>sex</v>
      </c>
      <c r="AZ275" s="11" t="s">
        <v>475</v>
      </c>
      <c r="BA275" s="29">
        <v>3.6111111111111115E-2</v>
      </c>
      <c r="BB275" s="30">
        <v>3.89</v>
      </c>
      <c r="BC275" s="30">
        <v>6.85</v>
      </c>
      <c r="BD275" s="31">
        <v>1</v>
      </c>
      <c r="BF275"/>
      <c r="BG275"/>
      <c r="BS275" s="10"/>
    </row>
    <row r="276" spans="1:71" ht="14.4" x14ac:dyDescent="0.3">
      <c r="A276" s="77"/>
      <c r="B276" s="78"/>
      <c r="C276" s="79">
        <v>0.94097222222222221</v>
      </c>
      <c r="D276" s="80"/>
      <c r="E276" s="80"/>
      <c r="F276" s="80"/>
      <c r="G276" s="81"/>
      <c r="H276" s="82"/>
      <c r="I276" s="80"/>
      <c r="N276" s="7" t="str">
        <f t="shared" si="116"/>
        <v>#LIFUKKG8B </v>
      </c>
      <c r="O276" s="7">
        <f t="shared" si="108"/>
        <v>0</v>
      </c>
      <c r="P276" s="21">
        <f t="shared" si="117"/>
        <v>43238</v>
      </c>
      <c r="Q276" s="22">
        <f>VLOOKUP(R276,Referencias!$D$1:$E$13,2,0)</f>
        <v>5</v>
      </c>
      <c r="R276" s="7" t="str">
        <f t="shared" si="118"/>
        <v>MAI</v>
      </c>
      <c r="S276" s="7">
        <f t="shared" si="109"/>
        <v>0</v>
      </c>
      <c r="T276" s="11">
        <f t="shared" si="119"/>
        <v>18</v>
      </c>
      <c r="U276" s="11">
        <f t="shared" si="110"/>
        <v>0</v>
      </c>
      <c r="V276" s="11" t="str">
        <f>VLOOKUP(C276,Referencias!$A$2:$B$33,2,1)</f>
        <v>22 - 23</v>
      </c>
      <c r="W276" s="23" t="str">
        <f t="shared" si="122"/>
        <v/>
      </c>
      <c r="X276" s="11">
        <f t="shared" si="111"/>
        <v>0</v>
      </c>
      <c r="Y276" s="11">
        <f t="shared" si="123"/>
        <v>0</v>
      </c>
      <c r="Z276" s="24">
        <f t="shared" si="120"/>
        <v>0</v>
      </c>
      <c r="AA276" s="25">
        <f t="shared" si="121"/>
        <v>0</v>
      </c>
      <c r="AB276" s="24">
        <f t="shared" si="112"/>
        <v>0</v>
      </c>
      <c r="AC276" s="24">
        <f t="shared" si="113"/>
        <v>0</v>
      </c>
      <c r="AD276" s="24">
        <f t="shared" si="114"/>
        <v>0</v>
      </c>
      <c r="AE276" s="24">
        <f t="shared" si="115"/>
        <v>0</v>
      </c>
      <c r="AF276" s="119" t="str">
        <f>VLOOKUP(P276*1,Referencias!$G:$H,2,0)</f>
        <v>sex</v>
      </c>
      <c r="AZ276" s="11" t="s">
        <v>479</v>
      </c>
      <c r="BA276" s="29">
        <v>5.1388888888888894E-2</v>
      </c>
      <c r="BB276" s="30">
        <v>6.13</v>
      </c>
      <c r="BC276" s="30">
        <v>13.24</v>
      </c>
      <c r="BD276" s="31">
        <v>1</v>
      </c>
      <c r="BF276"/>
      <c r="BG276"/>
      <c r="BS276" s="10"/>
    </row>
    <row r="277" spans="1:71" ht="14.4" x14ac:dyDescent="0.3">
      <c r="A277" s="83"/>
      <c r="B277" s="83"/>
      <c r="C277" s="83"/>
      <c r="D277" s="83"/>
      <c r="E277" s="83"/>
      <c r="F277" s="83"/>
      <c r="G277" s="83"/>
      <c r="H277" s="83"/>
      <c r="I277" s="83"/>
      <c r="N277" s="7" t="str">
        <f t="shared" si="116"/>
        <v>#LIFUKKG8B </v>
      </c>
      <c r="O277" s="7">
        <f t="shared" si="108"/>
        <v>0</v>
      </c>
      <c r="P277" s="21">
        <f t="shared" si="117"/>
        <v>43238</v>
      </c>
      <c r="Q277" s="22">
        <f>VLOOKUP(R277,Referencias!$D$1:$E$13,2,0)</f>
        <v>5</v>
      </c>
      <c r="R277" s="7" t="str">
        <f t="shared" si="118"/>
        <v>MAI</v>
      </c>
      <c r="S277" s="7">
        <f t="shared" si="109"/>
        <v>0</v>
      </c>
      <c r="T277" s="11">
        <f t="shared" si="119"/>
        <v>18</v>
      </c>
      <c r="U277" s="11">
        <f t="shared" si="110"/>
        <v>0</v>
      </c>
      <c r="V277" s="11" t="e">
        <f>VLOOKUP(C277,Referencias!$A$2:$B$33,2,1)</f>
        <v>#N/A</v>
      </c>
      <c r="W277" s="23" t="str">
        <f t="shared" si="122"/>
        <v/>
      </c>
      <c r="X277" s="11">
        <f t="shared" si="111"/>
        <v>0</v>
      </c>
      <c r="Y277" s="11">
        <f t="shared" si="123"/>
        <v>0</v>
      </c>
      <c r="Z277" s="24">
        <f t="shared" si="120"/>
        <v>0</v>
      </c>
      <c r="AA277" s="25">
        <f t="shared" si="121"/>
        <v>0</v>
      </c>
      <c r="AB277" s="24">
        <f t="shared" si="112"/>
        <v>0</v>
      </c>
      <c r="AC277" s="24">
        <f t="shared" si="113"/>
        <v>0</v>
      </c>
      <c r="AD277" s="24">
        <f t="shared" si="114"/>
        <v>0</v>
      </c>
      <c r="AE277" s="24">
        <f t="shared" si="115"/>
        <v>0</v>
      </c>
      <c r="AF277" s="119" t="str">
        <f>VLOOKUP(P277*1,Referencias!$G:$H,2,0)</f>
        <v>sex</v>
      </c>
      <c r="AZ277" s="11" t="s">
        <v>185</v>
      </c>
      <c r="BA277" s="29"/>
      <c r="BB277" s="30"/>
      <c r="BC277" s="30"/>
      <c r="BD277" s="31"/>
      <c r="BF277"/>
      <c r="BG277"/>
      <c r="BS277" s="10"/>
    </row>
    <row r="278" spans="1:71" ht="14.4" x14ac:dyDescent="0.3">
      <c r="A278" s="76"/>
      <c r="B278" s="76"/>
      <c r="C278" s="76"/>
      <c r="D278" s="76"/>
      <c r="E278" s="76"/>
      <c r="F278" s="76"/>
      <c r="G278" s="76"/>
      <c r="H278" s="76"/>
      <c r="I278" s="76"/>
      <c r="N278" s="7" t="str">
        <f t="shared" si="116"/>
        <v>#LIFUKKG8B </v>
      </c>
      <c r="O278" s="7">
        <f t="shared" si="108"/>
        <v>0</v>
      </c>
      <c r="P278" s="21">
        <f t="shared" si="117"/>
        <v>43238</v>
      </c>
      <c r="Q278" s="22">
        <f>VLOOKUP(R278,Referencias!$D$1:$E$13,2,0)</f>
        <v>5</v>
      </c>
      <c r="R278" s="7" t="str">
        <f t="shared" si="118"/>
        <v>MAI</v>
      </c>
      <c r="S278" s="7">
        <f t="shared" si="109"/>
        <v>0</v>
      </c>
      <c r="T278" s="11">
        <f t="shared" si="119"/>
        <v>18</v>
      </c>
      <c r="U278" s="11">
        <f t="shared" si="110"/>
        <v>0</v>
      </c>
      <c r="V278" s="11" t="e">
        <f>VLOOKUP(C278,Referencias!$A$2:$B$33,2,1)</f>
        <v>#N/A</v>
      </c>
      <c r="W278" s="23" t="str">
        <f t="shared" si="122"/>
        <v/>
      </c>
      <c r="X278" s="11">
        <f t="shared" si="111"/>
        <v>0</v>
      </c>
      <c r="Y278" s="11">
        <f t="shared" si="123"/>
        <v>0</v>
      </c>
      <c r="Z278" s="24">
        <f t="shared" si="120"/>
        <v>0</v>
      </c>
      <c r="AA278" s="25">
        <f t="shared" si="121"/>
        <v>0</v>
      </c>
      <c r="AB278" s="24">
        <f t="shared" si="112"/>
        <v>0</v>
      </c>
      <c r="AC278" s="24">
        <f t="shared" si="113"/>
        <v>0</v>
      </c>
      <c r="AD278" s="24">
        <f t="shared" si="114"/>
        <v>0</v>
      </c>
      <c r="AE278" s="24">
        <f t="shared" si="115"/>
        <v>0</v>
      </c>
      <c r="AF278" s="119" t="str">
        <f>VLOOKUP(P278*1,Referencias!$G:$H,2,0)</f>
        <v>sex</v>
      </c>
      <c r="AZ278" s="35" t="s">
        <v>147</v>
      </c>
      <c r="BA278" s="29">
        <v>6.5048611111111079</v>
      </c>
      <c r="BB278" s="30">
        <v>989.41000000000031</v>
      </c>
      <c r="BC278" s="30">
        <v>1528.1799999999996</v>
      </c>
      <c r="BD278" s="31">
        <v>242</v>
      </c>
      <c r="BF278"/>
      <c r="BG278"/>
      <c r="BS278" s="10"/>
    </row>
    <row r="279" spans="1:71" ht="14.4" x14ac:dyDescent="0.3">
      <c r="A279" s="77"/>
      <c r="B279" s="78" t="s">
        <v>136</v>
      </c>
      <c r="C279" s="79">
        <v>0.95138888888888884</v>
      </c>
      <c r="D279" s="80">
        <v>5.78</v>
      </c>
      <c r="E279" s="80" t="s">
        <v>85</v>
      </c>
      <c r="F279" s="80"/>
      <c r="G279" s="81">
        <v>4.04</v>
      </c>
      <c r="H279" s="82">
        <v>114.3</v>
      </c>
      <c r="I279" s="80"/>
      <c r="N279" s="7" t="str">
        <f t="shared" si="116"/>
        <v>#LICEZULYB </v>
      </c>
      <c r="O279" s="7" t="str">
        <f t="shared" si="108"/>
        <v>#LICEZULYB </v>
      </c>
      <c r="P279" s="21">
        <f t="shared" si="117"/>
        <v>43238</v>
      </c>
      <c r="Q279" s="22">
        <f>VLOOKUP(R279,Referencias!$D$1:$E$13,2,0)</f>
        <v>5</v>
      </c>
      <c r="R279" s="7" t="str">
        <f t="shared" si="118"/>
        <v>MAI</v>
      </c>
      <c r="S279" s="7">
        <f t="shared" si="109"/>
        <v>0</v>
      </c>
      <c r="T279" s="11">
        <f t="shared" si="119"/>
        <v>18</v>
      </c>
      <c r="U279" s="11">
        <f t="shared" si="110"/>
        <v>0</v>
      </c>
      <c r="V279" s="11" t="str">
        <f>VLOOKUP(C279,Referencias!$A$2:$B$33,2,1)</f>
        <v>22 - 23</v>
      </c>
      <c r="W279" s="23">
        <f t="shared" si="122"/>
        <v>3.1944444444444553E-2</v>
      </c>
      <c r="X279" s="11">
        <f t="shared" si="111"/>
        <v>5.78</v>
      </c>
      <c r="Y279" s="11">
        <f t="shared" si="123"/>
        <v>10.207094483288794</v>
      </c>
      <c r="Z279" s="24">
        <f t="shared" si="120"/>
        <v>4.04</v>
      </c>
      <c r="AA279" s="25">
        <f t="shared" si="121"/>
        <v>5.2695652173912855</v>
      </c>
      <c r="AB279" s="24">
        <f t="shared" si="112"/>
        <v>1</v>
      </c>
      <c r="AC279" s="24">
        <f t="shared" si="113"/>
        <v>2.6467987968469253</v>
      </c>
      <c r="AD279" s="24">
        <f t="shared" si="114"/>
        <v>3.2067970483707708</v>
      </c>
      <c r="AE279" s="24">
        <f t="shared" si="115"/>
        <v>3.8021511810068627</v>
      </c>
      <c r="AF279" s="119" t="str">
        <f>VLOOKUP(P279*1,Referencias!$G:$H,2,0)</f>
        <v>sex</v>
      </c>
      <c r="BA279" s="10"/>
      <c r="BF279"/>
      <c r="BG279"/>
      <c r="BS279" s="10"/>
    </row>
    <row r="280" spans="1:71" ht="14.4" x14ac:dyDescent="0.3">
      <c r="A280" s="77"/>
      <c r="B280" s="78"/>
      <c r="C280" s="79">
        <v>0.98333333333333339</v>
      </c>
      <c r="D280" s="80"/>
      <c r="E280" s="80"/>
      <c r="F280" s="80"/>
      <c r="G280" s="81"/>
      <c r="H280" s="82"/>
      <c r="I280" s="80"/>
      <c r="N280" s="7" t="str">
        <f t="shared" si="116"/>
        <v>#LICEZULYB </v>
      </c>
      <c r="O280" s="7">
        <f t="shared" si="108"/>
        <v>0</v>
      </c>
      <c r="P280" s="21">
        <f t="shared" si="117"/>
        <v>43238</v>
      </c>
      <c r="Q280" s="22">
        <f>VLOOKUP(R280,Referencias!$D$1:$E$13,2,0)</f>
        <v>5</v>
      </c>
      <c r="R280" s="7" t="str">
        <f t="shared" si="118"/>
        <v>MAI</v>
      </c>
      <c r="S280" s="7">
        <f t="shared" si="109"/>
        <v>0</v>
      </c>
      <c r="T280" s="11">
        <f t="shared" si="119"/>
        <v>18</v>
      </c>
      <c r="U280" s="11">
        <f t="shared" si="110"/>
        <v>0</v>
      </c>
      <c r="V280" s="11" t="str">
        <f>VLOOKUP(C280,Referencias!$A$2:$B$33,2,1)</f>
        <v>23 - 24</v>
      </c>
      <c r="W280" s="23" t="str">
        <f t="shared" si="122"/>
        <v/>
      </c>
      <c r="X280" s="11">
        <f t="shared" si="111"/>
        <v>0</v>
      </c>
      <c r="Y280" s="11">
        <f t="shared" si="123"/>
        <v>0</v>
      </c>
      <c r="Z280" s="24">
        <f t="shared" si="120"/>
        <v>0</v>
      </c>
      <c r="AA280" s="25">
        <f t="shared" si="121"/>
        <v>0</v>
      </c>
      <c r="AB280" s="24">
        <f t="shared" si="112"/>
        <v>0</v>
      </c>
      <c r="AC280" s="24">
        <f t="shared" si="113"/>
        <v>0</v>
      </c>
      <c r="AD280" s="24">
        <f t="shared" si="114"/>
        <v>0</v>
      </c>
      <c r="AE280" s="24">
        <f t="shared" si="115"/>
        <v>0</v>
      </c>
      <c r="AF280" s="119" t="str">
        <f>VLOOKUP(P280*1,Referencias!$G:$H,2,0)</f>
        <v>sex</v>
      </c>
      <c r="BA280" s="10"/>
      <c r="BF280"/>
      <c r="BG280"/>
      <c r="BS280" s="10"/>
    </row>
    <row r="281" spans="1:71" ht="15" thickBot="1" x14ac:dyDescent="0.35">
      <c r="A281" s="84"/>
      <c r="B281" s="84"/>
      <c r="C281" s="84"/>
      <c r="D281" s="84"/>
      <c r="E281" s="84"/>
      <c r="F281" s="84"/>
      <c r="G281" s="84"/>
      <c r="H281" s="84"/>
      <c r="I281" s="84"/>
      <c r="N281" s="7" t="str">
        <f t="shared" si="116"/>
        <v>#LICEZULYB </v>
      </c>
      <c r="O281" s="7">
        <f t="shared" si="108"/>
        <v>0</v>
      </c>
      <c r="P281" s="21">
        <f t="shared" si="117"/>
        <v>43238</v>
      </c>
      <c r="Q281" s="22">
        <f>VLOOKUP(R281,Referencias!$D$1:$E$13,2,0)</f>
        <v>5</v>
      </c>
      <c r="R281" s="7" t="str">
        <f t="shared" si="118"/>
        <v>MAI</v>
      </c>
      <c r="S281" s="7">
        <f t="shared" si="109"/>
        <v>0</v>
      </c>
      <c r="T281" s="11">
        <f t="shared" si="119"/>
        <v>18</v>
      </c>
      <c r="U281" s="11">
        <f t="shared" si="110"/>
        <v>0</v>
      </c>
      <c r="V281" s="11" t="e">
        <f>VLOOKUP(C281,Referencias!$A$2:$B$33,2,1)</f>
        <v>#N/A</v>
      </c>
      <c r="W281" s="23" t="str">
        <f t="shared" si="122"/>
        <v/>
      </c>
      <c r="X281" s="11">
        <f t="shared" si="111"/>
        <v>0</v>
      </c>
      <c r="Y281" s="11">
        <f t="shared" si="123"/>
        <v>0</v>
      </c>
      <c r="Z281" s="24">
        <f t="shared" si="120"/>
        <v>0</v>
      </c>
      <c r="AA281" s="25">
        <f t="shared" si="121"/>
        <v>0</v>
      </c>
      <c r="AB281" s="24">
        <f t="shared" si="112"/>
        <v>0</v>
      </c>
      <c r="AC281" s="24">
        <f t="shared" si="113"/>
        <v>0</v>
      </c>
      <c r="AD281" s="24">
        <f t="shared" si="114"/>
        <v>0</v>
      </c>
      <c r="AE281" s="24">
        <f t="shared" si="115"/>
        <v>0</v>
      </c>
      <c r="AF281" s="119" t="str">
        <f>VLOOKUP(P281*1,Referencias!$G:$H,2,0)</f>
        <v>sex</v>
      </c>
      <c r="BA281" s="10"/>
      <c r="BF281"/>
      <c r="BG281"/>
      <c r="BS281" s="10"/>
    </row>
    <row r="282" spans="1:71" ht="14.4" x14ac:dyDescent="0.3">
      <c r="A282" s="77">
        <v>19</v>
      </c>
      <c r="B282" s="85" t="s">
        <v>137</v>
      </c>
      <c r="C282" s="79">
        <v>0.79375000000000007</v>
      </c>
      <c r="D282" s="86">
        <v>5.28</v>
      </c>
      <c r="E282" s="86" t="s">
        <v>86</v>
      </c>
      <c r="F282" s="86"/>
      <c r="G282" s="87">
        <v>3.51</v>
      </c>
      <c r="H282" s="88">
        <v>117.81</v>
      </c>
      <c r="I282" s="86"/>
      <c r="N282" s="7" t="str">
        <f t="shared" si="116"/>
        <v>#LI125JF9K </v>
      </c>
      <c r="O282" s="7" t="str">
        <f t="shared" si="108"/>
        <v>#LI125JF9K </v>
      </c>
      <c r="P282" s="21">
        <f t="shared" si="117"/>
        <v>43239</v>
      </c>
      <c r="Q282" s="22">
        <f>VLOOKUP(R282,Referencias!$D$1:$E$13,2,0)</f>
        <v>5</v>
      </c>
      <c r="R282" s="7" t="str">
        <f t="shared" si="118"/>
        <v>MAI</v>
      </c>
      <c r="S282" s="7" t="str">
        <f t="shared" si="109"/>
        <v>MAI</v>
      </c>
      <c r="T282" s="11">
        <f t="shared" si="119"/>
        <v>19</v>
      </c>
      <c r="U282" s="11">
        <f t="shared" si="110"/>
        <v>19</v>
      </c>
      <c r="V282" s="11" t="str">
        <f>VLOOKUP(C282,Referencias!$A$2:$B$33,2,1)</f>
        <v>19 - 20</v>
      </c>
      <c r="W282" s="23">
        <f t="shared" si="122"/>
        <v>2.0833333333333259E-2</v>
      </c>
      <c r="X282" s="11">
        <f t="shared" si="111"/>
        <v>5.28</v>
      </c>
      <c r="Y282" s="11">
        <f t="shared" si="123"/>
        <v>9.3241278324852654</v>
      </c>
      <c r="Z282" s="24">
        <f t="shared" si="120"/>
        <v>3.51</v>
      </c>
      <c r="AA282" s="25">
        <f t="shared" si="121"/>
        <v>7.0200000000000244</v>
      </c>
      <c r="AB282" s="24">
        <f t="shared" si="112"/>
        <v>1</v>
      </c>
      <c r="AC282" s="24">
        <f t="shared" si="113"/>
        <v>2.2995702418150263</v>
      </c>
      <c r="AD282" s="24">
        <f t="shared" si="114"/>
        <v>2.7861033761835161</v>
      </c>
      <c r="AE282" s="24">
        <f t="shared" si="115"/>
        <v>3.3033541201321999</v>
      </c>
      <c r="AF282" s="119" t="str">
        <f>VLOOKUP(P282*1,Referencias!$G:$H,2,0)</f>
        <v>sáb</v>
      </c>
      <c r="BA282" s="10"/>
      <c r="BF282"/>
      <c r="BG282"/>
      <c r="BS282" s="10"/>
    </row>
    <row r="283" spans="1:71" ht="14.4" x14ac:dyDescent="0.3">
      <c r="A283" s="77" t="s">
        <v>19</v>
      </c>
      <c r="B283" s="78"/>
      <c r="C283" s="79">
        <v>0.81458333333333333</v>
      </c>
      <c r="D283" s="80"/>
      <c r="E283" s="80"/>
      <c r="F283" s="80"/>
      <c r="G283" s="81"/>
      <c r="H283" s="82"/>
      <c r="I283" s="80"/>
      <c r="N283" s="7" t="str">
        <f t="shared" si="116"/>
        <v>#LI125JF9K </v>
      </c>
      <c r="O283" s="7">
        <f t="shared" si="108"/>
        <v>0</v>
      </c>
      <c r="P283" s="21">
        <f t="shared" si="117"/>
        <v>43239</v>
      </c>
      <c r="Q283" s="22">
        <f>VLOOKUP(R283,Referencias!$D$1:$E$13,2,0)</f>
        <v>5</v>
      </c>
      <c r="R283" s="7" t="str">
        <f t="shared" si="118"/>
        <v>MAI</v>
      </c>
      <c r="S283" s="7">
        <f t="shared" si="109"/>
        <v>0</v>
      </c>
      <c r="T283" s="11">
        <f t="shared" si="119"/>
        <v>19</v>
      </c>
      <c r="U283" s="11">
        <f t="shared" si="110"/>
        <v>0</v>
      </c>
      <c r="V283" s="11" t="str">
        <f>VLOOKUP(C283,Referencias!$A$2:$B$33,2,1)</f>
        <v>19 - 20</v>
      </c>
      <c r="W283" s="23" t="str">
        <f t="shared" si="122"/>
        <v/>
      </c>
      <c r="X283" s="11">
        <f t="shared" si="111"/>
        <v>0</v>
      </c>
      <c r="Y283" s="11">
        <f t="shared" si="123"/>
        <v>0</v>
      </c>
      <c r="Z283" s="24">
        <f t="shared" si="120"/>
        <v>0</v>
      </c>
      <c r="AA283" s="25">
        <f t="shared" si="121"/>
        <v>0</v>
      </c>
      <c r="AB283" s="24">
        <f t="shared" si="112"/>
        <v>0</v>
      </c>
      <c r="AC283" s="24">
        <f t="shared" si="113"/>
        <v>0</v>
      </c>
      <c r="AD283" s="24">
        <f t="shared" si="114"/>
        <v>0</v>
      </c>
      <c r="AE283" s="24">
        <f t="shared" si="115"/>
        <v>0</v>
      </c>
      <c r="AF283" s="119" t="str">
        <f>VLOOKUP(P283*1,Referencias!$G:$H,2,0)</f>
        <v>sáb</v>
      </c>
      <c r="BA283" s="10"/>
      <c r="BF283"/>
      <c r="BG283"/>
      <c r="BS283" s="10"/>
    </row>
    <row r="284" spans="1:71" ht="14.4" x14ac:dyDescent="0.3">
      <c r="A284" s="83"/>
      <c r="B284" s="83"/>
      <c r="C284" s="83"/>
      <c r="D284" s="83"/>
      <c r="E284" s="83"/>
      <c r="F284" s="83"/>
      <c r="G284" s="83"/>
      <c r="H284" s="83"/>
      <c r="I284" s="83"/>
      <c r="N284" s="7" t="str">
        <f t="shared" si="116"/>
        <v>#LI125JF9K </v>
      </c>
      <c r="O284" s="7">
        <f t="shared" si="108"/>
        <v>0</v>
      </c>
      <c r="P284" s="21">
        <f t="shared" si="117"/>
        <v>43239</v>
      </c>
      <c r="Q284" s="22">
        <f>VLOOKUP(R284,Referencias!$D$1:$E$13,2,0)</f>
        <v>5</v>
      </c>
      <c r="R284" s="7" t="str">
        <f t="shared" si="118"/>
        <v>MAI</v>
      </c>
      <c r="S284" s="7">
        <f t="shared" si="109"/>
        <v>0</v>
      </c>
      <c r="T284" s="11">
        <f t="shared" si="119"/>
        <v>19</v>
      </c>
      <c r="U284" s="11">
        <f t="shared" si="110"/>
        <v>0</v>
      </c>
      <c r="V284" s="11" t="e">
        <f>VLOOKUP(C284,Referencias!$A$2:$B$33,2,1)</f>
        <v>#N/A</v>
      </c>
      <c r="W284" s="23" t="str">
        <f t="shared" si="122"/>
        <v/>
      </c>
      <c r="X284" s="11">
        <f t="shared" si="111"/>
        <v>0</v>
      </c>
      <c r="Y284" s="11">
        <f t="shared" si="123"/>
        <v>0</v>
      </c>
      <c r="Z284" s="24">
        <f t="shared" si="120"/>
        <v>0</v>
      </c>
      <c r="AA284" s="25">
        <f t="shared" si="121"/>
        <v>0</v>
      </c>
      <c r="AB284" s="24">
        <f t="shared" si="112"/>
        <v>0</v>
      </c>
      <c r="AC284" s="24">
        <f t="shared" si="113"/>
        <v>0</v>
      </c>
      <c r="AD284" s="24">
        <f t="shared" si="114"/>
        <v>0</v>
      </c>
      <c r="AE284" s="24">
        <f t="shared" si="115"/>
        <v>0</v>
      </c>
      <c r="AF284" s="119" t="str">
        <f>VLOOKUP(P284*1,Referencias!$G:$H,2,0)</f>
        <v>sáb</v>
      </c>
      <c r="BA284" s="10"/>
      <c r="BF284"/>
      <c r="BG284"/>
      <c r="BS284" s="10"/>
    </row>
    <row r="285" spans="1:71" ht="14.4" x14ac:dyDescent="0.3">
      <c r="A285" s="76"/>
      <c r="B285" s="76"/>
      <c r="C285" s="76"/>
      <c r="D285" s="76"/>
      <c r="E285" s="76"/>
      <c r="F285" s="76"/>
      <c r="G285" s="76"/>
      <c r="H285" s="76"/>
      <c r="I285" s="76"/>
      <c r="N285" s="7" t="str">
        <f t="shared" si="116"/>
        <v>#LI125JF9K </v>
      </c>
      <c r="O285" s="7">
        <f t="shared" si="108"/>
        <v>0</v>
      </c>
      <c r="P285" s="21">
        <f t="shared" si="117"/>
        <v>43239</v>
      </c>
      <c r="Q285" s="22">
        <f>VLOOKUP(R285,Referencias!$D$1:$E$13,2,0)</f>
        <v>5</v>
      </c>
      <c r="R285" s="7" t="str">
        <f t="shared" si="118"/>
        <v>MAI</v>
      </c>
      <c r="S285" s="7">
        <f t="shared" si="109"/>
        <v>0</v>
      </c>
      <c r="T285" s="11">
        <f t="shared" si="119"/>
        <v>19</v>
      </c>
      <c r="U285" s="11">
        <f t="shared" si="110"/>
        <v>0</v>
      </c>
      <c r="V285" s="11" t="e">
        <f>VLOOKUP(C285,Referencias!$A$2:$B$33,2,1)</f>
        <v>#N/A</v>
      </c>
      <c r="W285" s="23" t="str">
        <f t="shared" si="122"/>
        <v/>
      </c>
      <c r="X285" s="11">
        <f t="shared" si="111"/>
        <v>0</v>
      </c>
      <c r="Y285" s="11">
        <f t="shared" si="123"/>
        <v>0</v>
      </c>
      <c r="Z285" s="24">
        <f t="shared" si="120"/>
        <v>0</v>
      </c>
      <c r="AA285" s="25">
        <f t="shared" si="121"/>
        <v>0</v>
      </c>
      <c r="AB285" s="24">
        <f t="shared" si="112"/>
        <v>0</v>
      </c>
      <c r="AC285" s="24">
        <f t="shared" si="113"/>
        <v>0</v>
      </c>
      <c r="AD285" s="24">
        <f t="shared" si="114"/>
        <v>0</v>
      </c>
      <c r="AE285" s="24">
        <f t="shared" si="115"/>
        <v>0</v>
      </c>
      <c r="AF285" s="119" t="str">
        <f>VLOOKUP(P285*1,Referencias!$G:$H,2,0)</f>
        <v>sáb</v>
      </c>
      <c r="BA285" s="10"/>
      <c r="BF285"/>
      <c r="BG285"/>
      <c r="BS285" s="10"/>
    </row>
    <row r="286" spans="1:71" ht="14.4" x14ac:dyDescent="0.3">
      <c r="A286" s="77"/>
      <c r="B286" s="78" t="s">
        <v>138</v>
      </c>
      <c r="C286" s="79">
        <v>0.83472222222222225</v>
      </c>
      <c r="D286" s="80">
        <v>6.33</v>
      </c>
      <c r="E286" s="80" t="s">
        <v>62</v>
      </c>
      <c r="F286" s="81">
        <v>0.74</v>
      </c>
      <c r="G286" s="81">
        <v>4.4800000000000004</v>
      </c>
      <c r="H286" s="82">
        <v>122.29</v>
      </c>
      <c r="I286" s="80"/>
      <c r="N286" s="7" t="str">
        <f t="shared" si="116"/>
        <v>#LILKLNU8K </v>
      </c>
      <c r="O286" s="7" t="str">
        <f t="shared" si="108"/>
        <v>#LILKLNU8K </v>
      </c>
      <c r="P286" s="21">
        <f t="shared" si="117"/>
        <v>43239</v>
      </c>
      <c r="Q286" s="22">
        <f>VLOOKUP(R286,Referencias!$D$1:$E$13,2,0)</f>
        <v>5</v>
      </c>
      <c r="R286" s="7" t="str">
        <f t="shared" si="118"/>
        <v>MAI</v>
      </c>
      <c r="S286" s="7">
        <f t="shared" si="109"/>
        <v>0</v>
      </c>
      <c r="T286" s="11">
        <f t="shared" si="119"/>
        <v>19</v>
      </c>
      <c r="U286" s="11">
        <f t="shared" si="110"/>
        <v>0</v>
      </c>
      <c r="V286" s="11" t="str">
        <f>VLOOKUP(C286,Referencias!$A$2:$B$33,2,1)</f>
        <v>20 - 21</v>
      </c>
      <c r="W286" s="23">
        <f t="shared" si="122"/>
        <v>2.1527777777777812E-2</v>
      </c>
      <c r="X286" s="11">
        <f t="shared" si="111"/>
        <v>6.33</v>
      </c>
      <c r="Y286" s="11">
        <f t="shared" si="123"/>
        <v>11.178357799172675</v>
      </c>
      <c r="Z286" s="24">
        <f t="shared" si="120"/>
        <v>4.4800000000000004</v>
      </c>
      <c r="AA286" s="25">
        <f t="shared" si="121"/>
        <v>8.6709677419354705</v>
      </c>
      <c r="AB286" s="24">
        <f t="shared" si="112"/>
        <v>1</v>
      </c>
      <c r="AC286" s="24">
        <f t="shared" si="113"/>
        <v>2.9350640123451055</v>
      </c>
      <c r="AD286" s="24">
        <f t="shared" si="114"/>
        <v>3.5560521724507561</v>
      </c>
      <c r="AE286" s="24">
        <f t="shared" si="115"/>
        <v>4.2162468541858278</v>
      </c>
      <c r="AF286" s="119" t="str">
        <f>VLOOKUP(P286*1,Referencias!$G:$H,2,0)</f>
        <v>sáb</v>
      </c>
      <c r="BA286" s="10"/>
      <c r="BF286"/>
      <c r="BG286"/>
      <c r="BS286" s="10"/>
    </row>
    <row r="287" spans="1:71" ht="14.4" x14ac:dyDescent="0.3">
      <c r="A287" s="77"/>
      <c r="B287" s="78"/>
      <c r="C287" s="79">
        <v>0.85625000000000007</v>
      </c>
      <c r="D287" s="80"/>
      <c r="E287" s="80"/>
      <c r="F287" s="80" t="s">
        <v>132</v>
      </c>
      <c r="G287" s="81"/>
      <c r="H287" s="82"/>
      <c r="I287" s="80"/>
      <c r="N287" s="7" t="str">
        <f t="shared" si="116"/>
        <v>#LILKLNU8K </v>
      </c>
      <c r="O287" s="7">
        <f t="shared" si="108"/>
        <v>0</v>
      </c>
      <c r="P287" s="21">
        <f t="shared" si="117"/>
        <v>43239</v>
      </c>
      <c r="Q287" s="22">
        <f>VLOOKUP(R287,Referencias!$D$1:$E$13,2,0)</f>
        <v>5</v>
      </c>
      <c r="R287" s="7" t="str">
        <f t="shared" si="118"/>
        <v>MAI</v>
      </c>
      <c r="S287" s="7">
        <f t="shared" si="109"/>
        <v>0</v>
      </c>
      <c r="T287" s="11">
        <f t="shared" si="119"/>
        <v>19</v>
      </c>
      <c r="U287" s="11">
        <f t="shared" si="110"/>
        <v>0</v>
      </c>
      <c r="V287" s="11" t="str">
        <f>VLOOKUP(C287,Referencias!$A$2:$B$33,2,1)</f>
        <v>20 - 21</v>
      </c>
      <c r="W287" s="23" t="str">
        <f t="shared" si="122"/>
        <v/>
      </c>
      <c r="X287" s="11">
        <f t="shared" si="111"/>
        <v>0</v>
      </c>
      <c r="Y287" s="11">
        <f t="shared" si="123"/>
        <v>0</v>
      </c>
      <c r="Z287" s="24">
        <f t="shared" si="120"/>
        <v>0</v>
      </c>
      <c r="AA287" s="25">
        <f t="shared" si="121"/>
        <v>0</v>
      </c>
      <c r="AB287" s="24">
        <f t="shared" si="112"/>
        <v>0</v>
      </c>
      <c r="AC287" s="24">
        <f t="shared" si="113"/>
        <v>0</v>
      </c>
      <c r="AD287" s="24">
        <f t="shared" si="114"/>
        <v>0</v>
      </c>
      <c r="AE287" s="24">
        <f t="shared" si="115"/>
        <v>0</v>
      </c>
      <c r="AF287" s="119" t="str">
        <f>VLOOKUP(P287*1,Referencias!$G:$H,2,0)</f>
        <v>sáb</v>
      </c>
      <c r="BA287" s="10"/>
      <c r="BF287"/>
      <c r="BG287"/>
      <c r="BS287" s="10"/>
    </row>
    <row r="288" spans="1:71" ht="14.4" x14ac:dyDescent="0.3">
      <c r="A288" s="83"/>
      <c r="B288" s="83"/>
      <c r="C288" s="83"/>
      <c r="D288" s="83"/>
      <c r="E288" s="83"/>
      <c r="F288" s="83"/>
      <c r="G288" s="83"/>
      <c r="H288" s="83"/>
      <c r="I288" s="83"/>
      <c r="N288" s="7" t="str">
        <f t="shared" si="116"/>
        <v>#LILKLNU8K </v>
      </c>
      <c r="O288" s="7">
        <f t="shared" si="108"/>
        <v>0</v>
      </c>
      <c r="P288" s="21">
        <f t="shared" si="117"/>
        <v>43239</v>
      </c>
      <c r="Q288" s="22">
        <f>VLOOKUP(R288,Referencias!$D$1:$E$13,2,0)</f>
        <v>5</v>
      </c>
      <c r="R288" s="7" t="str">
        <f t="shared" si="118"/>
        <v>MAI</v>
      </c>
      <c r="S288" s="7">
        <f t="shared" si="109"/>
        <v>0</v>
      </c>
      <c r="T288" s="11">
        <f t="shared" si="119"/>
        <v>19</v>
      </c>
      <c r="U288" s="11">
        <f t="shared" si="110"/>
        <v>0</v>
      </c>
      <c r="V288" s="11" t="e">
        <f>VLOOKUP(C288,Referencias!$A$2:$B$33,2,1)</f>
        <v>#N/A</v>
      </c>
      <c r="W288" s="23" t="str">
        <f t="shared" si="122"/>
        <v/>
      </c>
      <c r="X288" s="11">
        <f t="shared" si="111"/>
        <v>0</v>
      </c>
      <c r="Y288" s="11">
        <f t="shared" si="123"/>
        <v>0</v>
      </c>
      <c r="Z288" s="24">
        <f t="shared" si="120"/>
        <v>0</v>
      </c>
      <c r="AA288" s="25">
        <f t="shared" si="121"/>
        <v>0</v>
      </c>
      <c r="AB288" s="24">
        <f t="shared" si="112"/>
        <v>0</v>
      </c>
      <c r="AC288" s="24">
        <f t="shared" si="113"/>
        <v>0</v>
      </c>
      <c r="AD288" s="24">
        <f t="shared" si="114"/>
        <v>0</v>
      </c>
      <c r="AE288" s="24">
        <f t="shared" si="115"/>
        <v>0</v>
      </c>
      <c r="AF288" s="119" t="str">
        <f>VLOOKUP(P288*1,Referencias!$G:$H,2,0)</f>
        <v>sáb</v>
      </c>
      <c r="BA288" s="10"/>
      <c r="BF288"/>
      <c r="BG288"/>
      <c r="BS288" s="10"/>
    </row>
    <row r="289" spans="1:71" ht="14.4" x14ac:dyDescent="0.3">
      <c r="A289" s="76"/>
      <c r="B289" s="76"/>
      <c r="C289" s="76"/>
      <c r="D289" s="76"/>
      <c r="E289" s="76"/>
      <c r="F289" s="76"/>
      <c r="G289" s="76"/>
      <c r="H289" s="76"/>
      <c r="I289" s="76"/>
      <c r="N289" s="7" t="str">
        <f t="shared" si="116"/>
        <v>#LILKLNU8K </v>
      </c>
      <c r="O289" s="7">
        <f t="shared" si="108"/>
        <v>0</v>
      </c>
      <c r="P289" s="21">
        <f t="shared" si="117"/>
        <v>43239</v>
      </c>
      <c r="Q289" s="22">
        <f>VLOOKUP(R289,Referencias!$D$1:$E$13,2,0)</f>
        <v>5</v>
      </c>
      <c r="R289" s="7" t="str">
        <f t="shared" si="118"/>
        <v>MAI</v>
      </c>
      <c r="S289" s="7">
        <f t="shared" si="109"/>
        <v>0</v>
      </c>
      <c r="T289" s="11">
        <f t="shared" si="119"/>
        <v>19</v>
      </c>
      <c r="U289" s="11">
        <f t="shared" si="110"/>
        <v>0</v>
      </c>
      <c r="V289" s="11" t="e">
        <f>VLOOKUP(C289,Referencias!$A$2:$B$33,2,1)</f>
        <v>#N/A</v>
      </c>
      <c r="W289" s="23" t="str">
        <f t="shared" si="122"/>
        <v/>
      </c>
      <c r="X289" s="11">
        <f t="shared" si="111"/>
        <v>0</v>
      </c>
      <c r="Y289" s="11">
        <f t="shared" si="123"/>
        <v>0</v>
      </c>
      <c r="Z289" s="24">
        <f t="shared" si="120"/>
        <v>0</v>
      </c>
      <c r="AA289" s="25">
        <f t="shared" si="121"/>
        <v>0</v>
      </c>
      <c r="AB289" s="24">
        <f t="shared" si="112"/>
        <v>0</v>
      </c>
      <c r="AC289" s="24">
        <f t="shared" si="113"/>
        <v>0</v>
      </c>
      <c r="AD289" s="24">
        <f t="shared" si="114"/>
        <v>0</v>
      </c>
      <c r="AE289" s="24">
        <f t="shared" si="115"/>
        <v>0</v>
      </c>
      <c r="AF289" s="119" t="str">
        <f>VLOOKUP(P289*1,Referencias!$G:$H,2,0)</f>
        <v>sáb</v>
      </c>
      <c r="BA289" s="10"/>
      <c r="BF289"/>
      <c r="BG289"/>
      <c r="BS289" s="10"/>
    </row>
    <row r="290" spans="1:71" ht="14.4" x14ac:dyDescent="0.3">
      <c r="A290" s="77"/>
      <c r="B290" s="78" t="s">
        <v>139</v>
      </c>
      <c r="C290" s="79">
        <v>0.85763888888888884</v>
      </c>
      <c r="D290" s="80">
        <v>8.56</v>
      </c>
      <c r="E290" s="80" t="s">
        <v>48</v>
      </c>
      <c r="F290" s="81">
        <v>0.92</v>
      </c>
      <c r="G290" s="81">
        <v>5.52</v>
      </c>
      <c r="H290" s="82">
        <v>127.81</v>
      </c>
      <c r="I290" s="80"/>
      <c r="N290" s="7" t="str">
        <f t="shared" si="116"/>
        <v>#LIU1XFQ7R </v>
      </c>
      <c r="O290" s="7" t="str">
        <f t="shared" si="108"/>
        <v>#LIU1XFQ7R </v>
      </c>
      <c r="P290" s="21">
        <f t="shared" si="117"/>
        <v>43239</v>
      </c>
      <c r="Q290" s="22">
        <f>VLOOKUP(R290,Referencias!$D$1:$E$13,2,0)</f>
        <v>5</v>
      </c>
      <c r="R290" s="7" t="str">
        <f t="shared" si="118"/>
        <v>MAI</v>
      </c>
      <c r="S290" s="7">
        <f t="shared" si="109"/>
        <v>0</v>
      </c>
      <c r="T290" s="11">
        <f t="shared" si="119"/>
        <v>19</v>
      </c>
      <c r="U290" s="11">
        <f t="shared" si="110"/>
        <v>0</v>
      </c>
      <c r="V290" s="11" t="str">
        <f>VLOOKUP(C290,Referencias!$A$2:$B$33,2,1)</f>
        <v>20 - 21</v>
      </c>
      <c r="W290" s="23">
        <f t="shared" si="122"/>
        <v>2.2222222222222254E-2</v>
      </c>
      <c r="X290" s="11">
        <f t="shared" si="111"/>
        <v>8.56</v>
      </c>
      <c r="Y290" s="11">
        <f t="shared" si="123"/>
        <v>15.116389061756415</v>
      </c>
      <c r="Z290" s="24">
        <f t="shared" si="120"/>
        <v>5.52</v>
      </c>
      <c r="AA290" s="25">
        <f t="shared" si="121"/>
        <v>10.349999999999984</v>
      </c>
      <c r="AB290" s="24">
        <f t="shared" si="112"/>
        <v>1</v>
      </c>
      <c r="AC290" s="24">
        <f t="shared" si="113"/>
        <v>3.6164181580680754</v>
      </c>
      <c r="AD290" s="24">
        <f t="shared" si="114"/>
        <v>4.3815642839125379</v>
      </c>
      <c r="AE290" s="24">
        <f t="shared" si="115"/>
        <v>5.1950184453361086</v>
      </c>
      <c r="AF290" s="119" t="str">
        <f>VLOOKUP(P290*1,Referencias!$G:$H,2,0)</f>
        <v>sáb</v>
      </c>
      <c r="BA290" s="10"/>
      <c r="BF290"/>
      <c r="BG290"/>
      <c r="BS290" s="10"/>
    </row>
    <row r="291" spans="1:71" ht="14.4" x14ac:dyDescent="0.3">
      <c r="A291" s="77"/>
      <c r="B291" s="78"/>
      <c r="C291" s="79">
        <v>0.87986111111111109</v>
      </c>
      <c r="D291" s="80"/>
      <c r="E291" s="80"/>
      <c r="F291" s="80" t="s">
        <v>132</v>
      </c>
      <c r="G291" s="81"/>
      <c r="H291" s="82"/>
      <c r="I291" s="80"/>
      <c r="N291" s="7" t="str">
        <f t="shared" si="116"/>
        <v>#LIU1XFQ7R </v>
      </c>
      <c r="O291" s="7">
        <f t="shared" si="108"/>
        <v>0</v>
      </c>
      <c r="P291" s="21">
        <f t="shared" si="117"/>
        <v>43239</v>
      </c>
      <c r="Q291" s="22">
        <f>VLOOKUP(R291,Referencias!$D$1:$E$13,2,0)</f>
        <v>5</v>
      </c>
      <c r="R291" s="7" t="str">
        <f t="shared" si="118"/>
        <v>MAI</v>
      </c>
      <c r="S291" s="7">
        <f t="shared" si="109"/>
        <v>0</v>
      </c>
      <c r="T291" s="11">
        <f t="shared" si="119"/>
        <v>19</v>
      </c>
      <c r="U291" s="11">
        <f t="shared" si="110"/>
        <v>0</v>
      </c>
      <c r="V291" s="11" t="str">
        <f>VLOOKUP(C291,Referencias!$A$2:$B$33,2,1)</f>
        <v>21 - 22</v>
      </c>
      <c r="W291" s="23" t="str">
        <f t="shared" si="122"/>
        <v/>
      </c>
      <c r="X291" s="11">
        <f t="shared" si="111"/>
        <v>0</v>
      </c>
      <c r="Y291" s="11">
        <f t="shared" si="123"/>
        <v>0</v>
      </c>
      <c r="Z291" s="24">
        <f t="shared" si="120"/>
        <v>0</v>
      </c>
      <c r="AA291" s="25">
        <f t="shared" si="121"/>
        <v>0</v>
      </c>
      <c r="AB291" s="24">
        <f t="shared" si="112"/>
        <v>0</v>
      </c>
      <c r="AC291" s="24">
        <f t="shared" si="113"/>
        <v>0</v>
      </c>
      <c r="AD291" s="24">
        <f t="shared" si="114"/>
        <v>0</v>
      </c>
      <c r="AE291" s="24">
        <f t="shared" si="115"/>
        <v>0</v>
      </c>
      <c r="AF291" s="119" t="str">
        <f>VLOOKUP(P291*1,Referencias!$G:$H,2,0)</f>
        <v>sáb</v>
      </c>
      <c r="BA291" s="10"/>
      <c r="BF291"/>
      <c r="BG291"/>
      <c r="BS291" s="10"/>
    </row>
    <row r="292" spans="1:71" ht="14.4" x14ac:dyDescent="0.3">
      <c r="A292" s="83"/>
      <c r="B292" s="83"/>
      <c r="C292" s="83"/>
      <c r="D292" s="83"/>
      <c r="E292" s="83"/>
      <c r="F292" s="83"/>
      <c r="G292" s="83"/>
      <c r="H292" s="83"/>
      <c r="I292" s="83"/>
      <c r="N292" s="7" t="str">
        <f t="shared" si="116"/>
        <v>#LIU1XFQ7R </v>
      </c>
      <c r="O292" s="7">
        <f t="shared" si="108"/>
        <v>0</v>
      </c>
      <c r="P292" s="21">
        <f t="shared" si="117"/>
        <v>43239</v>
      </c>
      <c r="Q292" s="22">
        <f>VLOOKUP(R292,Referencias!$D$1:$E$13,2,0)</f>
        <v>5</v>
      </c>
      <c r="R292" s="7" t="str">
        <f t="shared" si="118"/>
        <v>MAI</v>
      </c>
      <c r="S292" s="7">
        <f t="shared" si="109"/>
        <v>0</v>
      </c>
      <c r="T292" s="11">
        <f t="shared" si="119"/>
        <v>19</v>
      </c>
      <c r="U292" s="11">
        <f t="shared" si="110"/>
        <v>0</v>
      </c>
      <c r="V292" s="11" t="e">
        <f>VLOOKUP(C292,Referencias!$A$2:$B$33,2,1)</f>
        <v>#N/A</v>
      </c>
      <c r="W292" s="23" t="str">
        <f t="shared" si="122"/>
        <v/>
      </c>
      <c r="X292" s="11">
        <f t="shared" si="111"/>
        <v>0</v>
      </c>
      <c r="Y292" s="11">
        <f t="shared" si="123"/>
        <v>0</v>
      </c>
      <c r="Z292" s="24">
        <f t="shared" si="120"/>
        <v>0</v>
      </c>
      <c r="AA292" s="25">
        <f t="shared" si="121"/>
        <v>0</v>
      </c>
      <c r="AB292" s="24">
        <f t="shared" si="112"/>
        <v>0</v>
      </c>
      <c r="AC292" s="24">
        <f t="shared" si="113"/>
        <v>0</v>
      </c>
      <c r="AD292" s="24">
        <f t="shared" si="114"/>
        <v>0</v>
      </c>
      <c r="AE292" s="24">
        <f t="shared" si="115"/>
        <v>0</v>
      </c>
      <c r="AF292" s="119" t="str">
        <f>VLOOKUP(P292*1,Referencias!$G:$H,2,0)</f>
        <v>sáb</v>
      </c>
      <c r="BA292" s="10"/>
      <c r="BF292"/>
      <c r="BG292"/>
      <c r="BS292" s="10"/>
    </row>
    <row r="293" spans="1:71" ht="14.4" x14ac:dyDescent="0.3">
      <c r="A293" s="76"/>
      <c r="B293" s="76"/>
      <c r="C293" s="76"/>
      <c r="D293" s="76"/>
      <c r="E293" s="76"/>
      <c r="F293" s="76"/>
      <c r="G293" s="76"/>
      <c r="H293" s="76"/>
      <c r="I293" s="76"/>
      <c r="N293" s="7" t="str">
        <f t="shared" si="116"/>
        <v>#LIU1XFQ7R </v>
      </c>
      <c r="O293" s="7">
        <f t="shared" si="108"/>
        <v>0</v>
      </c>
      <c r="P293" s="21">
        <f t="shared" si="117"/>
        <v>43239</v>
      </c>
      <c r="Q293" s="22">
        <f>VLOOKUP(R293,Referencias!$D$1:$E$13,2,0)</f>
        <v>5</v>
      </c>
      <c r="R293" s="7" t="str">
        <f t="shared" si="118"/>
        <v>MAI</v>
      </c>
      <c r="S293" s="7">
        <f t="shared" si="109"/>
        <v>0</v>
      </c>
      <c r="T293" s="11">
        <f t="shared" si="119"/>
        <v>19</v>
      </c>
      <c r="U293" s="11">
        <f t="shared" si="110"/>
        <v>0</v>
      </c>
      <c r="V293" s="11" t="e">
        <f>VLOOKUP(C293,Referencias!$A$2:$B$33,2,1)</f>
        <v>#N/A</v>
      </c>
      <c r="W293" s="23" t="str">
        <f t="shared" si="122"/>
        <v/>
      </c>
      <c r="X293" s="11">
        <f t="shared" si="111"/>
        <v>0</v>
      </c>
      <c r="Y293" s="11">
        <f t="shared" si="123"/>
        <v>0</v>
      </c>
      <c r="Z293" s="24">
        <f t="shared" si="120"/>
        <v>0</v>
      </c>
      <c r="AA293" s="25">
        <f t="shared" si="121"/>
        <v>0</v>
      </c>
      <c r="AB293" s="24">
        <f t="shared" si="112"/>
        <v>0</v>
      </c>
      <c r="AC293" s="24">
        <f t="shared" si="113"/>
        <v>0</v>
      </c>
      <c r="AD293" s="24">
        <f t="shared" si="114"/>
        <v>0</v>
      </c>
      <c r="AE293" s="24">
        <f t="shared" si="115"/>
        <v>0</v>
      </c>
      <c r="AF293" s="119" t="str">
        <f>VLOOKUP(P293*1,Referencias!$G:$H,2,0)</f>
        <v>sáb</v>
      </c>
      <c r="BA293" s="10"/>
      <c r="BF293"/>
      <c r="BG293"/>
      <c r="BS293" s="10"/>
    </row>
    <row r="294" spans="1:71" ht="14.4" x14ac:dyDescent="0.3">
      <c r="A294" s="77"/>
      <c r="B294" s="78" t="s">
        <v>140</v>
      </c>
      <c r="C294" s="79">
        <v>0.87986111111111109</v>
      </c>
      <c r="D294" s="80">
        <v>3.63</v>
      </c>
      <c r="E294" s="80" t="s">
        <v>141</v>
      </c>
      <c r="F294" s="80"/>
      <c r="G294" s="81">
        <v>4.0199999999999996</v>
      </c>
      <c r="H294" s="82">
        <v>131.83000000000001</v>
      </c>
      <c r="I294" s="80"/>
      <c r="N294" s="7" t="str">
        <f t="shared" si="116"/>
        <v>#LIYRWTXDB </v>
      </c>
      <c r="O294" s="7" t="str">
        <f t="shared" si="108"/>
        <v>#LIYRWTXDB </v>
      </c>
      <c r="P294" s="21">
        <f t="shared" si="117"/>
        <v>43239</v>
      </c>
      <c r="Q294" s="22">
        <f>VLOOKUP(R294,Referencias!$D$1:$E$13,2,0)</f>
        <v>5</v>
      </c>
      <c r="R294" s="7" t="str">
        <f t="shared" si="118"/>
        <v>MAI</v>
      </c>
      <c r="S294" s="7">
        <f t="shared" si="109"/>
        <v>0</v>
      </c>
      <c r="T294" s="11">
        <f t="shared" si="119"/>
        <v>19</v>
      </c>
      <c r="U294" s="11">
        <f t="shared" si="110"/>
        <v>0</v>
      </c>
      <c r="V294" s="11" t="str">
        <f>VLOOKUP(C294,Referencias!$A$2:$B$33,2,1)</f>
        <v>21 - 22</v>
      </c>
      <c r="W294" s="23">
        <f t="shared" si="122"/>
        <v>3.125E-2</v>
      </c>
      <c r="X294" s="11">
        <f t="shared" si="111"/>
        <v>3.63</v>
      </c>
      <c r="Y294" s="11">
        <f t="shared" si="123"/>
        <v>6.4103378848336199</v>
      </c>
      <c r="Z294" s="24">
        <f t="shared" si="120"/>
        <v>4.0199999999999996</v>
      </c>
      <c r="AA294" s="25">
        <f t="shared" si="121"/>
        <v>5.3599999999999994</v>
      </c>
      <c r="AB294" s="24">
        <f t="shared" si="112"/>
        <v>1</v>
      </c>
      <c r="AC294" s="24">
        <f t="shared" si="113"/>
        <v>2.6336958325060986</v>
      </c>
      <c r="AD294" s="24">
        <f t="shared" si="114"/>
        <v>3.1909218154580441</v>
      </c>
      <c r="AE294" s="24">
        <f t="shared" si="115"/>
        <v>3.7833286504078183</v>
      </c>
      <c r="AF294" s="119" t="str">
        <f>VLOOKUP(P294*1,Referencias!$G:$H,2,0)</f>
        <v>sáb</v>
      </c>
      <c r="BA294" s="10"/>
      <c r="BF294"/>
      <c r="BG294"/>
      <c r="BS294" s="10"/>
    </row>
    <row r="295" spans="1:71" ht="14.4" x14ac:dyDescent="0.3">
      <c r="A295" s="77"/>
      <c r="B295" s="78"/>
      <c r="C295" s="79">
        <v>0.91111111111111109</v>
      </c>
      <c r="D295" s="80"/>
      <c r="E295" s="80"/>
      <c r="F295" s="80"/>
      <c r="G295" s="81"/>
      <c r="H295" s="82"/>
      <c r="I295" s="80"/>
      <c r="N295" s="7" t="str">
        <f t="shared" si="116"/>
        <v>#LIYRWTXDB </v>
      </c>
      <c r="O295" s="7">
        <f t="shared" si="108"/>
        <v>0</v>
      </c>
      <c r="P295" s="21">
        <f t="shared" si="117"/>
        <v>43239</v>
      </c>
      <c r="Q295" s="22">
        <f>VLOOKUP(R295,Referencias!$D$1:$E$13,2,0)</f>
        <v>5</v>
      </c>
      <c r="R295" s="7" t="str">
        <f t="shared" si="118"/>
        <v>MAI</v>
      </c>
      <c r="S295" s="7">
        <f t="shared" si="109"/>
        <v>0</v>
      </c>
      <c r="T295" s="11">
        <f t="shared" si="119"/>
        <v>19</v>
      </c>
      <c r="U295" s="11">
        <f t="shared" si="110"/>
        <v>0</v>
      </c>
      <c r="V295" s="11" t="str">
        <f>VLOOKUP(C295,Referencias!$A$2:$B$33,2,1)</f>
        <v>21 - 22</v>
      </c>
      <c r="W295" s="23" t="str">
        <f t="shared" si="122"/>
        <v/>
      </c>
      <c r="X295" s="11">
        <f t="shared" si="111"/>
        <v>0</v>
      </c>
      <c r="Y295" s="11">
        <f t="shared" si="123"/>
        <v>0</v>
      </c>
      <c r="Z295" s="24">
        <f t="shared" si="120"/>
        <v>0</v>
      </c>
      <c r="AA295" s="25">
        <f t="shared" si="121"/>
        <v>0</v>
      </c>
      <c r="AB295" s="24">
        <f t="shared" si="112"/>
        <v>0</v>
      </c>
      <c r="AC295" s="24">
        <f t="shared" si="113"/>
        <v>0</v>
      </c>
      <c r="AD295" s="24">
        <f t="shared" si="114"/>
        <v>0</v>
      </c>
      <c r="AE295" s="24">
        <f t="shared" si="115"/>
        <v>0</v>
      </c>
      <c r="AF295" s="119" t="str">
        <f>VLOOKUP(P295*1,Referencias!$G:$H,2,0)</f>
        <v>sáb</v>
      </c>
      <c r="BA295" s="10"/>
      <c r="BF295"/>
      <c r="BG295"/>
      <c r="BS295" s="10"/>
    </row>
    <row r="296" spans="1:71" ht="14.4" x14ac:dyDescent="0.3">
      <c r="A296" s="83"/>
      <c r="B296" s="83"/>
      <c r="C296" s="83"/>
      <c r="D296" s="83"/>
      <c r="E296" s="83"/>
      <c r="F296" s="83"/>
      <c r="G296" s="83"/>
      <c r="H296" s="83"/>
      <c r="I296" s="83"/>
      <c r="N296" s="7" t="str">
        <f t="shared" si="116"/>
        <v>#LIYRWTXDB </v>
      </c>
      <c r="O296" s="7">
        <f t="shared" si="108"/>
        <v>0</v>
      </c>
      <c r="P296" s="21">
        <f t="shared" si="117"/>
        <v>43239</v>
      </c>
      <c r="Q296" s="22">
        <f>VLOOKUP(R296,Referencias!$D$1:$E$13,2,0)</f>
        <v>5</v>
      </c>
      <c r="R296" s="7" t="str">
        <f t="shared" si="118"/>
        <v>MAI</v>
      </c>
      <c r="S296" s="7">
        <f t="shared" si="109"/>
        <v>0</v>
      </c>
      <c r="T296" s="11">
        <f t="shared" si="119"/>
        <v>19</v>
      </c>
      <c r="U296" s="11">
        <f t="shared" si="110"/>
        <v>0</v>
      </c>
      <c r="V296" s="11" t="e">
        <f>VLOOKUP(C296,Referencias!$A$2:$B$33,2,1)</f>
        <v>#N/A</v>
      </c>
      <c r="W296" s="23" t="str">
        <f t="shared" si="122"/>
        <v/>
      </c>
      <c r="X296" s="11">
        <f t="shared" si="111"/>
        <v>0</v>
      </c>
      <c r="Y296" s="11">
        <f t="shared" si="123"/>
        <v>0</v>
      </c>
      <c r="Z296" s="24">
        <f t="shared" si="120"/>
        <v>0</v>
      </c>
      <c r="AA296" s="25">
        <f t="shared" si="121"/>
        <v>0</v>
      </c>
      <c r="AB296" s="24">
        <f t="shared" si="112"/>
        <v>0</v>
      </c>
      <c r="AC296" s="24">
        <f t="shared" si="113"/>
        <v>0</v>
      </c>
      <c r="AD296" s="24">
        <f t="shared" si="114"/>
        <v>0</v>
      </c>
      <c r="AE296" s="24">
        <f t="shared" si="115"/>
        <v>0</v>
      </c>
      <c r="AF296" s="119" t="str">
        <f>VLOOKUP(P296*1,Referencias!$G:$H,2,0)</f>
        <v>sáb</v>
      </c>
      <c r="BA296" s="10"/>
      <c r="BF296"/>
      <c r="BG296"/>
      <c r="BS296" s="10"/>
    </row>
    <row r="297" spans="1:71" ht="14.4" x14ac:dyDescent="0.3">
      <c r="A297" s="76"/>
      <c r="B297" s="76"/>
      <c r="C297" s="76"/>
      <c r="D297" s="76"/>
      <c r="E297" s="76"/>
      <c r="F297" s="76"/>
      <c r="G297" s="76"/>
      <c r="H297" s="76"/>
      <c r="I297" s="76"/>
      <c r="N297" s="7" t="str">
        <f t="shared" si="116"/>
        <v>#LIYRWTXDB </v>
      </c>
      <c r="O297" s="7">
        <f t="shared" si="108"/>
        <v>0</v>
      </c>
      <c r="P297" s="21">
        <f t="shared" si="117"/>
        <v>43239</v>
      </c>
      <c r="Q297" s="22">
        <f>VLOOKUP(R297,Referencias!$D$1:$E$13,2,0)</f>
        <v>5</v>
      </c>
      <c r="R297" s="7" t="str">
        <f t="shared" si="118"/>
        <v>MAI</v>
      </c>
      <c r="S297" s="7">
        <f t="shared" si="109"/>
        <v>0</v>
      </c>
      <c r="T297" s="11">
        <f t="shared" si="119"/>
        <v>19</v>
      </c>
      <c r="U297" s="11">
        <f t="shared" si="110"/>
        <v>0</v>
      </c>
      <c r="V297" s="11" t="e">
        <f>VLOOKUP(C297,Referencias!$A$2:$B$33,2,1)</f>
        <v>#N/A</v>
      </c>
      <c r="W297" s="23" t="str">
        <f t="shared" si="122"/>
        <v/>
      </c>
      <c r="X297" s="11">
        <f t="shared" si="111"/>
        <v>0</v>
      </c>
      <c r="Y297" s="11">
        <f t="shared" si="123"/>
        <v>0</v>
      </c>
      <c r="Z297" s="24">
        <f t="shared" si="120"/>
        <v>0</v>
      </c>
      <c r="AA297" s="25">
        <f t="shared" si="121"/>
        <v>0</v>
      </c>
      <c r="AB297" s="24">
        <f t="shared" si="112"/>
        <v>0</v>
      </c>
      <c r="AC297" s="24">
        <f t="shared" si="113"/>
        <v>0</v>
      </c>
      <c r="AD297" s="24">
        <f t="shared" si="114"/>
        <v>0</v>
      </c>
      <c r="AE297" s="24">
        <f t="shared" si="115"/>
        <v>0</v>
      </c>
      <c r="AF297" s="119" t="str">
        <f>VLOOKUP(P297*1,Referencias!$G:$H,2,0)</f>
        <v>sáb</v>
      </c>
      <c r="BA297" s="10"/>
      <c r="BF297"/>
      <c r="BG297"/>
      <c r="BS297" s="10"/>
    </row>
    <row r="298" spans="1:71" ht="14.4" x14ac:dyDescent="0.3">
      <c r="A298" s="77"/>
      <c r="B298" s="78" t="s">
        <v>142</v>
      </c>
      <c r="C298" s="79">
        <v>0.91805555555555562</v>
      </c>
      <c r="D298" s="80">
        <v>4.8099999999999996</v>
      </c>
      <c r="E298" s="80" t="s">
        <v>36</v>
      </c>
      <c r="F298" s="80"/>
      <c r="G298" s="81">
        <v>3.18</v>
      </c>
      <c r="H298" s="82">
        <v>135.01</v>
      </c>
      <c r="I298" s="80"/>
      <c r="N298" s="7" t="str">
        <f t="shared" si="116"/>
        <v>#LIQH17AMF </v>
      </c>
      <c r="O298" s="7" t="str">
        <f t="shared" si="108"/>
        <v>#LIQH17AMF </v>
      </c>
      <c r="P298" s="21">
        <f t="shared" si="117"/>
        <v>43239</v>
      </c>
      <c r="Q298" s="22">
        <f>VLOOKUP(R298,Referencias!$D$1:$E$13,2,0)</f>
        <v>5</v>
      </c>
      <c r="R298" s="7" t="str">
        <f t="shared" si="118"/>
        <v>MAI</v>
      </c>
      <c r="S298" s="7">
        <f t="shared" si="109"/>
        <v>0</v>
      </c>
      <c r="T298" s="11">
        <f t="shared" si="119"/>
        <v>19</v>
      </c>
      <c r="U298" s="11">
        <f t="shared" si="110"/>
        <v>0</v>
      </c>
      <c r="V298" s="11" t="str">
        <f>VLOOKUP(C298,Referencias!$A$2:$B$33,2,1)</f>
        <v>22 - 23</v>
      </c>
      <c r="W298" s="23">
        <f t="shared" si="122"/>
        <v>4.4444444444444398E-2</v>
      </c>
      <c r="X298" s="11">
        <f t="shared" si="111"/>
        <v>4.8099999999999996</v>
      </c>
      <c r="Y298" s="11">
        <f t="shared" si="123"/>
        <v>8.4941391807299471</v>
      </c>
      <c r="Z298" s="24">
        <f t="shared" si="120"/>
        <v>3.18</v>
      </c>
      <c r="AA298" s="25">
        <f t="shared" si="121"/>
        <v>2.9812500000000033</v>
      </c>
      <c r="AB298" s="24">
        <f t="shared" si="112"/>
        <v>1</v>
      </c>
      <c r="AC298" s="24">
        <f t="shared" si="113"/>
        <v>2.0833713301913916</v>
      </c>
      <c r="AD298" s="24">
        <f t="shared" si="114"/>
        <v>2.5241620331235279</v>
      </c>
      <c r="AE298" s="24">
        <f t="shared" si="115"/>
        <v>2.9927823652479759</v>
      </c>
      <c r="AF298" s="119" t="str">
        <f>VLOOKUP(P298*1,Referencias!$G:$H,2,0)</f>
        <v>sáb</v>
      </c>
      <c r="BA298" s="10"/>
      <c r="BF298"/>
      <c r="BG298"/>
      <c r="BS298" s="10"/>
    </row>
    <row r="299" spans="1:71" ht="14.4" x14ac:dyDescent="0.3">
      <c r="A299" s="77"/>
      <c r="B299" s="78"/>
      <c r="C299" s="79">
        <v>0.96250000000000002</v>
      </c>
      <c r="D299" s="80"/>
      <c r="E299" s="80"/>
      <c r="F299" s="80"/>
      <c r="G299" s="81"/>
      <c r="H299" s="82"/>
      <c r="I299" s="80"/>
      <c r="N299" s="7" t="str">
        <f t="shared" si="116"/>
        <v>#LIQH17AMF </v>
      </c>
      <c r="O299" s="7">
        <f t="shared" si="108"/>
        <v>0</v>
      </c>
      <c r="P299" s="21">
        <f t="shared" si="117"/>
        <v>43239</v>
      </c>
      <c r="Q299" s="22">
        <f>VLOOKUP(R299,Referencias!$D$1:$E$13,2,0)</f>
        <v>5</v>
      </c>
      <c r="R299" s="7" t="str">
        <f t="shared" si="118"/>
        <v>MAI</v>
      </c>
      <c r="S299" s="7">
        <f t="shared" si="109"/>
        <v>0</v>
      </c>
      <c r="T299" s="11">
        <f t="shared" si="119"/>
        <v>19</v>
      </c>
      <c r="U299" s="11">
        <f t="shared" si="110"/>
        <v>0</v>
      </c>
      <c r="V299" s="11" t="str">
        <f>VLOOKUP(C299,Referencias!$A$2:$B$33,2,1)</f>
        <v>23 - 24</v>
      </c>
      <c r="W299" s="23" t="str">
        <f t="shared" si="122"/>
        <v/>
      </c>
      <c r="X299" s="11">
        <f t="shared" si="111"/>
        <v>0</v>
      </c>
      <c r="Y299" s="11">
        <f t="shared" si="123"/>
        <v>0</v>
      </c>
      <c r="Z299" s="24">
        <f t="shared" si="120"/>
        <v>0</v>
      </c>
      <c r="AA299" s="25">
        <f t="shared" si="121"/>
        <v>0</v>
      </c>
      <c r="AB299" s="24">
        <f t="shared" si="112"/>
        <v>0</v>
      </c>
      <c r="AC299" s="24">
        <f t="shared" si="113"/>
        <v>0</v>
      </c>
      <c r="AD299" s="24">
        <f t="shared" si="114"/>
        <v>0</v>
      </c>
      <c r="AE299" s="24">
        <f t="shared" si="115"/>
        <v>0</v>
      </c>
      <c r="AF299" s="119" t="str">
        <f>VLOOKUP(P299*1,Referencias!$G:$H,2,0)</f>
        <v>sáb</v>
      </c>
      <c r="BA299" s="10"/>
      <c r="BF299"/>
      <c r="BG299"/>
      <c r="BS299" s="10"/>
    </row>
    <row r="300" spans="1:71" ht="14.4" x14ac:dyDescent="0.3">
      <c r="A300" s="83"/>
      <c r="B300" s="83"/>
      <c r="C300" s="83"/>
      <c r="D300" s="83"/>
      <c r="E300" s="83"/>
      <c r="F300" s="83"/>
      <c r="G300" s="83"/>
      <c r="H300" s="83"/>
      <c r="I300" s="83"/>
      <c r="N300" s="7" t="str">
        <f t="shared" si="116"/>
        <v>#LIQH17AMF </v>
      </c>
      <c r="O300" s="7">
        <f t="shared" si="108"/>
        <v>0</v>
      </c>
      <c r="P300" s="21">
        <f t="shared" si="117"/>
        <v>43239</v>
      </c>
      <c r="Q300" s="22">
        <f>VLOOKUP(R300,Referencias!$D$1:$E$13,2,0)</f>
        <v>5</v>
      </c>
      <c r="R300" s="7" t="str">
        <f t="shared" si="118"/>
        <v>MAI</v>
      </c>
      <c r="S300" s="7">
        <f t="shared" si="109"/>
        <v>0</v>
      </c>
      <c r="T300" s="11">
        <f t="shared" si="119"/>
        <v>19</v>
      </c>
      <c r="U300" s="11">
        <f t="shared" si="110"/>
        <v>0</v>
      </c>
      <c r="V300" s="11" t="e">
        <f>VLOOKUP(C300,Referencias!$A$2:$B$33,2,1)</f>
        <v>#N/A</v>
      </c>
      <c r="W300" s="23" t="str">
        <f t="shared" si="122"/>
        <v/>
      </c>
      <c r="X300" s="11">
        <f t="shared" si="111"/>
        <v>0</v>
      </c>
      <c r="Y300" s="11">
        <f t="shared" si="123"/>
        <v>0</v>
      </c>
      <c r="Z300" s="24">
        <f t="shared" si="120"/>
        <v>0</v>
      </c>
      <c r="AA300" s="25">
        <f t="shared" si="121"/>
        <v>0</v>
      </c>
      <c r="AB300" s="24">
        <f t="shared" si="112"/>
        <v>0</v>
      </c>
      <c r="AC300" s="24">
        <f t="shared" si="113"/>
        <v>0</v>
      </c>
      <c r="AD300" s="24">
        <f t="shared" si="114"/>
        <v>0</v>
      </c>
      <c r="AE300" s="24">
        <f t="shared" si="115"/>
        <v>0</v>
      </c>
      <c r="AF300" s="119" t="str">
        <f>VLOOKUP(P300*1,Referencias!$G:$H,2,0)</f>
        <v>sáb</v>
      </c>
      <c r="BA300" s="10"/>
      <c r="BF300"/>
      <c r="BG300"/>
      <c r="BS300" s="10"/>
    </row>
    <row r="301" spans="1:71" ht="14.4" x14ac:dyDescent="0.3">
      <c r="A301" s="76"/>
      <c r="B301" s="76"/>
      <c r="C301" s="76"/>
      <c r="D301" s="76"/>
      <c r="E301" s="76"/>
      <c r="F301" s="76"/>
      <c r="G301" s="76"/>
      <c r="H301" s="76"/>
      <c r="I301" s="76"/>
      <c r="N301" s="7" t="str">
        <f t="shared" si="116"/>
        <v>#LIQH17AMF </v>
      </c>
      <c r="O301" s="7">
        <f t="shared" si="108"/>
        <v>0</v>
      </c>
      <c r="P301" s="21">
        <f t="shared" si="117"/>
        <v>43239</v>
      </c>
      <c r="Q301" s="22">
        <f>VLOOKUP(R301,Referencias!$D$1:$E$13,2,0)</f>
        <v>5</v>
      </c>
      <c r="R301" s="7" t="str">
        <f t="shared" si="118"/>
        <v>MAI</v>
      </c>
      <c r="S301" s="7">
        <f t="shared" si="109"/>
        <v>0</v>
      </c>
      <c r="T301" s="11">
        <f t="shared" si="119"/>
        <v>19</v>
      </c>
      <c r="U301" s="11">
        <f t="shared" si="110"/>
        <v>0</v>
      </c>
      <c r="V301" s="11" t="e">
        <f>VLOOKUP(C301,Referencias!$A$2:$B$33,2,1)</f>
        <v>#N/A</v>
      </c>
      <c r="W301" s="23" t="str">
        <f t="shared" si="122"/>
        <v/>
      </c>
      <c r="X301" s="11">
        <f t="shared" si="111"/>
        <v>0</v>
      </c>
      <c r="Y301" s="11">
        <f t="shared" si="123"/>
        <v>0</v>
      </c>
      <c r="Z301" s="24">
        <f t="shared" si="120"/>
        <v>0</v>
      </c>
      <c r="AA301" s="25">
        <f t="shared" si="121"/>
        <v>0</v>
      </c>
      <c r="AB301" s="24">
        <f t="shared" si="112"/>
        <v>0</v>
      </c>
      <c r="AC301" s="24">
        <f t="shared" si="113"/>
        <v>0</v>
      </c>
      <c r="AD301" s="24">
        <f t="shared" si="114"/>
        <v>0</v>
      </c>
      <c r="AE301" s="24">
        <f t="shared" si="115"/>
        <v>0</v>
      </c>
      <c r="AF301" s="119" t="str">
        <f>VLOOKUP(P301*1,Referencias!$G:$H,2,0)</f>
        <v>sáb</v>
      </c>
      <c r="BA301" s="10"/>
      <c r="BF301"/>
      <c r="BG301"/>
      <c r="BS301" s="10"/>
    </row>
    <row r="302" spans="1:71" ht="14.4" x14ac:dyDescent="0.3">
      <c r="A302" s="77"/>
      <c r="B302" s="78" t="s">
        <v>143</v>
      </c>
      <c r="C302" s="79">
        <v>0.93125000000000002</v>
      </c>
      <c r="D302" s="80">
        <v>8.42</v>
      </c>
      <c r="E302" s="80" t="s">
        <v>17</v>
      </c>
      <c r="F302" s="80"/>
      <c r="G302" s="81">
        <v>4.4400000000000004</v>
      </c>
      <c r="H302" s="82">
        <v>139.44999999999999</v>
      </c>
      <c r="I302" s="80"/>
      <c r="N302" s="7" t="str">
        <f t="shared" si="116"/>
        <v>#LIUFSZFDF </v>
      </c>
      <c r="O302" s="7" t="str">
        <f t="shared" si="108"/>
        <v>#LIUFSZFDF </v>
      </c>
      <c r="P302" s="21">
        <f t="shared" si="117"/>
        <v>43239</v>
      </c>
      <c r="Q302" s="22">
        <f>VLOOKUP(R302,Referencias!$D$1:$E$13,2,0)</f>
        <v>5</v>
      </c>
      <c r="R302" s="7" t="str">
        <f t="shared" si="118"/>
        <v>MAI</v>
      </c>
      <c r="S302" s="7">
        <f t="shared" si="109"/>
        <v>0</v>
      </c>
      <c r="T302" s="11">
        <f t="shared" si="119"/>
        <v>19</v>
      </c>
      <c r="U302" s="11">
        <f t="shared" si="110"/>
        <v>0</v>
      </c>
      <c r="V302" s="11" t="str">
        <f>VLOOKUP(C302,Referencias!$A$2:$B$33,2,1)</f>
        <v>22 - 23</v>
      </c>
      <c r="W302" s="23">
        <f t="shared" si="122"/>
        <v>9.0277777777777457E-3</v>
      </c>
      <c r="X302" s="11">
        <f t="shared" si="111"/>
        <v>8.42</v>
      </c>
      <c r="Y302" s="11">
        <f t="shared" si="123"/>
        <v>14.869158399531425</v>
      </c>
      <c r="Z302" s="24">
        <f t="shared" si="120"/>
        <v>4.4400000000000004</v>
      </c>
      <c r="AA302" s="25">
        <f t="shared" si="121"/>
        <v>20.492307692307765</v>
      </c>
      <c r="AB302" s="24">
        <f t="shared" si="112"/>
        <v>1</v>
      </c>
      <c r="AC302" s="24">
        <f t="shared" si="113"/>
        <v>2.9088580836634526</v>
      </c>
      <c r="AD302" s="24">
        <f t="shared" si="114"/>
        <v>3.5243017066253031</v>
      </c>
      <c r="AE302" s="24">
        <f t="shared" si="115"/>
        <v>4.1786017929877408</v>
      </c>
      <c r="AF302" s="119" t="str">
        <f>VLOOKUP(P302*1,Referencias!$G:$H,2,0)</f>
        <v>sáb</v>
      </c>
      <c r="BA302" s="10"/>
      <c r="BF302"/>
      <c r="BG302"/>
      <c r="BS302" s="10"/>
    </row>
    <row r="303" spans="1:71" ht="14.4" x14ac:dyDescent="0.3">
      <c r="A303" s="77"/>
      <c r="B303" s="78"/>
      <c r="C303" s="79">
        <v>0.94027777777777777</v>
      </c>
      <c r="D303" s="80"/>
      <c r="E303" s="80"/>
      <c r="F303" s="80"/>
      <c r="G303" s="81"/>
      <c r="H303" s="82"/>
      <c r="I303" s="80"/>
      <c r="N303" s="7" t="str">
        <f t="shared" si="116"/>
        <v>#LIUFSZFDF </v>
      </c>
      <c r="O303" s="7">
        <f t="shared" si="108"/>
        <v>0</v>
      </c>
      <c r="P303" s="21">
        <f t="shared" si="117"/>
        <v>43239</v>
      </c>
      <c r="Q303" s="22">
        <f>VLOOKUP(R303,Referencias!$D$1:$E$13,2,0)</f>
        <v>5</v>
      </c>
      <c r="R303" s="7" t="str">
        <f t="shared" si="118"/>
        <v>MAI</v>
      </c>
      <c r="S303" s="7">
        <f t="shared" si="109"/>
        <v>0</v>
      </c>
      <c r="T303" s="11">
        <f t="shared" si="119"/>
        <v>19</v>
      </c>
      <c r="U303" s="11">
        <f t="shared" si="110"/>
        <v>0</v>
      </c>
      <c r="V303" s="11" t="str">
        <f>VLOOKUP(C303,Referencias!$A$2:$B$33,2,1)</f>
        <v>22 - 23</v>
      </c>
      <c r="W303" s="23" t="str">
        <f t="shared" si="122"/>
        <v/>
      </c>
      <c r="X303" s="11">
        <f t="shared" si="111"/>
        <v>0</v>
      </c>
      <c r="Y303" s="11">
        <f t="shared" si="123"/>
        <v>0</v>
      </c>
      <c r="Z303" s="24">
        <f t="shared" si="120"/>
        <v>0</v>
      </c>
      <c r="AA303" s="25">
        <f t="shared" si="121"/>
        <v>0</v>
      </c>
      <c r="AB303" s="24">
        <f t="shared" si="112"/>
        <v>0</v>
      </c>
      <c r="AC303" s="24">
        <f t="shared" si="113"/>
        <v>0</v>
      </c>
      <c r="AD303" s="24">
        <f t="shared" si="114"/>
        <v>0</v>
      </c>
      <c r="AE303" s="24">
        <f t="shared" si="115"/>
        <v>0</v>
      </c>
      <c r="AF303" s="119" t="str">
        <f>VLOOKUP(P303*1,Referencias!$G:$H,2,0)</f>
        <v>sáb</v>
      </c>
      <c r="BA303" s="10"/>
      <c r="BF303"/>
      <c r="BG303"/>
      <c r="BS303" s="10"/>
    </row>
    <row r="304" spans="1:71" ht="14.4" x14ac:dyDescent="0.3">
      <c r="A304" s="83"/>
      <c r="B304" s="83"/>
      <c r="C304" s="83"/>
      <c r="D304" s="83"/>
      <c r="E304" s="83"/>
      <c r="F304" s="83"/>
      <c r="G304" s="83"/>
      <c r="H304" s="83"/>
      <c r="I304" s="83"/>
      <c r="N304" s="7" t="str">
        <f t="shared" si="116"/>
        <v>#LIUFSZFDF </v>
      </c>
      <c r="O304" s="7">
        <f t="shared" si="108"/>
        <v>0</v>
      </c>
      <c r="P304" s="21">
        <f t="shared" si="117"/>
        <v>43239</v>
      </c>
      <c r="Q304" s="22">
        <f>VLOOKUP(R304,Referencias!$D$1:$E$13,2,0)</f>
        <v>5</v>
      </c>
      <c r="R304" s="7" t="str">
        <f t="shared" si="118"/>
        <v>MAI</v>
      </c>
      <c r="S304" s="7">
        <f t="shared" si="109"/>
        <v>0</v>
      </c>
      <c r="T304" s="11">
        <f t="shared" si="119"/>
        <v>19</v>
      </c>
      <c r="U304" s="11">
        <f t="shared" si="110"/>
        <v>0</v>
      </c>
      <c r="V304" s="11" t="e">
        <f>VLOOKUP(C304,Referencias!$A$2:$B$33,2,1)</f>
        <v>#N/A</v>
      </c>
      <c r="W304" s="23" t="str">
        <f t="shared" si="122"/>
        <v/>
      </c>
      <c r="X304" s="11">
        <f t="shared" si="111"/>
        <v>0</v>
      </c>
      <c r="Y304" s="11">
        <f t="shared" si="123"/>
        <v>0</v>
      </c>
      <c r="Z304" s="24">
        <f t="shared" si="120"/>
        <v>0</v>
      </c>
      <c r="AA304" s="25">
        <f t="shared" si="121"/>
        <v>0</v>
      </c>
      <c r="AB304" s="24">
        <f t="shared" si="112"/>
        <v>0</v>
      </c>
      <c r="AC304" s="24">
        <f t="shared" si="113"/>
        <v>0</v>
      </c>
      <c r="AD304" s="24">
        <f t="shared" si="114"/>
        <v>0</v>
      </c>
      <c r="AE304" s="24">
        <f t="shared" si="115"/>
        <v>0</v>
      </c>
      <c r="AF304" s="119" t="str">
        <f>VLOOKUP(P304*1,Referencias!$G:$H,2,0)</f>
        <v>sáb</v>
      </c>
      <c r="BA304" s="10"/>
      <c r="BF304"/>
      <c r="BG304"/>
      <c r="BS304" s="10"/>
    </row>
    <row r="305" spans="1:71" ht="14.4" x14ac:dyDescent="0.3">
      <c r="A305" s="76"/>
      <c r="B305" s="76"/>
      <c r="C305" s="76"/>
      <c r="D305" s="76"/>
      <c r="E305" s="76"/>
      <c r="F305" s="76"/>
      <c r="G305" s="76"/>
      <c r="H305" s="76"/>
      <c r="I305" s="76"/>
      <c r="N305" s="7" t="str">
        <f t="shared" si="116"/>
        <v>#LIUFSZFDF </v>
      </c>
      <c r="O305" s="7">
        <f t="shared" si="108"/>
        <v>0</v>
      </c>
      <c r="P305" s="21">
        <f t="shared" si="117"/>
        <v>43239</v>
      </c>
      <c r="Q305" s="22">
        <f>VLOOKUP(R305,Referencias!$D$1:$E$13,2,0)</f>
        <v>5</v>
      </c>
      <c r="R305" s="7" t="str">
        <f t="shared" si="118"/>
        <v>MAI</v>
      </c>
      <c r="S305" s="7">
        <f t="shared" si="109"/>
        <v>0</v>
      </c>
      <c r="T305" s="11">
        <f t="shared" si="119"/>
        <v>19</v>
      </c>
      <c r="U305" s="11">
        <f t="shared" si="110"/>
        <v>0</v>
      </c>
      <c r="V305" s="11" t="e">
        <f>VLOOKUP(C305,Referencias!$A$2:$B$33,2,1)</f>
        <v>#N/A</v>
      </c>
      <c r="W305" s="23" t="str">
        <f t="shared" si="122"/>
        <v/>
      </c>
      <c r="X305" s="11">
        <f t="shared" si="111"/>
        <v>0</v>
      </c>
      <c r="Y305" s="11">
        <f t="shared" si="123"/>
        <v>0</v>
      </c>
      <c r="Z305" s="24">
        <f t="shared" si="120"/>
        <v>0</v>
      </c>
      <c r="AA305" s="25">
        <f t="shared" si="121"/>
        <v>0</v>
      </c>
      <c r="AB305" s="24">
        <f t="shared" si="112"/>
        <v>0</v>
      </c>
      <c r="AC305" s="24">
        <f t="shared" si="113"/>
        <v>0</v>
      </c>
      <c r="AD305" s="24">
        <f t="shared" si="114"/>
        <v>0</v>
      </c>
      <c r="AE305" s="24">
        <f t="shared" si="115"/>
        <v>0</v>
      </c>
      <c r="AF305" s="119" t="str">
        <f>VLOOKUP(P305*1,Referencias!$G:$H,2,0)</f>
        <v>sáb</v>
      </c>
      <c r="BA305" s="10"/>
      <c r="BF305"/>
      <c r="BG305"/>
      <c r="BS305" s="10"/>
    </row>
    <row r="306" spans="1:71" ht="14.4" x14ac:dyDescent="0.3">
      <c r="A306" s="77"/>
      <c r="B306" s="78" t="s">
        <v>144</v>
      </c>
      <c r="C306" s="79">
        <v>0.96250000000000002</v>
      </c>
      <c r="D306" s="80">
        <v>6.94</v>
      </c>
      <c r="E306" s="80" t="s">
        <v>17</v>
      </c>
      <c r="F306" s="80"/>
      <c r="G306" s="81">
        <v>3.92</v>
      </c>
      <c r="H306" s="82">
        <v>143.37</v>
      </c>
      <c r="I306" s="80"/>
      <c r="N306" s="7" t="str">
        <f t="shared" si="116"/>
        <v>#LIABQ9ABZ </v>
      </c>
      <c r="O306" s="7" t="str">
        <f t="shared" si="108"/>
        <v>#LIABQ9ABZ </v>
      </c>
      <c r="P306" s="21">
        <f t="shared" si="117"/>
        <v>43239</v>
      </c>
      <c r="Q306" s="22">
        <f>VLOOKUP(R306,Referencias!$D$1:$E$13,2,0)</f>
        <v>5</v>
      </c>
      <c r="R306" s="7" t="str">
        <f t="shared" si="118"/>
        <v>MAI</v>
      </c>
      <c r="S306" s="7">
        <f t="shared" si="109"/>
        <v>0</v>
      </c>
      <c r="T306" s="11">
        <f t="shared" si="119"/>
        <v>19</v>
      </c>
      <c r="U306" s="11">
        <f t="shared" si="110"/>
        <v>0</v>
      </c>
      <c r="V306" s="11" t="str">
        <f>VLOOKUP(C306,Referencias!$A$2:$B$33,2,1)</f>
        <v>23 - 24</v>
      </c>
      <c r="W306" s="23">
        <f t="shared" si="122"/>
        <v>3.2638888888888884E-2</v>
      </c>
      <c r="X306" s="11">
        <f t="shared" si="111"/>
        <v>6.94</v>
      </c>
      <c r="Y306" s="11">
        <f t="shared" si="123"/>
        <v>12.255577113152981</v>
      </c>
      <c r="Z306" s="24">
        <f t="shared" si="120"/>
        <v>3.92</v>
      </c>
      <c r="AA306" s="25">
        <f t="shared" si="121"/>
        <v>5.0042553191489372</v>
      </c>
      <c r="AB306" s="24">
        <f t="shared" si="112"/>
        <v>1</v>
      </c>
      <c r="AC306" s="24">
        <f t="shared" si="113"/>
        <v>2.5681810108019669</v>
      </c>
      <c r="AD306" s="24">
        <f t="shared" si="114"/>
        <v>3.1115456508944113</v>
      </c>
      <c r="AE306" s="24">
        <f t="shared" si="115"/>
        <v>3.6892159974125991</v>
      </c>
      <c r="AF306" s="119" t="str">
        <f>VLOOKUP(P306*1,Referencias!$G:$H,2,0)</f>
        <v>sáb</v>
      </c>
      <c r="BA306" s="10"/>
      <c r="BF306"/>
      <c r="BG306"/>
      <c r="BS306" s="10"/>
    </row>
    <row r="307" spans="1:71" ht="14.4" x14ac:dyDescent="0.3">
      <c r="A307" s="77"/>
      <c r="B307" s="78"/>
      <c r="C307" s="79">
        <v>0.99513888888888891</v>
      </c>
      <c r="D307" s="80"/>
      <c r="E307" s="80"/>
      <c r="F307" s="80"/>
      <c r="G307" s="81"/>
      <c r="H307" s="82"/>
      <c r="I307" s="80"/>
      <c r="N307" s="7" t="str">
        <f t="shared" si="116"/>
        <v>#LIABQ9ABZ </v>
      </c>
      <c r="O307" s="7">
        <f t="shared" si="108"/>
        <v>0</v>
      </c>
      <c r="P307" s="21">
        <f t="shared" si="117"/>
        <v>43239</v>
      </c>
      <c r="Q307" s="22">
        <f>VLOOKUP(R307,Referencias!$D$1:$E$13,2,0)</f>
        <v>5</v>
      </c>
      <c r="R307" s="7" t="str">
        <f t="shared" si="118"/>
        <v>MAI</v>
      </c>
      <c r="S307" s="7">
        <f t="shared" si="109"/>
        <v>0</v>
      </c>
      <c r="T307" s="11">
        <f t="shared" si="119"/>
        <v>19</v>
      </c>
      <c r="U307" s="11">
        <f t="shared" si="110"/>
        <v>0</v>
      </c>
      <c r="V307" s="11" t="str">
        <f>VLOOKUP(C307,Referencias!$A$2:$B$33,2,1)</f>
        <v>23 - 24</v>
      </c>
      <c r="W307" s="23" t="str">
        <f t="shared" si="122"/>
        <v/>
      </c>
      <c r="X307" s="11">
        <f t="shared" si="111"/>
        <v>0</v>
      </c>
      <c r="Y307" s="11">
        <f t="shared" si="123"/>
        <v>0</v>
      </c>
      <c r="Z307" s="24">
        <f t="shared" si="120"/>
        <v>0</v>
      </c>
      <c r="AA307" s="25">
        <f t="shared" si="121"/>
        <v>0</v>
      </c>
      <c r="AB307" s="24">
        <f t="shared" si="112"/>
        <v>0</v>
      </c>
      <c r="AC307" s="24">
        <f t="shared" si="113"/>
        <v>0</v>
      </c>
      <c r="AD307" s="24">
        <f t="shared" si="114"/>
        <v>0</v>
      </c>
      <c r="AE307" s="24">
        <f t="shared" si="115"/>
        <v>0</v>
      </c>
      <c r="AF307" s="119" t="str">
        <f>VLOOKUP(P307*1,Referencias!$G:$H,2,0)</f>
        <v>sáb</v>
      </c>
      <c r="BA307" s="10"/>
      <c r="BF307"/>
      <c r="BG307"/>
      <c r="BS307" s="10"/>
    </row>
    <row r="308" spans="1:71" ht="15" thickBot="1" x14ac:dyDescent="0.35">
      <c r="A308" s="84"/>
      <c r="B308" s="84"/>
      <c r="C308" s="84"/>
      <c r="D308" s="84"/>
      <c r="E308" s="84"/>
      <c r="F308" s="84"/>
      <c r="G308" s="84"/>
      <c r="H308" s="84"/>
      <c r="I308" s="84"/>
      <c r="N308" s="7" t="str">
        <f t="shared" si="116"/>
        <v>#LIABQ9ABZ </v>
      </c>
      <c r="O308" s="7">
        <f t="shared" si="108"/>
        <v>0</v>
      </c>
      <c r="P308" s="21">
        <f t="shared" si="117"/>
        <v>43239</v>
      </c>
      <c r="Q308" s="22">
        <f>VLOOKUP(R308,Referencias!$D$1:$E$13,2,0)</f>
        <v>5</v>
      </c>
      <c r="R308" s="7" t="str">
        <f t="shared" si="118"/>
        <v>MAI</v>
      </c>
      <c r="S308" s="7">
        <f t="shared" si="109"/>
        <v>0</v>
      </c>
      <c r="T308" s="11">
        <f t="shared" si="119"/>
        <v>19</v>
      </c>
      <c r="U308" s="11">
        <f t="shared" si="110"/>
        <v>0</v>
      </c>
      <c r="V308" s="11" t="e">
        <f>VLOOKUP(C308,Referencias!$A$2:$B$33,2,1)</f>
        <v>#N/A</v>
      </c>
      <c r="W308" s="23" t="str">
        <f t="shared" si="122"/>
        <v/>
      </c>
      <c r="X308" s="11">
        <f t="shared" si="111"/>
        <v>0</v>
      </c>
      <c r="Y308" s="11">
        <f t="shared" si="123"/>
        <v>0</v>
      </c>
      <c r="Z308" s="24">
        <f t="shared" si="120"/>
        <v>0</v>
      </c>
      <c r="AA308" s="25">
        <f t="shared" si="121"/>
        <v>0</v>
      </c>
      <c r="AB308" s="24">
        <f t="shared" si="112"/>
        <v>0</v>
      </c>
      <c r="AC308" s="24">
        <f t="shared" si="113"/>
        <v>0</v>
      </c>
      <c r="AD308" s="24">
        <f t="shared" si="114"/>
        <v>0</v>
      </c>
      <c r="AE308" s="24">
        <f t="shared" si="115"/>
        <v>0</v>
      </c>
      <c r="AF308" s="119" t="str">
        <f>VLOOKUP(P308*1,Referencias!$G:$H,2,0)</f>
        <v>sáb</v>
      </c>
      <c r="BA308" s="10"/>
      <c r="BF308"/>
      <c r="BG308"/>
      <c r="BS308" s="10"/>
    </row>
    <row r="309" spans="1:71" ht="14.4" x14ac:dyDescent="0.3">
      <c r="A309" s="77">
        <v>20</v>
      </c>
      <c r="B309" s="85" t="s">
        <v>148</v>
      </c>
      <c r="C309" s="79">
        <v>0.51874999999999993</v>
      </c>
      <c r="D309" s="86">
        <v>3.91</v>
      </c>
      <c r="E309" s="86" t="s">
        <v>17</v>
      </c>
      <c r="F309" s="86"/>
      <c r="G309" s="87">
        <v>2.86</v>
      </c>
      <c r="H309" s="88">
        <v>146.22999999999999</v>
      </c>
      <c r="I309" s="86"/>
      <c r="N309" s="7" t="str">
        <f t="shared" si="116"/>
        <v>#LIYXKY5MZ </v>
      </c>
      <c r="O309" s="7" t="str">
        <f t="shared" si="108"/>
        <v>#LIYXKY5MZ </v>
      </c>
      <c r="P309" s="21">
        <f t="shared" si="117"/>
        <v>43240</v>
      </c>
      <c r="Q309" s="22">
        <f>VLOOKUP(R309,Referencias!$D$1:$E$13,2,0)</f>
        <v>5</v>
      </c>
      <c r="R309" s="7" t="str">
        <f t="shared" si="118"/>
        <v>MAI</v>
      </c>
      <c r="S309" s="7" t="str">
        <f t="shared" si="109"/>
        <v>MAI</v>
      </c>
      <c r="T309" s="11">
        <f t="shared" si="119"/>
        <v>20</v>
      </c>
      <c r="U309" s="11">
        <f t="shared" si="110"/>
        <v>20</v>
      </c>
      <c r="V309" s="11" t="str">
        <f>VLOOKUP(C309,Referencias!$A$2:$B$33,2,1)</f>
        <v>12 - 13</v>
      </c>
      <c r="W309" s="23">
        <f t="shared" si="122"/>
        <v>2.7777777777777901E-2</v>
      </c>
      <c r="X309" s="11">
        <f t="shared" si="111"/>
        <v>3.91</v>
      </c>
      <c r="Y309" s="11">
        <f t="shared" si="123"/>
        <v>6.9047992092835964</v>
      </c>
      <c r="Z309" s="24">
        <f t="shared" si="120"/>
        <v>2.86</v>
      </c>
      <c r="AA309" s="25">
        <f t="shared" si="121"/>
        <v>4.2899999999999814</v>
      </c>
      <c r="AB309" s="24">
        <f t="shared" si="112"/>
        <v>1</v>
      </c>
      <c r="AC309" s="24">
        <f t="shared" si="113"/>
        <v>1.8737239007381696</v>
      </c>
      <c r="AD309" s="24">
        <f t="shared" si="114"/>
        <v>2.2701583065199022</v>
      </c>
      <c r="AE309" s="24">
        <f t="shared" si="115"/>
        <v>2.6916218756632739</v>
      </c>
      <c r="AF309" s="119" t="str">
        <f>VLOOKUP(P309*1,Referencias!$G:$H,2,0)</f>
        <v>dom</v>
      </c>
      <c r="BA309" s="10"/>
      <c r="BF309"/>
      <c r="BG309"/>
      <c r="BS309" s="10"/>
    </row>
    <row r="310" spans="1:71" ht="14.4" x14ac:dyDescent="0.3">
      <c r="A310" s="77" t="s">
        <v>19</v>
      </c>
      <c r="B310" s="78"/>
      <c r="C310" s="79">
        <v>0.54652777777777783</v>
      </c>
      <c r="D310" s="80"/>
      <c r="E310" s="80"/>
      <c r="F310" s="80"/>
      <c r="G310" s="81"/>
      <c r="H310" s="82"/>
      <c r="I310" s="80"/>
      <c r="N310" s="7" t="str">
        <f t="shared" si="116"/>
        <v>#LIYXKY5MZ </v>
      </c>
      <c r="O310" s="7">
        <f t="shared" si="108"/>
        <v>0</v>
      </c>
      <c r="P310" s="21">
        <f t="shared" si="117"/>
        <v>43240</v>
      </c>
      <c r="Q310" s="22">
        <f>VLOOKUP(R310,Referencias!$D$1:$E$13,2,0)</f>
        <v>5</v>
      </c>
      <c r="R310" s="7" t="str">
        <f t="shared" si="118"/>
        <v>MAI</v>
      </c>
      <c r="S310" s="7">
        <f t="shared" si="109"/>
        <v>0</v>
      </c>
      <c r="T310" s="11">
        <f t="shared" si="119"/>
        <v>20</v>
      </c>
      <c r="U310" s="11">
        <f t="shared" si="110"/>
        <v>0</v>
      </c>
      <c r="V310" s="11" t="str">
        <f>VLOOKUP(C310,Referencias!$A$2:$B$33,2,1)</f>
        <v>13 - 14</v>
      </c>
      <c r="W310" s="23" t="str">
        <f t="shared" si="122"/>
        <v/>
      </c>
      <c r="X310" s="11">
        <f t="shared" si="111"/>
        <v>0</v>
      </c>
      <c r="Y310" s="11">
        <f t="shared" si="123"/>
        <v>0</v>
      </c>
      <c r="Z310" s="24">
        <f t="shared" si="120"/>
        <v>0</v>
      </c>
      <c r="AA310" s="25">
        <f t="shared" si="121"/>
        <v>0</v>
      </c>
      <c r="AB310" s="24">
        <f t="shared" si="112"/>
        <v>0</v>
      </c>
      <c r="AC310" s="24">
        <f t="shared" si="113"/>
        <v>0</v>
      </c>
      <c r="AD310" s="24">
        <f t="shared" si="114"/>
        <v>0</v>
      </c>
      <c r="AE310" s="24">
        <f t="shared" si="115"/>
        <v>0</v>
      </c>
      <c r="AF310" s="119" t="str">
        <f>VLOOKUP(P310*1,Referencias!$G:$H,2,0)</f>
        <v>dom</v>
      </c>
      <c r="BA310" s="10"/>
      <c r="BF310"/>
      <c r="BG310"/>
      <c r="BS310" s="10"/>
    </row>
    <row r="311" spans="1:71" ht="14.4" x14ac:dyDescent="0.3">
      <c r="A311" s="83"/>
      <c r="B311" s="83"/>
      <c r="C311" s="83"/>
      <c r="D311" s="83"/>
      <c r="E311" s="83"/>
      <c r="F311" s="83"/>
      <c r="G311" s="83"/>
      <c r="H311" s="83"/>
      <c r="I311" s="83"/>
      <c r="N311" s="7" t="str">
        <f t="shared" si="116"/>
        <v>#LIYXKY5MZ </v>
      </c>
      <c r="O311" s="7">
        <f t="shared" si="108"/>
        <v>0</v>
      </c>
      <c r="P311" s="21">
        <f t="shared" si="117"/>
        <v>43240</v>
      </c>
      <c r="Q311" s="22">
        <f>VLOOKUP(R311,Referencias!$D$1:$E$13,2,0)</f>
        <v>5</v>
      </c>
      <c r="R311" s="7" t="str">
        <f t="shared" si="118"/>
        <v>MAI</v>
      </c>
      <c r="S311" s="7">
        <f t="shared" si="109"/>
        <v>0</v>
      </c>
      <c r="T311" s="11">
        <f t="shared" si="119"/>
        <v>20</v>
      </c>
      <c r="U311" s="11">
        <f t="shared" si="110"/>
        <v>0</v>
      </c>
      <c r="V311" s="11" t="e">
        <f>VLOOKUP(C311,Referencias!$A$2:$B$33,2,1)</f>
        <v>#N/A</v>
      </c>
      <c r="W311" s="23" t="str">
        <f t="shared" si="122"/>
        <v/>
      </c>
      <c r="X311" s="11">
        <f t="shared" si="111"/>
        <v>0</v>
      </c>
      <c r="Y311" s="11">
        <f t="shared" si="123"/>
        <v>0</v>
      </c>
      <c r="Z311" s="24">
        <f t="shared" si="120"/>
        <v>0</v>
      </c>
      <c r="AA311" s="25">
        <f t="shared" si="121"/>
        <v>0</v>
      </c>
      <c r="AB311" s="24">
        <f t="shared" si="112"/>
        <v>0</v>
      </c>
      <c r="AC311" s="24">
        <f t="shared" si="113"/>
        <v>0</v>
      </c>
      <c r="AD311" s="24">
        <f t="shared" si="114"/>
        <v>0</v>
      </c>
      <c r="AE311" s="24">
        <f t="shared" si="115"/>
        <v>0</v>
      </c>
      <c r="AF311" s="119" t="str">
        <f>VLOOKUP(P311*1,Referencias!$G:$H,2,0)</f>
        <v>dom</v>
      </c>
      <c r="BA311" s="10"/>
      <c r="BF311"/>
      <c r="BG311"/>
      <c r="BS311" s="10"/>
    </row>
    <row r="312" spans="1:71" ht="14.4" x14ac:dyDescent="0.3">
      <c r="A312" s="76"/>
      <c r="B312" s="76"/>
      <c r="C312" s="76"/>
      <c r="D312" s="76"/>
      <c r="E312" s="76"/>
      <c r="F312" s="76"/>
      <c r="G312" s="76"/>
      <c r="H312" s="76"/>
      <c r="I312" s="76"/>
      <c r="N312" s="7" t="str">
        <f t="shared" si="116"/>
        <v>#LIYXKY5MZ </v>
      </c>
      <c r="O312" s="7">
        <f t="shared" si="108"/>
        <v>0</v>
      </c>
      <c r="P312" s="21">
        <f t="shared" si="117"/>
        <v>43240</v>
      </c>
      <c r="Q312" s="22">
        <f>VLOOKUP(R312,Referencias!$D$1:$E$13,2,0)</f>
        <v>5</v>
      </c>
      <c r="R312" s="7" t="str">
        <f t="shared" si="118"/>
        <v>MAI</v>
      </c>
      <c r="S312" s="7">
        <f t="shared" si="109"/>
        <v>0</v>
      </c>
      <c r="T312" s="11">
        <f t="shared" si="119"/>
        <v>20</v>
      </c>
      <c r="U312" s="11">
        <f t="shared" si="110"/>
        <v>0</v>
      </c>
      <c r="V312" s="11" t="e">
        <f>VLOOKUP(C312,Referencias!$A$2:$B$33,2,1)</f>
        <v>#N/A</v>
      </c>
      <c r="W312" s="23" t="str">
        <f t="shared" si="122"/>
        <v/>
      </c>
      <c r="X312" s="11">
        <f t="shared" si="111"/>
        <v>0</v>
      </c>
      <c r="Y312" s="11">
        <f t="shared" si="123"/>
        <v>0</v>
      </c>
      <c r="Z312" s="24">
        <f t="shared" si="120"/>
        <v>0</v>
      </c>
      <c r="AA312" s="25">
        <f t="shared" si="121"/>
        <v>0</v>
      </c>
      <c r="AB312" s="24">
        <f t="shared" si="112"/>
        <v>0</v>
      </c>
      <c r="AC312" s="24">
        <f t="shared" si="113"/>
        <v>0</v>
      </c>
      <c r="AD312" s="24">
        <f t="shared" si="114"/>
        <v>0</v>
      </c>
      <c r="AE312" s="24">
        <f t="shared" si="115"/>
        <v>0</v>
      </c>
      <c r="AF312" s="119" t="str">
        <f>VLOOKUP(P312*1,Referencias!$G:$H,2,0)</f>
        <v>dom</v>
      </c>
      <c r="BA312" s="10"/>
      <c r="BF312"/>
      <c r="BG312"/>
      <c r="BS312" s="10"/>
    </row>
    <row r="313" spans="1:71" ht="14.4" x14ac:dyDescent="0.3">
      <c r="A313" s="77"/>
      <c r="B313" s="78" t="s">
        <v>149</v>
      </c>
      <c r="C313" s="79">
        <v>0.54652777777777783</v>
      </c>
      <c r="D313" s="80">
        <v>6.19</v>
      </c>
      <c r="E313" s="80" t="s">
        <v>17</v>
      </c>
      <c r="F313" s="80"/>
      <c r="G313" s="81">
        <v>3.66</v>
      </c>
      <c r="H313" s="82">
        <v>149.88999999999999</v>
      </c>
      <c r="I313" s="80"/>
      <c r="N313" s="7" t="str">
        <f t="shared" si="116"/>
        <v>#LI153UEVM </v>
      </c>
      <c r="O313" s="7" t="str">
        <f t="shared" si="108"/>
        <v>#LI153UEVM </v>
      </c>
      <c r="P313" s="21">
        <f t="shared" si="117"/>
        <v>43240</v>
      </c>
      <c r="Q313" s="22">
        <f>VLOOKUP(R313,Referencias!$D$1:$E$13,2,0)</f>
        <v>5</v>
      </c>
      <c r="R313" s="7" t="str">
        <f t="shared" si="118"/>
        <v>MAI</v>
      </c>
      <c r="S313" s="7">
        <f t="shared" si="109"/>
        <v>0</v>
      </c>
      <c r="T313" s="11">
        <f t="shared" si="119"/>
        <v>20</v>
      </c>
      <c r="U313" s="11">
        <f t="shared" si="110"/>
        <v>0</v>
      </c>
      <c r="V313" s="11" t="str">
        <f>VLOOKUP(C313,Referencias!$A$2:$B$33,2,1)</f>
        <v>13 - 14</v>
      </c>
      <c r="W313" s="23">
        <f t="shared" si="122"/>
        <v>2.0138888888888817E-2</v>
      </c>
      <c r="X313" s="11">
        <f t="shared" si="111"/>
        <v>6.19</v>
      </c>
      <c r="Y313" s="11">
        <f t="shared" si="123"/>
        <v>10.931127136947689</v>
      </c>
      <c r="Z313" s="24">
        <f t="shared" si="120"/>
        <v>3.66</v>
      </c>
      <c r="AA313" s="25">
        <f t="shared" si="121"/>
        <v>7.5724137931034754</v>
      </c>
      <c r="AB313" s="24">
        <f t="shared" si="112"/>
        <v>1</v>
      </c>
      <c r="AC313" s="24">
        <f t="shared" si="113"/>
        <v>2.3978424743712243</v>
      </c>
      <c r="AD313" s="24">
        <f t="shared" si="114"/>
        <v>2.9051676230289658</v>
      </c>
      <c r="AE313" s="24">
        <f t="shared" si="115"/>
        <v>3.4445230996250289</v>
      </c>
      <c r="AF313" s="119" t="str">
        <f>VLOOKUP(P313*1,Referencias!$G:$H,2,0)</f>
        <v>dom</v>
      </c>
      <c r="BA313" s="10"/>
      <c r="BF313"/>
      <c r="BG313"/>
      <c r="BS313" s="10"/>
    </row>
    <row r="314" spans="1:71" ht="14.4" x14ac:dyDescent="0.3">
      <c r="A314" s="77"/>
      <c r="B314" s="78"/>
      <c r="C314" s="79">
        <v>0.56666666666666665</v>
      </c>
      <c r="D314" s="80"/>
      <c r="E314" s="80"/>
      <c r="F314" s="80"/>
      <c r="G314" s="81"/>
      <c r="H314" s="82"/>
      <c r="I314" s="80"/>
      <c r="N314" s="7" t="str">
        <f t="shared" si="116"/>
        <v>#LI153UEVM </v>
      </c>
      <c r="O314" s="7">
        <f t="shared" si="108"/>
        <v>0</v>
      </c>
      <c r="P314" s="21">
        <f t="shared" si="117"/>
        <v>43240</v>
      </c>
      <c r="Q314" s="22">
        <f>VLOOKUP(R314,Referencias!$D$1:$E$13,2,0)</f>
        <v>5</v>
      </c>
      <c r="R314" s="7" t="str">
        <f t="shared" si="118"/>
        <v>MAI</v>
      </c>
      <c r="S314" s="7">
        <f t="shared" si="109"/>
        <v>0</v>
      </c>
      <c r="T314" s="11">
        <f t="shared" si="119"/>
        <v>20</v>
      </c>
      <c r="U314" s="11">
        <f t="shared" si="110"/>
        <v>0</v>
      </c>
      <c r="V314" s="11" t="str">
        <f>VLOOKUP(C314,Referencias!$A$2:$B$33,2,1)</f>
        <v>13 - 14</v>
      </c>
      <c r="W314" s="23" t="str">
        <f t="shared" si="122"/>
        <v/>
      </c>
      <c r="X314" s="11">
        <f t="shared" si="111"/>
        <v>0</v>
      </c>
      <c r="Y314" s="11">
        <f t="shared" si="123"/>
        <v>0</v>
      </c>
      <c r="Z314" s="24">
        <f t="shared" si="120"/>
        <v>0</v>
      </c>
      <c r="AA314" s="25">
        <f t="shared" si="121"/>
        <v>0</v>
      </c>
      <c r="AB314" s="24">
        <f t="shared" si="112"/>
        <v>0</v>
      </c>
      <c r="AC314" s="24">
        <f t="shared" si="113"/>
        <v>0</v>
      </c>
      <c r="AD314" s="24">
        <f t="shared" si="114"/>
        <v>0</v>
      </c>
      <c r="AE314" s="24">
        <f t="shared" si="115"/>
        <v>0</v>
      </c>
      <c r="AF314" s="119" t="str">
        <f>VLOOKUP(P314*1,Referencias!$G:$H,2,0)</f>
        <v>dom</v>
      </c>
      <c r="BA314" s="10"/>
      <c r="BF314"/>
      <c r="BG314"/>
      <c r="BS314" s="10"/>
    </row>
    <row r="315" spans="1:71" ht="14.4" x14ac:dyDescent="0.3">
      <c r="A315" s="83"/>
      <c r="B315" s="83"/>
      <c r="C315" s="83"/>
      <c r="D315" s="83"/>
      <c r="E315" s="83"/>
      <c r="F315" s="83"/>
      <c r="G315" s="83"/>
      <c r="H315" s="83"/>
      <c r="I315" s="83"/>
      <c r="N315" s="7" t="str">
        <f t="shared" si="116"/>
        <v>#LI153UEVM </v>
      </c>
      <c r="O315" s="7">
        <f t="shared" si="108"/>
        <v>0</v>
      </c>
      <c r="P315" s="21">
        <f t="shared" si="117"/>
        <v>43240</v>
      </c>
      <c r="Q315" s="22">
        <f>VLOOKUP(R315,Referencias!$D$1:$E$13,2,0)</f>
        <v>5</v>
      </c>
      <c r="R315" s="7" t="str">
        <f t="shared" si="118"/>
        <v>MAI</v>
      </c>
      <c r="S315" s="7">
        <f t="shared" si="109"/>
        <v>0</v>
      </c>
      <c r="T315" s="11">
        <f t="shared" si="119"/>
        <v>20</v>
      </c>
      <c r="U315" s="11">
        <f t="shared" si="110"/>
        <v>0</v>
      </c>
      <c r="V315" s="11" t="e">
        <f>VLOOKUP(C315,Referencias!$A$2:$B$33,2,1)</f>
        <v>#N/A</v>
      </c>
      <c r="W315" s="23" t="str">
        <f t="shared" si="122"/>
        <v/>
      </c>
      <c r="X315" s="11">
        <f t="shared" si="111"/>
        <v>0</v>
      </c>
      <c r="Y315" s="11">
        <f t="shared" si="123"/>
        <v>0</v>
      </c>
      <c r="Z315" s="24">
        <f t="shared" si="120"/>
        <v>0</v>
      </c>
      <c r="AA315" s="25">
        <f t="shared" si="121"/>
        <v>0</v>
      </c>
      <c r="AB315" s="24">
        <f t="shared" si="112"/>
        <v>0</v>
      </c>
      <c r="AC315" s="24">
        <f t="shared" si="113"/>
        <v>0</v>
      </c>
      <c r="AD315" s="24">
        <f t="shared" si="114"/>
        <v>0</v>
      </c>
      <c r="AE315" s="24">
        <f t="shared" si="115"/>
        <v>0</v>
      </c>
      <c r="AF315" s="119" t="str">
        <f>VLOOKUP(P315*1,Referencias!$G:$H,2,0)</f>
        <v>dom</v>
      </c>
      <c r="BA315" s="10"/>
      <c r="BF315"/>
      <c r="BG315"/>
      <c r="BS315" s="10"/>
    </row>
    <row r="316" spans="1:71" ht="14.4" x14ac:dyDescent="0.3">
      <c r="A316" s="76"/>
      <c r="B316" s="76"/>
      <c r="C316" s="76"/>
      <c r="D316" s="76"/>
      <c r="E316" s="76"/>
      <c r="F316" s="76"/>
      <c r="G316" s="76"/>
      <c r="H316" s="76"/>
      <c r="I316" s="76"/>
      <c r="N316" s="7" t="str">
        <f t="shared" si="116"/>
        <v>#LI153UEVM </v>
      </c>
      <c r="O316" s="7">
        <f t="shared" si="108"/>
        <v>0</v>
      </c>
      <c r="P316" s="21">
        <f t="shared" si="117"/>
        <v>43240</v>
      </c>
      <c r="Q316" s="22">
        <f>VLOOKUP(R316,Referencias!$D$1:$E$13,2,0)</f>
        <v>5</v>
      </c>
      <c r="R316" s="7" t="str">
        <f t="shared" si="118"/>
        <v>MAI</v>
      </c>
      <c r="S316" s="7">
        <f t="shared" si="109"/>
        <v>0</v>
      </c>
      <c r="T316" s="11">
        <f t="shared" si="119"/>
        <v>20</v>
      </c>
      <c r="U316" s="11">
        <f t="shared" si="110"/>
        <v>0</v>
      </c>
      <c r="V316" s="11" t="e">
        <f>VLOOKUP(C316,Referencias!$A$2:$B$33,2,1)</f>
        <v>#N/A</v>
      </c>
      <c r="W316" s="23" t="str">
        <f t="shared" si="122"/>
        <v/>
      </c>
      <c r="X316" s="11">
        <f t="shared" si="111"/>
        <v>0</v>
      </c>
      <c r="Y316" s="11">
        <f t="shared" si="123"/>
        <v>0</v>
      </c>
      <c r="Z316" s="24">
        <f t="shared" si="120"/>
        <v>0</v>
      </c>
      <c r="AA316" s="25">
        <f t="shared" si="121"/>
        <v>0</v>
      </c>
      <c r="AB316" s="24">
        <f t="shared" si="112"/>
        <v>0</v>
      </c>
      <c r="AC316" s="24">
        <f t="shared" si="113"/>
        <v>0</v>
      </c>
      <c r="AD316" s="24">
        <f t="shared" si="114"/>
        <v>0</v>
      </c>
      <c r="AE316" s="24">
        <f t="shared" si="115"/>
        <v>0</v>
      </c>
      <c r="AF316" s="119" t="str">
        <f>VLOOKUP(P316*1,Referencias!$G:$H,2,0)</f>
        <v>dom</v>
      </c>
      <c r="BA316" s="10"/>
      <c r="BF316"/>
      <c r="BG316"/>
      <c r="BS316" s="10"/>
    </row>
    <row r="317" spans="1:71" ht="14.4" x14ac:dyDescent="0.3">
      <c r="A317" s="77"/>
      <c r="B317" s="78" t="s">
        <v>150</v>
      </c>
      <c r="C317" s="79">
        <v>0.58402777777777781</v>
      </c>
      <c r="D317" s="80">
        <v>3.48</v>
      </c>
      <c r="E317" s="80" t="s">
        <v>55</v>
      </c>
      <c r="F317" s="80"/>
      <c r="G317" s="81">
        <v>2.71</v>
      </c>
      <c r="H317" s="82">
        <v>152.6</v>
      </c>
      <c r="I317" s="80"/>
      <c r="N317" s="7" t="str">
        <f t="shared" si="116"/>
        <v>#LI81RZUM1 </v>
      </c>
      <c r="O317" s="7" t="str">
        <f t="shared" si="108"/>
        <v>#LI81RZUM1 </v>
      </c>
      <c r="P317" s="21">
        <f t="shared" si="117"/>
        <v>43240</v>
      </c>
      <c r="Q317" s="22">
        <f>VLOOKUP(R317,Referencias!$D$1:$E$13,2,0)</f>
        <v>5</v>
      </c>
      <c r="R317" s="7" t="str">
        <f t="shared" si="118"/>
        <v>MAI</v>
      </c>
      <c r="S317" s="7">
        <f t="shared" si="109"/>
        <v>0</v>
      </c>
      <c r="T317" s="11">
        <f t="shared" si="119"/>
        <v>20</v>
      </c>
      <c r="U317" s="11">
        <f t="shared" si="110"/>
        <v>0</v>
      </c>
      <c r="V317" s="11" t="str">
        <f>VLOOKUP(C317,Referencias!$A$2:$B$33,2,1)</f>
        <v>14 - 15</v>
      </c>
      <c r="W317" s="23">
        <f t="shared" si="122"/>
        <v>4.3055555555555514E-2</v>
      </c>
      <c r="X317" s="11">
        <f t="shared" si="111"/>
        <v>3.48</v>
      </c>
      <c r="Y317" s="11">
        <f t="shared" si="123"/>
        <v>6.1454478895925613</v>
      </c>
      <c r="Z317" s="24">
        <f t="shared" si="120"/>
        <v>2.71</v>
      </c>
      <c r="AA317" s="25">
        <f t="shared" si="121"/>
        <v>2.622580645161293</v>
      </c>
      <c r="AB317" s="24">
        <f t="shared" si="112"/>
        <v>1</v>
      </c>
      <c r="AC317" s="24">
        <f t="shared" si="113"/>
        <v>1.7754516681819721</v>
      </c>
      <c r="AD317" s="24">
        <f t="shared" si="114"/>
        <v>2.151094059674453</v>
      </c>
      <c r="AE317" s="24">
        <f t="shared" si="115"/>
        <v>2.5504528961704449</v>
      </c>
      <c r="AF317" s="119" t="str">
        <f>VLOOKUP(P317*1,Referencias!$G:$H,2,0)</f>
        <v>dom</v>
      </c>
      <c r="BA317" s="10"/>
      <c r="BF317"/>
      <c r="BG317"/>
      <c r="BS317" s="10"/>
    </row>
    <row r="318" spans="1:71" ht="14.4" x14ac:dyDescent="0.3">
      <c r="A318" s="77"/>
      <c r="B318" s="78"/>
      <c r="C318" s="79">
        <v>0.62708333333333333</v>
      </c>
      <c r="D318" s="80"/>
      <c r="E318" s="80"/>
      <c r="F318" s="80"/>
      <c r="G318" s="81"/>
      <c r="H318" s="82"/>
      <c r="I318" s="80"/>
      <c r="N318" s="7" t="str">
        <f t="shared" si="116"/>
        <v>#LI81RZUM1 </v>
      </c>
      <c r="O318" s="7">
        <f t="shared" si="108"/>
        <v>0</v>
      </c>
      <c r="P318" s="21">
        <f t="shared" si="117"/>
        <v>43240</v>
      </c>
      <c r="Q318" s="22">
        <f>VLOOKUP(R318,Referencias!$D$1:$E$13,2,0)</f>
        <v>5</v>
      </c>
      <c r="R318" s="7" t="str">
        <f t="shared" si="118"/>
        <v>MAI</v>
      </c>
      <c r="S318" s="7">
        <f t="shared" si="109"/>
        <v>0</v>
      </c>
      <c r="T318" s="11">
        <f t="shared" si="119"/>
        <v>20</v>
      </c>
      <c r="U318" s="11">
        <f t="shared" si="110"/>
        <v>0</v>
      </c>
      <c r="V318" s="11" t="str">
        <f>VLOOKUP(C318,Referencias!$A$2:$B$33,2,1)</f>
        <v>15 - 16</v>
      </c>
      <c r="W318" s="23" t="str">
        <f t="shared" si="122"/>
        <v/>
      </c>
      <c r="X318" s="11">
        <f t="shared" si="111"/>
        <v>0</v>
      </c>
      <c r="Y318" s="11">
        <f t="shared" si="123"/>
        <v>0</v>
      </c>
      <c r="Z318" s="24">
        <f t="shared" si="120"/>
        <v>0</v>
      </c>
      <c r="AA318" s="25">
        <f t="shared" si="121"/>
        <v>0</v>
      </c>
      <c r="AB318" s="24">
        <f t="shared" si="112"/>
        <v>0</v>
      </c>
      <c r="AC318" s="24">
        <f t="shared" si="113"/>
        <v>0</v>
      </c>
      <c r="AD318" s="24">
        <f t="shared" si="114"/>
        <v>0</v>
      </c>
      <c r="AE318" s="24">
        <f t="shared" si="115"/>
        <v>0</v>
      </c>
      <c r="AF318" s="119" t="str">
        <f>VLOOKUP(P318*1,Referencias!$G:$H,2,0)</f>
        <v>dom</v>
      </c>
      <c r="BA318" s="10"/>
      <c r="BF318"/>
      <c r="BG318"/>
      <c r="BS318" s="10"/>
    </row>
    <row r="319" spans="1:71" ht="14.4" x14ac:dyDescent="0.3">
      <c r="A319" s="83"/>
      <c r="B319" s="83"/>
      <c r="C319" s="83"/>
      <c r="D319" s="83"/>
      <c r="E319" s="83"/>
      <c r="F319" s="83"/>
      <c r="G319" s="83"/>
      <c r="H319" s="83"/>
      <c r="I319" s="83"/>
      <c r="N319" s="7" t="str">
        <f t="shared" si="116"/>
        <v>#LI81RZUM1 </v>
      </c>
      <c r="O319" s="7">
        <f t="shared" si="108"/>
        <v>0</v>
      </c>
      <c r="P319" s="21">
        <f t="shared" si="117"/>
        <v>43240</v>
      </c>
      <c r="Q319" s="22">
        <f>VLOOKUP(R319,Referencias!$D$1:$E$13,2,0)</f>
        <v>5</v>
      </c>
      <c r="R319" s="7" t="str">
        <f t="shared" si="118"/>
        <v>MAI</v>
      </c>
      <c r="S319" s="7">
        <f t="shared" si="109"/>
        <v>0</v>
      </c>
      <c r="T319" s="11">
        <f t="shared" si="119"/>
        <v>20</v>
      </c>
      <c r="U319" s="11">
        <f t="shared" si="110"/>
        <v>0</v>
      </c>
      <c r="V319" s="11" t="e">
        <f>VLOOKUP(C319,Referencias!$A$2:$B$33,2,1)</f>
        <v>#N/A</v>
      </c>
      <c r="W319" s="23" t="str">
        <f t="shared" si="122"/>
        <v/>
      </c>
      <c r="X319" s="11">
        <f t="shared" si="111"/>
        <v>0</v>
      </c>
      <c r="Y319" s="11">
        <f t="shared" si="123"/>
        <v>0</v>
      </c>
      <c r="Z319" s="24">
        <f t="shared" si="120"/>
        <v>0</v>
      </c>
      <c r="AA319" s="25">
        <f t="shared" si="121"/>
        <v>0</v>
      </c>
      <c r="AB319" s="24">
        <f t="shared" si="112"/>
        <v>0</v>
      </c>
      <c r="AC319" s="24">
        <f t="shared" si="113"/>
        <v>0</v>
      </c>
      <c r="AD319" s="24">
        <f t="shared" si="114"/>
        <v>0</v>
      </c>
      <c r="AE319" s="24">
        <f t="shared" si="115"/>
        <v>0</v>
      </c>
      <c r="AF319" s="119" t="str">
        <f>VLOOKUP(P319*1,Referencias!$G:$H,2,0)</f>
        <v>dom</v>
      </c>
      <c r="BA319" s="10"/>
      <c r="BF319"/>
      <c r="BG319"/>
      <c r="BS319" s="10"/>
    </row>
    <row r="320" spans="1:71" ht="14.4" x14ac:dyDescent="0.3">
      <c r="A320" s="76"/>
      <c r="B320" s="76"/>
      <c r="C320" s="76"/>
      <c r="D320" s="76"/>
      <c r="E320" s="76"/>
      <c r="F320" s="76"/>
      <c r="G320" s="76"/>
      <c r="H320" s="76"/>
      <c r="I320" s="76"/>
      <c r="N320" s="7" t="str">
        <f t="shared" si="116"/>
        <v>#LI81RZUM1 </v>
      </c>
      <c r="O320" s="7">
        <f t="shared" si="108"/>
        <v>0</v>
      </c>
      <c r="P320" s="21">
        <f t="shared" si="117"/>
        <v>43240</v>
      </c>
      <c r="Q320" s="22">
        <f>VLOOKUP(R320,Referencias!$D$1:$E$13,2,0)</f>
        <v>5</v>
      </c>
      <c r="R320" s="7" t="str">
        <f t="shared" si="118"/>
        <v>MAI</v>
      </c>
      <c r="S320" s="7">
        <f t="shared" si="109"/>
        <v>0</v>
      </c>
      <c r="T320" s="11">
        <f t="shared" si="119"/>
        <v>20</v>
      </c>
      <c r="U320" s="11">
        <f t="shared" si="110"/>
        <v>0</v>
      </c>
      <c r="V320" s="11" t="e">
        <f>VLOOKUP(C320,Referencias!$A$2:$B$33,2,1)</f>
        <v>#N/A</v>
      </c>
      <c r="W320" s="23" t="str">
        <f t="shared" si="122"/>
        <v/>
      </c>
      <c r="X320" s="11">
        <f t="shared" si="111"/>
        <v>0</v>
      </c>
      <c r="Y320" s="11">
        <f t="shared" si="123"/>
        <v>0</v>
      </c>
      <c r="Z320" s="24">
        <f t="shared" si="120"/>
        <v>0</v>
      </c>
      <c r="AA320" s="25">
        <f t="shared" si="121"/>
        <v>0</v>
      </c>
      <c r="AB320" s="24">
        <f t="shared" si="112"/>
        <v>0</v>
      </c>
      <c r="AC320" s="24">
        <f t="shared" si="113"/>
        <v>0</v>
      </c>
      <c r="AD320" s="24">
        <f t="shared" si="114"/>
        <v>0</v>
      </c>
      <c r="AE320" s="24">
        <f t="shared" si="115"/>
        <v>0</v>
      </c>
      <c r="AF320" s="119" t="str">
        <f>VLOOKUP(P320*1,Referencias!$G:$H,2,0)</f>
        <v>dom</v>
      </c>
      <c r="BA320" s="10"/>
      <c r="BF320"/>
      <c r="BG320"/>
      <c r="BS320" s="10"/>
    </row>
    <row r="321" spans="1:71" ht="14.4" x14ac:dyDescent="0.3">
      <c r="A321" s="77"/>
      <c r="B321" s="78" t="s">
        <v>151</v>
      </c>
      <c r="C321" s="79">
        <v>0.81388888888888899</v>
      </c>
      <c r="D321" s="80">
        <v>4.83</v>
      </c>
      <c r="E321" s="80" t="s">
        <v>17</v>
      </c>
      <c r="F321" s="80"/>
      <c r="G321" s="81">
        <v>3.19</v>
      </c>
      <c r="H321" s="82">
        <v>155.79</v>
      </c>
      <c r="I321" s="80"/>
      <c r="N321" s="7" t="str">
        <f t="shared" si="116"/>
        <v>#LILFGDLUK </v>
      </c>
      <c r="O321" s="7" t="str">
        <f t="shared" si="108"/>
        <v>#LILFGDLUK </v>
      </c>
      <c r="P321" s="21">
        <f t="shared" si="117"/>
        <v>43240</v>
      </c>
      <c r="Q321" s="22">
        <f>VLOOKUP(R321,Referencias!$D$1:$E$13,2,0)</f>
        <v>5</v>
      </c>
      <c r="R321" s="7" t="str">
        <f t="shared" si="118"/>
        <v>MAI</v>
      </c>
      <c r="S321" s="7">
        <f t="shared" si="109"/>
        <v>0</v>
      </c>
      <c r="T321" s="11">
        <f t="shared" si="119"/>
        <v>20</v>
      </c>
      <c r="U321" s="11">
        <f t="shared" si="110"/>
        <v>0</v>
      </c>
      <c r="V321" s="11" t="str">
        <f>VLOOKUP(C321,Referencias!$A$2:$B$33,2,1)</f>
        <v>19 - 20</v>
      </c>
      <c r="W321" s="23">
        <f t="shared" si="122"/>
        <v>2.5694444444444242E-2</v>
      </c>
      <c r="X321" s="11">
        <f t="shared" si="111"/>
        <v>4.83</v>
      </c>
      <c r="Y321" s="11">
        <f t="shared" si="123"/>
        <v>8.5294578467620887</v>
      </c>
      <c r="Z321" s="24">
        <f t="shared" si="120"/>
        <v>3.19</v>
      </c>
      <c r="AA321" s="25">
        <f t="shared" si="121"/>
        <v>5.172972972973013</v>
      </c>
      <c r="AB321" s="24">
        <f t="shared" si="112"/>
        <v>1</v>
      </c>
      <c r="AC321" s="24">
        <f t="shared" si="113"/>
        <v>2.0899228123618045</v>
      </c>
      <c r="AD321" s="24">
        <f t="shared" si="114"/>
        <v>2.5320996495798909</v>
      </c>
      <c r="AE321" s="24">
        <f t="shared" si="115"/>
        <v>3.0021936305474979</v>
      </c>
      <c r="AF321" s="119" t="str">
        <f>VLOOKUP(P321*1,Referencias!$G:$H,2,0)</f>
        <v>dom</v>
      </c>
      <c r="BA321" s="10"/>
      <c r="BF321"/>
      <c r="BG321"/>
      <c r="BS321" s="10"/>
    </row>
    <row r="322" spans="1:71" ht="14.4" x14ac:dyDescent="0.3">
      <c r="A322" s="77"/>
      <c r="B322" s="78"/>
      <c r="C322" s="79">
        <v>0.83958333333333324</v>
      </c>
      <c r="D322" s="80"/>
      <c r="E322" s="80"/>
      <c r="F322" s="80"/>
      <c r="G322" s="81"/>
      <c r="H322" s="82"/>
      <c r="I322" s="80"/>
      <c r="N322" s="7" t="str">
        <f t="shared" si="116"/>
        <v>#LILFGDLUK </v>
      </c>
      <c r="O322" s="7">
        <f t="shared" ref="O322:O385" si="124">IF(X322&gt;0,B322,0)</f>
        <v>0</v>
      </c>
      <c r="P322" s="21">
        <f t="shared" si="117"/>
        <v>43240</v>
      </c>
      <c r="Q322" s="22">
        <f>VLOOKUP(R322,Referencias!$D$1:$E$13,2,0)</f>
        <v>5</v>
      </c>
      <c r="R322" s="7" t="str">
        <f t="shared" si="118"/>
        <v>MAI</v>
      </c>
      <c r="S322" s="7">
        <f t="shared" ref="S322:S385" si="125">IF(X322&gt;0,A323,0)</f>
        <v>0</v>
      </c>
      <c r="T322" s="11">
        <f t="shared" si="119"/>
        <v>20</v>
      </c>
      <c r="U322" s="11">
        <f t="shared" ref="U322:U385" si="126">IF(X322&gt;0,A322,0)</f>
        <v>0</v>
      </c>
      <c r="V322" s="11" t="str">
        <f>VLOOKUP(C322,Referencias!$A$2:$B$33,2,1)</f>
        <v>20 - 21</v>
      </c>
      <c r="W322" s="23" t="str">
        <f t="shared" si="122"/>
        <v/>
      </c>
      <c r="X322" s="11">
        <f t="shared" ref="X322:X385" si="127">D322*1</f>
        <v>0</v>
      </c>
      <c r="Y322" s="11">
        <f t="shared" si="123"/>
        <v>0</v>
      </c>
      <c r="Z322" s="24">
        <f t="shared" si="120"/>
        <v>0</v>
      </c>
      <c r="AA322" s="25">
        <f t="shared" si="121"/>
        <v>0</v>
      </c>
      <c r="AB322" s="24">
        <f t="shared" ref="AB322:AB385" si="128">IF(O322&gt;0,1,0)</f>
        <v>0</v>
      </c>
      <c r="AC322" s="24">
        <f t="shared" ref="AC322:AC385" si="129">Z322*$AL$14</f>
        <v>0</v>
      </c>
      <c r="AD322" s="24">
        <f t="shared" ref="AD322:AD385" si="130">Z322*$AN$14</f>
        <v>0</v>
      </c>
      <c r="AE322" s="24">
        <f t="shared" ref="AE322:AE385" si="131">Z322*$AL$26</f>
        <v>0</v>
      </c>
      <c r="AF322" s="119" t="str">
        <f>VLOOKUP(P322*1,Referencias!$G:$H,2,0)</f>
        <v>dom</v>
      </c>
      <c r="BA322" s="10"/>
      <c r="BF322"/>
      <c r="BG322"/>
      <c r="BS322" s="10"/>
    </row>
    <row r="323" spans="1:71" ht="14.4" x14ac:dyDescent="0.3">
      <c r="A323" s="83"/>
      <c r="B323" s="83"/>
      <c r="C323" s="83"/>
      <c r="D323" s="83"/>
      <c r="E323" s="83"/>
      <c r="F323" s="83"/>
      <c r="G323" s="83"/>
      <c r="H323" s="83"/>
      <c r="I323" s="83"/>
      <c r="N323" s="7" t="str">
        <f t="shared" ref="N323:N386" si="132">IF(O323&lt;&gt;0,O323,N322)</f>
        <v>#LILFGDLUK </v>
      </c>
      <c r="O323" s="7">
        <f t="shared" si="124"/>
        <v>0</v>
      </c>
      <c r="P323" s="21">
        <f t="shared" ref="P323:P386" si="133">(T323&amp;"/"&amp;Q323&amp;"/2018")*1</f>
        <v>43240</v>
      </c>
      <c r="Q323" s="22">
        <f>VLOOKUP(R323,Referencias!$D$1:$E$13,2,0)</f>
        <v>5</v>
      </c>
      <c r="R323" s="7" t="str">
        <f t="shared" ref="R323:R386" si="134">IF(S323="ganhos garantidos",R322,IF(S323&lt;&gt;0,S323,R322))</f>
        <v>MAI</v>
      </c>
      <c r="S323" s="7">
        <f t="shared" si="125"/>
        <v>0</v>
      </c>
      <c r="T323" s="11">
        <f t="shared" ref="T323:T386" si="135">IF(U323&lt;&gt;0,U323,T322)</f>
        <v>20</v>
      </c>
      <c r="U323" s="11">
        <f t="shared" si="126"/>
        <v>0</v>
      </c>
      <c r="V323" s="11" t="e">
        <f>VLOOKUP(C323,Referencias!$A$2:$B$33,2,1)</f>
        <v>#N/A</v>
      </c>
      <c r="W323" s="23" t="str">
        <f t="shared" si="122"/>
        <v/>
      </c>
      <c r="X323" s="11">
        <f t="shared" si="127"/>
        <v>0</v>
      </c>
      <c r="Y323" s="11">
        <f t="shared" si="123"/>
        <v>0</v>
      </c>
      <c r="Z323" s="24">
        <f t="shared" ref="Z323:Z386" si="136">IF(A323="Ganhos Garantidos",G323,IF(X323&gt;0,G323*1,0))</f>
        <v>0</v>
      </c>
      <c r="AA323" s="25">
        <f t="shared" ref="AA323:AA386" si="137">IFERROR(Z323/(86400*(W323)/360/10),0)</f>
        <v>0</v>
      </c>
      <c r="AB323" s="24">
        <f t="shared" si="128"/>
        <v>0</v>
      </c>
      <c r="AC323" s="24">
        <f t="shared" si="129"/>
        <v>0</v>
      </c>
      <c r="AD323" s="24">
        <f t="shared" si="130"/>
        <v>0</v>
      </c>
      <c r="AE323" s="24">
        <f t="shared" si="131"/>
        <v>0</v>
      </c>
      <c r="AF323" s="119" t="str">
        <f>VLOOKUP(P323*1,Referencias!$G:$H,2,0)</f>
        <v>dom</v>
      </c>
      <c r="BA323" s="10"/>
      <c r="BF323"/>
      <c r="BG323"/>
      <c r="BS323" s="10"/>
    </row>
    <row r="324" spans="1:71" ht="14.4" x14ac:dyDescent="0.3">
      <c r="A324" s="76"/>
      <c r="B324" s="76"/>
      <c r="C324" s="76"/>
      <c r="D324" s="76"/>
      <c r="E324" s="76"/>
      <c r="F324" s="76"/>
      <c r="G324" s="76"/>
      <c r="H324" s="76"/>
      <c r="I324" s="76"/>
      <c r="N324" s="7" t="str">
        <f t="shared" si="132"/>
        <v>#LILFGDLUK </v>
      </c>
      <c r="O324" s="7">
        <f t="shared" si="124"/>
        <v>0</v>
      </c>
      <c r="P324" s="21">
        <f t="shared" si="133"/>
        <v>43240</v>
      </c>
      <c r="Q324" s="22">
        <f>VLOOKUP(R324,Referencias!$D$1:$E$13,2,0)</f>
        <v>5</v>
      </c>
      <c r="R324" s="7" t="str">
        <f t="shared" si="134"/>
        <v>MAI</v>
      </c>
      <c r="S324" s="7">
        <f t="shared" si="125"/>
        <v>0</v>
      </c>
      <c r="T324" s="11">
        <f t="shared" si="135"/>
        <v>20</v>
      </c>
      <c r="U324" s="11">
        <f t="shared" si="126"/>
        <v>0</v>
      </c>
      <c r="V324" s="11" t="e">
        <f>VLOOKUP(C324,Referencias!$A$2:$B$33,2,1)</f>
        <v>#N/A</v>
      </c>
      <c r="W324" s="23" t="str">
        <f t="shared" ref="W324:W387" si="138">IF(X324&gt;0,C325-C324,"")</f>
        <v/>
      </c>
      <c r="X324" s="11">
        <f t="shared" si="127"/>
        <v>0</v>
      </c>
      <c r="Y324" s="11">
        <f t="shared" ref="Y324:Y387" si="139">X324*$AK$2</f>
        <v>0</v>
      </c>
      <c r="Z324" s="24">
        <f t="shared" si="136"/>
        <v>0</v>
      </c>
      <c r="AA324" s="25">
        <f t="shared" si="137"/>
        <v>0</v>
      </c>
      <c r="AB324" s="24">
        <f t="shared" si="128"/>
        <v>0</v>
      </c>
      <c r="AC324" s="24">
        <f t="shared" si="129"/>
        <v>0</v>
      </c>
      <c r="AD324" s="24">
        <f t="shared" si="130"/>
        <v>0</v>
      </c>
      <c r="AE324" s="24">
        <f t="shared" si="131"/>
        <v>0</v>
      </c>
      <c r="AF324" s="119" t="str">
        <f>VLOOKUP(P324*1,Referencias!$G:$H,2,0)</f>
        <v>dom</v>
      </c>
      <c r="BA324" s="10"/>
      <c r="BF324"/>
      <c r="BG324"/>
      <c r="BS324" s="10"/>
    </row>
    <row r="325" spans="1:71" ht="14.4" x14ac:dyDescent="0.3">
      <c r="A325" s="77"/>
      <c r="B325" s="78" t="s">
        <v>152</v>
      </c>
      <c r="C325" s="79">
        <v>0.83958333333333324</v>
      </c>
      <c r="D325" s="80">
        <v>5.22</v>
      </c>
      <c r="E325" s="80" t="s">
        <v>17</v>
      </c>
      <c r="F325" s="81">
        <v>0.66</v>
      </c>
      <c r="G325" s="81">
        <v>3.98</v>
      </c>
      <c r="H325" s="82">
        <v>159.77000000000001</v>
      </c>
      <c r="I325" s="80"/>
      <c r="N325" s="7" t="str">
        <f t="shared" si="132"/>
        <v>#LIHZLBKWM </v>
      </c>
      <c r="O325" s="7" t="str">
        <f t="shared" si="124"/>
        <v>#LIHZLBKWM </v>
      </c>
      <c r="P325" s="21">
        <f t="shared" si="133"/>
        <v>43240</v>
      </c>
      <c r="Q325" s="22">
        <f>VLOOKUP(R325,Referencias!$D$1:$E$13,2,0)</f>
        <v>5</v>
      </c>
      <c r="R325" s="7" t="str">
        <f t="shared" si="134"/>
        <v>MAI</v>
      </c>
      <c r="S325" s="7">
        <f t="shared" si="125"/>
        <v>0</v>
      </c>
      <c r="T325" s="11">
        <f t="shared" si="135"/>
        <v>20</v>
      </c>
      <c r="U325" s="11">
        <f t="shared" si="126"/>
        <v>0</v>
      </c>
      <c r="V325" s="11" t="str">
        <f>VLOOKUP(C325,Referencias!$A$2:$B$33,2,1)</f>
        <v>20 - 21</v>
      </c>
      <c r="W325" s="23">
        <f t="shared" si="138"/>
        <v>1.9444444444444597E-2</v>
      </c>
      <c r="X325" s="11">
        <f t="shared" si="127"/>
        <v>5.22</v>
      </c>
      <c r="Y325" s="11">
        <f t="shared" si="139"/>
        <v>9.2181718343888406</v>
      </c>
      <c r="Z325" s="24">
        <f t="shared" si="136"/>
        <v>3.98</v>
      </c>
      <c r="AA325" s="25">
        <f t="shared" si="137"/>
        <v>8.528571428571361</v>
      </c>
      <c r="AB325" s="24">
        <f t="shared" si="128"/>
        <v>1</v>
      </c>
      <c r="AC325" s="24">
        <f t="shared" si="129"/>
        <v>2.6074899038244461</v>
      </c>
      <c r="AD325" s="24">
        <f t="shared" si="130"/>
        <v>3.1591713496325911</v>
      </c>
      <c r="AE325" s="24">
        <f t="shared" si="131"/>
        <v>3.7456835892097309</v>
      </c>
      <c r="AF325" s="119" t="str">
        <f>VLOOKUP(P325*1,Referencias!$G:$H,2,0)</f>
        <v>dom</v>
      </c>
      <c r="BA325" s="10"/>
      <c r="BF325"/>
      <c r="BG325"/>
      <c r="BS325" s="10"/>
    </row>
    <row r="326" spans="1:71" ht="14.4" x14ac:dyDescent="0.3">
      <c r="A326" s="77"/>
      <c r="B326" s="78"/>
      <c r="C326" s="79">
        <v>0.85902777777777783</v>
      </c>
      <c r="D326" s="80"/>
      <c r="E326" s="80"/>
      <c r="F326" s="80" t="s">
        <v>132</v>
      </c>
      <c r="G326" s="81"/>
      <c r="H326" s="82"/>
      <c r="I326" s="80"/>
      <c r="N326" s="7" t="str">
        <f t="shared" si="132"/>
        <v>#LIHZLBKWM </v>
      </c>
      <c r="O326" s="7">
        <f t="shared" si="124"/>
        <v>0</v>
      </c>
      <c r="P326" s="21">
        <f t="shared" si="133"/>
        <v>43240</v>
      </c>
      <c r="Q326" s="22">
        <f>VLOOKUP(R326,Referencias!$D$1:$E$13,2,0)</f>
        <v>5</v>
      </c>
      <c r="R326" s="7" t="str">
        <f t="shared" si="134"/>
        <v>MAI</v>
      </c>
      <c r="S326" s="7">
        <f t="shared" si="125"/>
        <v>0</v>
      </c>
      <c r="T326" s="11">
        <f t="shared" si="135"/>
        <v>20</v>
      </c>
      <c r="U326" s="11">
        <f t="shared" si="126"/>
        <v>0</v>
      </c>
      <c r="V326" s="11" t="str">
        <f>VLOOKUP(C326,Referencias!$A$2:$B$33,2,1)</f>
        <v>20 - 21</v>
      </c>
      <c r="W326" s="23" t="str">
        <f t="shared" si="138"/>
        <v/>
      </c>
      <c r="X326" s="11">
        <f t="shared" si="127"/>
        <v>0</v>
      </c>
      <c r="Y326" s="11">
        <f t="shared" si="139"/>
        <v>0</v>
      </c>
      <c r="Z326" s="24">
        <f t="shared" si="136"/>
        <v>0</v>
      </c>
      <c r="AA326" s="25">
        <f t="shared" si="137"/>
        <v>0</v>
      </c>
      <c r="AB326" s="24">
        <f t="shared" si="128"/>
        <v>0</v>
      </c>
      <c r="AC326" s="24">
        <f t="shared" si="129"/>
        <v>0</v>
      </c>
      <c r="AD326" s="24">
        <f t="shared" si="130"/>
        <v>0</v>
      </c>
      <c r="AE326" s="24">
        <f t="shared" si="131"/>
        <v>0</v>
      </c>
      <c r="AF326" s="119" t="str">
        <f>VLOOKUP(P326*1,Referencias!$G:$H,2,0)</f>
        <v>dom</v>
      </c>
      <c r="BA326" s="10"/>
      <c r="BF326"/>
      <c r="BG326"/>
      <c r="BS326" s="10"/>
    </row>
    <row r="327" spans="1:71" ht="14.4" x14ac:dyDescent="0.3">
      <c r="A327" s="83"/>
      <c r="B327" s="83"/>
      <c r="C327" s="83"/>
      <c r="D327" s="83"/>
      <c r="E327" s="83"/>
      <c r="F327" s="83"/>
      <c r="G327" s="83"/>
      <c r="H327" s="83"/>
      <c r="I327" s="83"/>
      <c r="N327" s="7" t="str">
        <f t="shared" si="132"/>
        <v>#LIHZLBKWM </v>
      </c>
      <c r="O327" s="7">
        <f t="shared" si="124"/>
        <v>0</v>
      </c>
      <c r="P327" s="21">
        <f t="shared" si="133"/>
        <v>43240</v>
      </c>
      <c r="Q327" s="22">
        <f>VLOOKUP(R327,Referencias!$D$1:$E$13,2,0)</f>
        <v>5</v>
      </c>
      <c r="R327" s="7" t="str">
        <f t="shared" si="134"/>
        <v>MAI</v>
      </c>
      <c r="S327" s="7">
        <f t="shared" si="125"/>
        <v>0</v>
      </c>
      <c r="T327" s="11">
        <f t="shared" si="135"/>
        <v>20</v>
      </c>
      <c r="U327" s="11">
        <f t="shared" si="126"/>
        <v>0</v>
      </c>
      <c r="V327" s="11" t="e">
        <f>VLOOKUP(C327,Referencias!$A$2:$B$33,2,1)</f>
        <v>#N/A</v>
      </c>
      <c r="W327" s="23" t="str">
        <f t="shared" si="138"/>
        <v/>
      </c>
      <c r="X327" s="11">
        <f t="shared" si="127"/>
        <v>0</v>
      </c>
      <c r="Y327" s="11">
        <f t="shared" si="139"/>
        <v>0</v>
      </c>
      <c r="Z327" s="24">
        <f t="shared" si="136"/>
        <v>0</v>
      </c>
      <c r="AA327" s="25">
        <f t="shared" si="137"/>
        <v>0</v>
      </c>
      <c r="AB327" s="24">
        <f t="shared" si="128"/>
        <v>0</v>
      </c>
      <c r="AC327" s="24">
        <f t="shared" si="129"/>
        <v>0</v>
      </c>
      <c r="AD327" s="24">
        <f t="shared" si="130"/>
        <v>0</v>
      </c>
      <c r="AE327" s="24">
        <f t="shared" si="131"/>
        <v>0</v>
      </c>
      <c r="AF327" s="119" t="str">
        <f>VLOOKUP(P327*1,Referencias!$G:$H,2,0)</f>
        <v>dom</v>
      </c>
      <c r="BA327" s="10"/>
      <c r="BF327"/>
      <c r="BG327"/>
      <c r="BS327" s="10"/>
    </row>
    <row r="328" spans="1:71" ht="14.4" x14ac:dyDescent="0.3">
      <c r="A328" s="76"/>
      <c r="B328" s="76"/>
      <c r="C328" s="76"/>
      <c r="D328" s="76"/>
      <c r="E328" s="76"/>
      <c r="F328" s="76"/>
      <c r="G328" s="76"/>
      <c r="H328" s="76"/>
      <c r="I328" s="76"/>
      <c r="N328" s="7" t="str">
        <f t="shared" si="132"/>
        <v>#LIHZLBKWM </v>
      </c>
      <c r="O328" s="7">
        <f t="shared" si="124"/>
        <v>0</v>
      </c>
      <c r="P328" s="21">
        <f t="shared" si="133"/>
        <v>43240</v>
      </c>
      <c r="Q328" s="22">
        <f>VLOOKUP(R328,Referencias!$D$1:$E$13,2,0)</f>
        <v>5</v>
      </c>
      <c r="R328" s="7" t="str">
        <f t="shared" si="134"/>
        <v>MAI</v>
      </c>
      <c r="S328" s="7">
        <f t="shared" si="125"/>
        <v>0</v>
      </c>
      <c r="T328" s="11">
        <f t="shared" si="135"/>
        <v>20</v>
      </c>
      <c r="U328" s="11">
        <f t="shared" si="126"/>
        <v>0</v>
      </c>
      <c r="V328" s="11" t="e">
        <f>VLOOKUP(C328,Referencias!$A$2:$B$33,2,1)</f>
        <v>#N/A</v>
      </c>
      <c r="W328" s="23" t="str">
        <f t="shared" si="138"/>
        <v/>
      </c>
      <c r="X328" s="11">
        <f t="shared" si="127"/>
        <v>0</v>
      </c>
      <c r="Y328" s="11">
        <f t="shared" si="139"/>
        <v>0</v>
      </c>
      <c r="Z328" s="24">
        <f t="shared" si="136"/>
        <v>0</v>
      </c>
      <c r="AA328" s="25">
        <f t="shared" si="137"/>
        <v>0</v>
      </c>
      <c r="AB328" s="24">
        <f t="shared" si="128"/>
        <v>0</v>
      </c>
      <c r="AC328" s="24">
        <f t="shared" si="129"/>
        <v>0</v>
      </c>
      <c r="AD328" s="24">
        <f t="shared" si="130"/>
        <v>0</v>
      </c>
      <c r="AE328" s="24">
        <f t="shared" si="131"/>
        <v>0</v>
      </c>
      <c r="AF328" s="119" t="str">
        <f>VLOOKUP(P328*1,Referencias!$G:$H,2,0)</f>
        <v>dom</v>
      </c>
      <c r="BA328" s="10"/>
      <c r="BF328"/>
      <c r="BG328"/>
      <c r="BS328" s="10"/>
    </row>
    <row r="329" spans="1:71" ht="14.4" x14ac:dyDescent="0.3">
      <c r="A329" s="77"/>
      <c r="B329" s="78" t="s">
        <v>153</v>
      </c>
      <c r="C329" s="79">
        <v>0.85902777777777783</v>
      </c>
      <c r="D329" s="80">
        <v>7.7</v>
      </c>
      <c r="E329" s="80" t="s">
        <v>36</v>
      </c>
      <c r="F329" s="81">
        <v>0.83</v>
      </c>
      <c r="G329" s="81">
        <v>5.0199999999999996</v>
      </c>
      <c r="H329" s="82">
        <v>164.79</v>
      </c>
      <c r="I329" s="80"/>
      <c r="N329" s="7" t="str">
        <f t="shared" si="132"/>
        <v>#LI2CZSYA1 </v>
      </c>
      <c r="O329" s="7" t="str">
        <f t="shared" si="124"/>
        <v>#LI2CZSYA1 </v>
      </c>
      <c r="P329" s="21">
        <f t="shared" si="133"/>
        <v>43240</v>
      </c>
      <c r="Q329" s="22">
        <f>VLOOKUP(R329,Referencias!$D$1:$E$13,2,0)</f>
        <v>5</v>
      </c>
      <c r="R329" s="7" t="str">
        <f t="shared" si="134"/>
        <v>MAI</v>
      </c>
      <c r="S329" s="7">
        <f t="shared" si="125"/>
        <v>0</v>
      </c>
      <c r="T329" s="11">
        <f t="shared" si="135"/>
        <v>20</v>
      </c>
      <c r="U329" s="11">
        <f t="shared" si="126"/>
        <v>0</v>
      </c>
      <c r="V329" s="11" t="str">
        <f>VLOOKUP(C329,Referencias!$A$2:$B$33,2,1)</f>
        <v>20 - 21</v>
      </c>
      <c r="W329" s="23">
        <f t="shared" si="138"/>
        <v>2.9861111111111005E-2</v>
      </c>
      <c r="X329" s="11">
        <f t="shared" si="127"/>
        <v>7.7</v>
      </c>
      <c r="Y329" s="11">
        <f t="shared" si="139"/>
        <v>13.597686422374345</v>
      </c>
      <c r="Z329" s="24">
        <f t="shared" si="136"/>
        <v>5.0199999999999996</v>
      </c>
      <c r="AA329" s="25">
        <f t="shared" si="137"/>
        <v>7.0046511627907222</v>
      </c>
      <c r="AB329" s="24">
        <f t="shared" si="128"/>
        <v>1</v>
      </c>
      <c r="AC329" s="24">
        <f t="shared" si="129"/>
        <v>3.2888440495474165</v>
      </c>
      <c r="AD329" s="24">
        <f t="shared" si="130"/>
        <v>3.9846834610943733</v>
      </c>
      <c r="AE329" s="24">
        <f t="shared" si="131"/>
        <v>4.7244551803600121</v>
      </c>
      <c r="AF329" s="119" t="str">
        <f>VLOOKUP(P329*1,Referencias!$G:$H,2,0)</f>
        <v>dom</v>
      </c>
      <c r="BA329" s="10"/>
      <c r="BF329"/>
      <c r="BG329"/>
      <c r="BS329" s="10"/>
    </row>
    <row r="330" spans="1:71" ht="14.4" x14ac:dyDescent="0.3">
      <c r="A330" s="77"/>
      <c r="B330" s="78"/>
      <c r="C330" s="79">
        <v>0.88888888888888884</v>
      </c>
      <c r="D330" s="80"/>
      <c r="E330" s="80"/>
      <c r="F330" s="80" t="s">
        <v>132</v>
      </c>
      <c r="G330" s="81"/>
      <c r="H330" s="82"/>
      <c r="I330" s="80"/>
      <c r="N330" s="7" t="str">
        <f t="shared" si="132"/>
        <v>#LI2CZSYA1 </v>
      </c>
      <c r="O330" s="7">
        <f t="shared" si="124"/>
        <v>0</v>
      </c>
      <c r="P330" s="21">
        <f t="shared" si="133"/>
        <v>43240</v>
      </c>
      <c r="Q330" s="22">
        <f>VLOOKUP(R330,Referencias!$D$1:$E$13,2,0)</f>
        <v>5</v>
      </c>
      <c r="R330" s="7" t="str">
        <f t="shared" si="134"/>
        <v>MAI</v>
      </c>
      <c r="S330" s="7">
        <f t="shared" si="125"/>
        <v>0</v>
      </c>
      <c r="T330" s="11">
        <f t="shared" si="135"/>
        <v>20</v>
      </c>
      <c r="U330" s="11">
        <f t="shared" si="126"/>
        <v>0</v>
      </c>
      <c r="V330" s="11" t="str">
        <f>VLOOKUP(C330,Referencias!$A$2:$B$33,2,1)</f>
        <v>21 - 22</v>
      </c>
      <c r="W330" s="23" t="str">
        <f t="shared" si="138"/>
        <v/>
      </c>
      <c r="X330" s="11">
        <f t="shared" si="127"/>
        <v>0</v>
      </c>
      <c r="Y330" s="11">
        <f t="shared" si="139"/>
        <v>0</v>
      </c>
      <c r="Z330" s="24">
        <f t="shared" si="136"/>
        <v>0</v>
      </c>
      <c r="AA330" s="25">
        <f t="shared" si="137"/>
        <v>0</v>
      </c>
      <c r="AB330" s="24">
        <f t="shared" si="128"/>
        <v>0</v>
      </c>
      <c r="AC330" s="24">
        <f t="shared" si="129"/>
        <v>0</v>
      </c>
      <c r="AD330" s="24">
        <f t="shared" si="130"/>
        <v>0</v>
      </c>
      <c r="AE330" s="24">
        <f t="shared" si="131"/>
        <v>0</v>
      </c>
      <c r="AF330" s="119" t="str">
        <f>VLOOKUP(P330*1,Referencias!$G:$H,2,0)</f>
        <v>dom</v>
      </c>
      <c r="BA330" s="10"/>
      <c r="BF330"/>
      <c r="BG330"/>
      <c r="BS330" s="10"/>
    </row>
    <row r="331" spans="1:71" ht="14.4" x14ac:dyDescent="0.3">
      <c r="A331" s="83"/>
      <c r="B331" s="83"/>
      <c r="C331" s="83"/>
      <c r="D331" s="83"/>
      <c r="E331" s="83"/>
      <c r="F331" s="83"/>
      <c r="G331" s="83"/>
      <c r="H331" s="83"/>
      <c r="I331" s="83"/>
      <c r="N331" s="7" t="str">
        <f t="shared" si="132"/>
        <v>#LI2CZSYA1 </v>
      </c>
      <c r="O331" s="7">
        <f t="shared" si="124"/>
        <v>0</v>
      </c>
      <c r="P331" s="21">
        <f t="shared" si="133"/>
        <v>43240</v>
      </c>
      <c r="Q331" s="22">
        <f>VLOOKUP(R331,Referencias!$D$1:$E$13,2,0)</f>
        <v>5</v>
      </c>
      <c r="R331" s="7" t="str">
        <f t="shared" si="134"/>
        <v>MAI</v>
      </c>
      <c r="S331" s="7">
        <f t="shared" si="125"/>
        <v>0</v>
      </c>
      <c r="T331" s="11">
        <f t="shared" si="135"/>
        <v>20</v>
      </c>
      <c r="U331" s="11">
        <f t="shared" si="126"/>
        <v>0</v>
      </c>
      <c r="V331" s="11" t="e">
        <f>VLOOKUP(C331,Referencias!$A$2:$B$33,2,1)</f>
        <v>#N/A</v>
      </c>
      <c r="W331" s="23" t="str">
        <f t="shared" si="138"/>
        <v/>
      </c>
      <c r="X331" s="11">
        <f t="shared" si="127"/>
        <v>0</v>
      </c>
      <c r="Y331" s="11">
        <f t="shared" si="139"/>
        <v>0</v>
      </c>
      <c r="Z331" s="24">
        <f t="shared" si="136"/>
        <v>0</v>
      </c>
      <c r="AA331" s="25">
        <f t="shared" si="137"/>
        <v>0</v>
      </c>
      <c r="AB331" s="24">
        <f t="shared" si="128"/>
        <v>0</v>
      </c>
      <c r="AC331" s="24">
        <f t="shared" si="129"/>
        <v>0</v>
      </c>
      <c r="AD331" s="24">
        <f t="shared" si="130"/>
        <v>0</v>
      </c>
      <c r="AE331" s="24">
        <f t="shared" si="131"/>
        <v>0</v>
      </c>
      <c r="AF331" s="119" t="str">
        <f>VLOOKUP(P331*1,Referencias!$G:$H,2,0)</f>
        <v>dom</v>
      </c>
      <c r="BA331" s="10"/>
      <c r="BF331"/>
      <c r="BG331"/>
      <c r="BS331" s="10"/>
    </row>
    <row r="332" spans="1:71" ht="14.4" x14ac:dyDescent="0.3">
      <c r="A332" s="76"/>
      <c r="B332" s="76"/>
      <c r="C332" s="76"/>
      <c r="D332" s="76"/>
      <c r="E332" s="76"/>
      <c r="F332" s="76"/>
      <c r="G332" s="76"/>
      <c r="H332" s="76"/>
      <c r="I332" s="76"/>
      <c r="N332" s="7" t="str">
        <f t="shared" si="132"/>
        <v>#LI2CZSYA1 </v>
      </c>
      <c r="O332" s="7">
        <f t="shared" si="124"/>
        <v>0</v>
      </c>
      <c r="P332" s="21">
        <f t="shared" si="133"/>
        <v>43240</v>
      </c>
      <c r="Q332" s="22">
        <f>VLOOKUP(R332,Referencias!$D$1:$E$13,2,0)</f>
        <v>5</v>
      </c>
      <c r="R332" s="7" t="str">
        <f t="shared" si="134"/>
        <v>MAI</v>
      </c>
      <c r="S332" s="7">
        <f t="shared" si="125"/>
        <v>0</v>
      </c>
      <c r="T332" s="11">
        <f t="shared" si="135"/>
        <v>20</v>
      </c>
      <c r="U332" s="11">
        <f t="shared" si="126"/>
        <v>0</v>
      </c>
      <c r="V332" s="11" t="e">
        <f>VLOOKUP(C332,Referencias!$A$2:$B$33,2,1)</f>
        <v>#N/A</v>
      </c>
      <c r="W332" s="23" t="str">
        <f t="shared" si="138"/>
        <v/>
      </c>
      <c r="X332" s="11">
        <f t="shared" si="127"/>
        <v>0</v>
      </c>
      <c r="Y332" s="11">
        <f t="shared" si="139"/>
        <v>0</v>
      </c>
      <c r="Z332" s="24">
        <f t="shared" si="136"/>
        <v>0</v>
      </c>
      <c r="AA332" s="25">
        <f t="shared" si="137"/>
        <v>0</v>
      </c>
      <c r="AB332" s="24">
        <f t="shared" si="128"/>
        <v>0</v>
      </c>
      <c r="AC332" s="24">
        <f t="shared" si="129"/>
        <v>0</v>
      </c>
      <c r="AD332" s="24">
        <f t="shared" si="130"/>
        <v>0</v>
      </c>
      <c r="AE332" s="24">
        <f t="shared" si="131"/>
        <v>0</v>
      </c>
      <c r="AF332" s="119" t="str">
        <f>VLOOKUP(P332*1,Referencias!$G:$H,2,0)</f>
        <v>dom</v>
      </c>
      <c r="BA332" s="10"/>
      <c r="BF332"/>
      <c r="BG332"/>
      <c r="BS332" s="10"/>
    </row>
    <row r="333" spans="1:71" ht="14.4" x14ac:dyDescent="0.3">
      <c r="A333" s="77"/>
      <c r="B333" s="78" t="s">
        <v>154</v>
      </c>
      <c r="C333" s="79">
        <v>0.88888888888888884</v>
      </c>
      <c r="D333" s="80">
        <v>4.2</v>
      </c>
      <c r="E333" s="80" t="s">
        <v>44</v>
      </c>
      <c r="F333" s="81">
        <v>0.89</v>
      </c>
      <c r="G333" s="81">
        <v>3.86</v>
      </c>
      <c r="H333" s="82">
        <v>168.65</v>
      </c>
      <c r="I333" s="80"/>
      <c r="N333" s="7" t="str">
        <f t="shared" si="132"/>
        <v>#LIF4LYCEE </v>
      </c>
      <c r="O333" s="7" t="str">
        <f t="shared" si="124"/>
        <v>#LIF4LYCEE </v>
      </c>
      <c r="P333" s="21">
        <f t="shared" si="133"/>
        <v>43240</v>
      </c>
      <c r="Q333" s="22">
        <f>VLOOKUP(R333,Referencias!$D$1:$E$13,2,0)</f>
        <v>5</v>
      </c>
      <c r="R333" s="7" t="str">
        <f t="shared" si="134"/>
        <v>MAI</v>
      </c>
      <c r="S333" s="7">
        <f t="shared" si="125"/>
        <v>0</v>
      </c>
      <c r="T333" s="11">
        <f t="shared" si="135"/>
        <v>20</v>
      </c>
      <c r="U333" s="11">
        <f t="shared" si="126"/>
        <v>0</v>
      </c>
      <c r="V333" s="11" t="str">
        <f>VLOOKUP(C333,Referencias!$A$2:$B$33,2,1)</f>
        <v>21 - 22</v>
      </c>
      <c r="W333" s="23">
        <f t="shared" si="138"/>
        <v>1.3888888888888951E-2</v>
      </c>
      <c r="X333" s="11">
        <f t="shared" si="127"/>
        <v>4.2</v>
      </c>
      <c r="Y333" s="11">
        <f t="shared" si="139"/>
        <v>7.4169198667496428</v>
      </c>
      <c r="Z333" s="24">
        <f t="shared" si="136"/>
        <v>3.86</v>
      </c>
      <c r="AA333" s="25">
        <f t="shared" si="137"/>
        <v>11.57999999999995</v>
      </c>
      <c r="AB333" s="24">
        <f t="shared" si="128"/>
        <v>1</v>
      </c>
      <c r="AC333" s="24">
        <f t="shared" si="129"/>
        <v>2.5288721177794877</v>
      </c>
      <c r="AD333" s="24">
        <f t="shared" si="130"/>
        <v>3.0639199521562315</v>
      </c>
      <c r="AE333" s="24">
        <f t="shared" si="131"/>
        <v>3.6327484056154677</v>
      </c>
      <c r="AF333" s="119" t="str">
        <f>VLOOKUP(P333*1,Referencias!$G:$H,2,0)</f>
        <v>dom</v>
      </c>
      <c r="BA333" s="10"/>
      <c r="BF333"/>
      <c r="BG333"/>
      <c r="BS333" s="10"/>
    </row>
    <row r="334" spans="1:71" ht="14.4" x14ac:dyDescent="0.3">
      <c r="A334" s="77"/>
      <c r="B334" s="78"/>
      <c r="C334" s="79">
        <v>0.90277777777777779</v>
      </c>
      <c r="D334" s="80"/>
      <c r="E334" s="80"/>
      <c r="F334" s="80" t="s">
        <v>70</v>
      </c>
      <c r="G334" s="81"/>
      <c r="H334" s="82"/>
      <c r="I334" s="80"/>
      <c r="N334" s="7" t="str">
        <f t="shared" si="132"/>
        <v>#LIF4LYCEE </v>
      </c>
      <c r="O334" s="7">
        <f t="shared" si="124"/>
        <v>0</v>
      </c>
      <c r="P334" s="21">
        <f t="shared" si="133"/>
        <v>43240</v>
      </c>
      <c r="Q334" s="22">
        <f>VLOOKUP(R334,Referencias!$D$1:$E$13,2,0)</f>
        <v>5</v>
      </c>
      <c r="R334" s="7" t="str">
        <f t="shared" si="134"/>
        <v>MAI</v>
      </c>
      <c r="S334" s="7">
        <f t="shared" si="125"/>
        <v>0</v>
      </c>
      <c r="T334" s="11">
        <f t="shared" si="135"/>
        <v>20</v>
      </c>
      <c r="U334" s="11">
        <f t="shared" si="126"/>
        <v>0</v>
      </c>
      <c r="V334" s="11" t="str">
        <f>VLOOKUP(C334,Referencias!$A$2:$B$33,2,1)</f>
        <v>21 - 22</v>
      </c>
      <c r="W334" s="23" t="str">
        <f t="shared" si="138"/>
        <v/>
      </c>
      <c r="X334" s="11">
        <f t="shared" si="127"/>
        <v>0</v>
      </c>
      <c r="Y334" s="11">
        <f t="shared" si="139"/>
        <v>0</v>
      </c>
      <c r="Z334" s="24">
        <f t="shared" si="136"/>
        <v>0</v>
      </c>
      <c r="AA334" s="25">
        <f t="shared" si="137"/>
        <v>0</v>
      </c>
      <c r="AB334" s="24">
        <f t="shared" si="128"/>
        <v>0</v>
      </c>
      <c r="AC334" s="24">
        <f t="shared" si="129"/>
        <v>0</v>
      </c>
      <c r="AD334" s="24">
        <f t="shared" si="130"/>
        <v>0</v>
      </c>
      <c r="AE334" s="24">
        <f t="shared" si="131"/>
        <v>0</v>
      </c>
      <c r="AF334" s="119" t="str">
        <f>VLOOKUP(P334*1,Referencias!$G:$H,2,0)</f>
        <v>dom</v>
      </c>
      <c r="BA334" s="10"/>
      <c r="BF334"/>
      <c r="BG334"/>
      <c r="BS334" s="10"/>
    </row>
    <row r="335" spans="1:71" ht="14.4" x14ac:dyDescent="0.3">
      <c r="A335" s="83"/>
      <c r="B335" s="83"/>
      <c r="C335" s="83"/>
      <c r="D335" s="83"/>
      <c r="E335" s="83"/>
      <c r="F335" s="83"/>
      <c r="G335" s="83"/>
      <c r="H335" s="83"/>
      <c r="I335" s="83"/>
      <c r="N335" s="7" t="str">
        <f t="shared" si="132"/>
        <v>#LIF4LYCEE </v>
      </c>
      <c r="O335" s="7">
        <f t="shared" si="124"/>
        <v>0</v>
      </c>
      <c r="P335" s="21">
        <f t="shared" si="133"/>
        <v>43240</v>
      </c>
      <c r="Q335" s="22">
        <f>VLOOKUP(R335,Referencias!$D$1:$E$13,2,0)</f>
        <v>5</v>
      </c>
      <c r="R335" s="7" t="str">
        <f t="shared" si="134"/>
        <v>MAI</v>
      </c>
      <c r="S335" s="7">
        <f t="shared" si="125"/>
        <v>0</v>
      </c>
      <c r="T335" s="11">
        <f t="shared" si="135"/>
        <v>20</v>
      </c>
      <c r="U335" s="11">
        <f t="shared" si="126"/>
        <v>0</v>
      </c>
      <c r="V335" s="11" t="e">
        <f>VLOOKUP(C335,Referencias!$A$2:$B$33,2,1)</f>
        <v>#N/A</v>
      </c>
      <c r="W335" s="23" t="str">
        <f t="shared" si="138"/>
        <v/>
      </c>
      <c r="X335" s="11">
        <f t="shared" si="127"/>
        <v>0</v>
      </c>
      <c r="Y335" s="11">
        <f t="shared" si="139"/>
        <v>0</v>
      </c>
      <c r="Z335" s="24">
        <f t="shared" si="136"/>
        <v>0</v>
      </c>
      <c r="AA335" s="25">
        <f t="shared" si="137"/>
        <v>0</v>
      </c>
      <c r="AB335" s="24">
        <f t="shared" si="128"/>
        <v>0</v>
      </c>
      <c r="AC335" s="24">
        <f t="shared" si="129"/>
        <v>0</v>
      </c>
      <c r="AD335" s="24">
        <f t="shared" si="130"/>
        <v>0</v>
      </c>
      <c r="AE335" s="24">
        <f t="shared" si="131"/>
        <v>0</v>
      </c>
      <c r="AF335" s="119" t="str">
        <f>VLOOKUP(P335*1,Referencias!$G:$H,2,0)</f>
        <v>dom</v>
      </c>
      <c r="BA335" s="10"/>
      <c r="BF335"/>
      <c r="BG335"/>
      <c r="BS335" s="10"/>
    </row>
    <row r="336" spans="1:71" ht="14.4" x14ac:dyDescent="0.3">
      <c r="A336" s="76"/>
      <c r="B336" s="76"/>
      <c r="C336" s="76"/>
      <c r="D336" s="76"/>
      <c r="E336" s="76"/>
      <c r="F336" s="76"/>
      <c r="G336" s="76"/>
      <c r="H336" s="76"/>
      <c r="I336" s="76"/>
      <c r="N336" s="7" t="str">
        <f t="shared" si="132"/>
        <v>#LIF4LYCEE </v>
      </c>
      <c r="O336" s="7">
        <f t="shared" si="124"/>
        <v>0</v>
      </c>
      <c r="P336" s="21">
        <f t="shared" si="133"/>
        <v>43240</v>
      </c>
      <c r="Q336" s="22">
        <f>VLOOKUP(R336,Referencias!$D$1:$E$13,2,0)</f>
        <v>5</v>
      </c>
      <c r="R336" s="7" t="str">
        <f t="shared" si="134"/>
        <v>MAI</v>
      </c>
      <c r="S336" s="7">
        <f t="shared" si="125"/>
        <v>0</v>
      </c>
      <c r="T336" s="11">
        <f t="shared" si="135"/>
        <v>20</v>
      </c>
      <c r="U336" s="11">
        <f t="shared" si="126"/>
        <v>0</v>
      </c>
      <c r="V336" s="11" t="e">
        <f>VLOOKUP(C336,Referencias!$A$2:$B$33,2,1)</f>
        <v>#N/A</v>
      </c>
      <c r="W336" s="23" t="str">
        <f t="shared" si="138"/>
        <v/>
      </c>
      <c r="X336" s="11">
        <f t="shared" si="127"/>
        <v>0</v>
      </c>
      <c r="Y336" s="11">
        <f t="shared" si="139"/>
        <v>0</v>
      </c>
      <c r="Z336" s="24">
        <f t="shared" si="136"/>
        <v>0</v>
      </c>
      <c r="AA336" s="25">
        <f t="shared" si="137"/>
        <v>0</v>
      </c>
      <c r="AB336" s="24">
        <f t="shared" si="128"/>
        <v>0</v>
      </c>
      <c r="AC336" s="24">
        <f t="shared" si="129"/>
        <v>0</v>
      </c>
      <c r="AD336" s="24">
        <f t="shared" si="130"/>
        <v>0</v>
      </c>
      <c r="AE336" s="24">
        <f t="shared" si="131"/>
        <v>0</v>
      </c>
      <c r="AF336" s="119" t="str">
        <f>VLOOKUP(P336*1,Referencias!$G:$H,2,0)</f>
        <v>dom</v>
      </c>
      <c r="BA336" s="10"/>
      <c r="BF336"/>
      <c r="BG336"/>
      <c r="BS336" s="10"/>
    </row>
    <row r="337" spans="1:71" ht="14.4" x14ac:dyDescent="0.3">
      <c r="A337" s="77"/>
      <c r="B337" s="78" t="s">
        <v>155</v>
      </c>
      <c r="C337" s="79">
        <v>0.90277777777777779</v>
      </c>
      <c r="D337" s="80">
        <v>12.14</v>
      </c>
      <c r="E337" s="80" t="s">
        <v>62</v>
      </c>
      <c r="F337" s="81">
        <v>1.74</v>
      </c>
      <c r="G337" s="81">
        <v>7.54</v>
      </c>
      <c r="H337" s="82">
        <v>176.19</v>
      </c>
      <c r="I337" s="80"/>
      <c r="N337" s="7" t="str">
        <f t="shared" si="132"/>
        <v>#LIUSYWLD9 </v>
      </c>
      <c r="O337" s="7" t="str">
        <f t="shared" si="124"/>
        <v>#LIUSYWLD9 </v>
      </c>
      <c r="P337" s="21">
        <f t="shared" si="133"/>
        <v>43240</v>
      </c>
      <c r="Q337" s="22">
        <f>VLOOKUP(R337,Referencias!$D$1:$E$13,2,0)</f>
        <v>5</v>
      </c>
      <c r="R337" s="7" t="str">
        <f t="shared" si="134"/>
        <v>MAI</v>
      </c>
      <c r="S337" s="7">
        <f t="shared" si="125"/>
        <v>0</v>
      </c>
      <c r="T337" s="11">
        <f t="shared" si="135"/>
        <v>20</v>
      </c>
      <c r="U337" s="11">
        <f t="shared" si="126"/>
        <v>0</v>
      </c>
      <c r="V337" s="11" t="str">
        <f>VLOOKUP(C337,Referencias!$A$2:$B$33,2,1)</f>
        <v>21 - 22</v>
      </c>
      <c r="W337" s="23">
        <f t="shared" si="138"/>
        <v>2.7083333333333348E-2</v>
      </c>
      <c r="X337" s="11">
        <f t="shared" si="127"/>
        <v>12.14</v>
      </c>
      <c r="Y337" s="11">
        <f t="shared" si="139"/>
        <v>21.438430281509682</v>
      </c>
      <c r="Z337" s="24">
        <f t="shared" si="136"/>
        <v>7.54</v>
      </c>
      <c r="AA337" s="25">
        <f t="shared" si="137"/>
        <v>11.599999999999994</v>
      </c>
      <c r="AB337" s="24">
        <f t="shared" si="128"/>
        <v>1</v>
      </c>
      <c r="AC337" s="24">
        <f t="shared" si="129"/>
        <v>4.9398175564915388</v>
      </c>
      <c r="AD337" s="24">
        <f t="shared" si="130"/>
        <v>5.984962808097924</v>
      </c>
      <c r="AE337" s="24">
        <f t="shared" si="131"/>
        <v>7.0960940358395401</v>
      </c>
      <c r="AF337" s="119" t="str">
        <f>VLOOKUP(P337*1,Referencias!$G:$H,2,0)</f>
        <v>dom</v>
      </c>
      <c r="BA337" s="10"/>
      <c r="BF337"/>
      <c r="BG337"/>
      <c r="BS337" s="10"/>
    </row>
    <row r="338" spans="1:71" ht="14.4" x14ac:dyDescent="0.3">
      <c r="A338" s="77"/>
      <c r="B338" s="78"/>
      <c r="C338" s="79">
        <v>0.92986111111111114</v>
      </c>
      <c r="D338" s="80"/>
      <c r="E338" s="80"/>
      <c r="F338" s="80" t="s">
        <v>70</v>
      </c>
      <c r="G338" s="81"/>
      <c r="H338" s="82"/>
      <c r="I338" s="80"/>
      <c r="N338" s="7" t="str">
        <f t="shared" si="132"/>
        <v>#LIUSYWLD9 </v>
      </c>
      <c r="O338" s="7">
        <f t="shared" si="124"/>
        <v>0</v>
      </c>
      <c r="P338" s="21">
        <f t="shared" si="133"/>
        <v>43240</v>
      </c>
      <c r="Q338" s="22">
        <f>VLOOKUP(R338,Referencias!$D$1:$E$13,2,0)</f>
        <v>5</v>
      </c>
      <c r="R338" s="7" t="str">
        <f t="shared" si="134"/>
        <v>MAI</v>
      </c>
      <c r="S338" s="7">
        <f t="shared" si="125"/>
        <v>0</v>
      </c>
      <c r="T338" s="11">
        <f t="shared" si="135"/>
        <v>20</v>
      </c>
      <c r="U338" s="11">
        <f t="shared" si="126"/>
        <v>0</v>
      </c>
      <c r="V338" s="11" t="str">
        <f>VLOOKUP(C338,Referencias!$A$2:$B$33,2,1)</f>
        <v>22 - 23</v>
      </c>
      <c r="W338" s="23" t="str">
        <f t="shared" si="138"/>
        <v/>
      </c>
      <c r="X338" s="11">
        <f t="shared" si="127"/>
        <v>0</v>
      </c>
      <c r="Y338" s="11">
        <f t="shared" si="139"/>
        <v>0</v>
      </c>
      <c r="Z338" s="24">
        <f t="shared" si="136"/>
        <v>0</v>
      </c>
      <c r="AA338" s="25">
        <f t="shared" si="137"/>
        <v>0</v>
      </c>
      <c r="AB338" s="24">
        <f t="shared" si="128"/>
        <v>0</v>
      </c>
      <c r="AC338" s="24">
        <f t="shared" si="129"/>
        <v>0</v>
      </c>
      <c r="AD338" s="24">
        <f t="shared" si="130"/>
        <v>0</v>
      </c>
      <c r="AE338" s="24">
        <f t="shared" si="131"/>
        <v>0</v>
      </c>
      <c r="AF338" s="119" t="str">
        <f>VLOOKUP(P338*1,Referencias!$G:$H,2,0)</f>
        <v>dom</v>
      </c>
      <c r="BA338" s="10"/>
      <c r="BF338"/>
      <c r="BG338"/>
      <c r="BS338" s="10"/>
    </row>
    <row r="339" spans="1:71" ht="15" thickBot="1" x14ac:dyDescent="0.35">
      <c r="A339" s="84"/>
      <c r="B339" s="84"/>
      <c r="C339" s="84"/>
      <c r="D339" s="84"/>
      <c r="E339" s="84"/>
      <c r="F339" s="84"/>
      <c r="G339" s="84"/>
      <c r="H339" s="84"/>
      <c r="I339" s="84"/>
      <c r="N339" s="7" t="str">
        <f t="shared" si="132"/>
        <v>#LIUSYWLD9 </v>
      </c>
      <c r="O339" s="7">
        <f t="shared" si="124"/>
        <v>0</v>
      </c>
      <c r="P339" s="21">
        <f t="shared" si="133"/>
        <v>43240</v>
      </c>
      <c r="Q339" s="22">
        <f>VLOOKUP(R339,Referencias!$D$1:$E$13,2,0)</f>
        <v>5</v>
      </c>
      <c r="R339" s="7" t="str">
        <f t="shared" si="134"/>
        <v>MAI</v>
      </c>
      <c r="S339" s="7">
        <f t="shared" si="125"/>
        <v>0</v>
      </c>
      <c r="T339" s="11">
        <f t="shared" si="135"/>
        <v>20</v>
      </c>
      <c r="U339" s="11">
        <f t="shared" si="126"/>
        <v>0</v>
      </c>
      <c r="V339" s="11" t="e">
        <f>VLOOKUP(C339,Referencias!$A$2:$B$33,2,1)</f>
        <v>#N/A</v>
      </c>
      <c r="W339" s="23" t="str">
        <f t="shared" si="138"/>
        <v/>
      </c>
      <c r="X339" s="11">
        <f t="shared" si="127"/>
        <v>0</v>
      </c>
      <c r="Y339" s="11">
        <f t="shared" si="139"/>
        <v>0</v>
      </c>
      <c r="Z339" s="24">
        <f t="shared" si="136"/>
        <v>0</v>
      </c>
      <c r="AA339" s="25">
        <f t="shared" si="137"/>
        <v>0</v>
      </c>
      <c r="AB339" s="24">
        <f t="shared" si="128"/>
        <v>0</v>
      </c>
      <c r="AC339" s="24">
        <f t="shared" si="129"/>
        <v>0</v>
      </c>
      <c r="AD339" s="24">
        <f t="shared" si="130"/>
        <v>0</v>
      </c>
      <c r="AE339" s="24">
        <f t="shared" si="131"/>
        <v>0</v>
      </c>
      <c r="AF339" s="119" t="str">
        <f>VLOOKUP(P339*1,Referencias!$G:$H,2,0)</f>
        <v>dom</v>
      </c>
      <c r="BA339" s="10"/>
      <c r="BF339"/>
      <c r="BG339"/>
      <c r="BS339" s="10"/>
    </row>
    <row r="340" spans="1:71" ht="14.4" x14ac:dyDescent="0.3">
      <c r="A340" s="77">
        <v>22</v>
      </c>
      <c r="B340" s="85" t="s">
        <v>156</v>
      </c>
      <c r="C340" s="79">
        <v>0.50208333333333333</v>
      </c>
      <c r="D340" s="86">
        <v>5.67</v>
      </c>
      <c r="E340" s="86" t="s">
        <v>72</v>
      </c>
      <c r="F340" s="86"/>
      <c r="G340" s="87">
        <v>3.72</v>
      </c>
      <c r="H340" s="88">
        <v>179.91</v>
      </c>
      <c r="I340" s="86"/>
      <c r="N340" s="7" t="str">
        <f t="shared" si="132"/>
        <v>#LITCE4LVL </v>
      </c>
      <c r="O340" s="7" t="str">
        <f t="shared" si="124"/>
        <v>#LITCE4LVL </v>
      </c>
      <c r="P340" s="21">
        <f t="shared" si="133"/>
        <v>43242</v>
      </c>
      <c r="Q340" s="22">
        <f>VLOOKUP(R340,Referencias!$D$1:$E$13,2,0)</f>
        <v>5</v>
      </c>
      <c r="R340" s="7" t="str">
        <f t="shared" si="134"/>
        <v>MAI</v>
      </c>
      <c r="S340" s="7" t="str">
        <f t="shared" si="125"/>
        <v>MAI</v>
      </c>
      <c r="T340" s="11">
        <f t="shared" si="135"/>
        <v>22</v>
      </c>
      <c r="U340" s="11">
        <f t="shared" si="126"/>
        <v>22</v>
      </c>
      <c r="V340" s="11" t="str">
        <f>VLOOKUP(C340,Referencias!$A$2:$B$33,2,1)</f>
        <v>12 - 13</v>
      </c>
      <c r="W340" s="23">
        <f t="shared" si="138"/>
        <v>4.4444444444444509E-2</v>
      </c>
      <c r="X340" s="11">
        <f t="shared" si="127"/>
        <v>5.67</v>
      </c>
      <c r="Y340" s="11">
        <f t="shared" si="139"/>
        <v>10.012841820112017</v>
      </c>
      <c r="Z340" s="24">
        <f t="shared" si="136"/>
        <v>3.72</v>
      </c>
      <c r="AA340" s="25">
        <f t="shared" si="137"/>
        <v>3.4874999999999949</v>
      </c>
      <c r="AB340" s="24">
        <f t="shared" si="128"/>
        <v>1</v>
      </c>
      <c r="AC340" s="24">
        <f t="shared" si="129"/>
        <v>2.4371513673937035</v>
      </c>
      <c r="AD340" s="24">
        <f t="shared" si="130"/>
        <v>2.9527933217671456</v>
      </c>
      <c r="AE340" s="24">
        <f t="shared" si="131"/>
        <v>3.5009906914221607</v>
      </c>
      <c r="AF340" s="119" t="str">
        <f>VLOOKUP(P340*1,Referencias!$G:$H,2,0)</f>
        <v>ter</v>
      </c>
      <c r="BA340" s="10"/>
      <c r="BF340"/>
      <c r="BG340"/>
      <c r="BS340" s="10"/>
    </row>
    <row r="341" spans="1:71" ht="14.4" x14ac:dyDescent="0.3">
      <c r="A341" s="77" t="s">
        <v>19</v>
      </c>
      <c r="B341" s="78"/>
      <c r="C341" s="79">
        <v>0.54652777777777783</v>
      </c>
      <c r="D341" s="80"/>
      <c r="E341" s="80"/>
      <c r="F341" s="80"/>
      <c r="G341" s="81"/>
      <c r="H341" s="82"/>
      <c r="I341" s="80"/>
      <c r="N341" s="7" t="str">
        <f t="shared" si="132"/>
        <v>#LITCE4LVL </v>
      </c>
      <c r="O341" s="7">
        <f t="shared" si="124"/>
        <v>0</v>
      </c>
      <c r="P341" s="21">
        <f t="shared" si="133"/>
        <v>43242</v>
      </c>
      <c r="Q341" s="22">
        <f>VLOOKUP(R341,Referencias!$D$1:$E$13,2,0)</f>
        <v>5</v>
      </c>
      <c r="R341" s="7" t="str">
        <f t="shared" si="134"/>
        <v>MAI</v>
      </c>
      <c r="S341" s="7">
        <f t="shared" si="125"/>
        <v>0</v>
      </c>
      <c r="T341" s="11">
        <f t="shared" si="135"/>
        <v>22</v>
      </c>
      <c r="U341" s="11">
        <f t="shared" si="126"/>
        <v>0</v>
      </c>
      <c r="V341" s="11" t="str">
        <f>VLOOKUP(C341,Referencias!$A$2:$B$33,2,1)</f>
        <v>13 - 14</v>
      </c>
      <c r="W341" s="23" t="str">
        <f t="shared" si="138"/>
        <v/>
      </c>
      <c r="X341" s="11">
        <f t="shared" si="127"/>
        <v>0</v>
      </c>
      <c r="Y341" s="11">
        <f t="shared" si="139"/>
        <v>0</v>
      </c>
      <c r="Z341" s="24">
        <f t="shared" si="136"/>
        <v>0</v>
      </c>
      <c r="AA341" s="25">
        <f t="shared" si="137"/>
        <v>0</v>
      </c>
      <c r="AB341" s="24">
        <f t="shared" si="128"/>
        <v>0</v>
      </c>
      <c r="AC341" s="24">
        <f t="shared" si="129"/>
        <v>0</v>
      </c>
      <c r="AD341" s="24">
        <f t="shared" si="130"/>
        <v>0</v>
      </c>
      <c r="AE341" s="24">
        <f t="shared" si="131"/>
        <v>0</v>
      </c>
      <c r="AF341" s="119" t="str">
        <f>VLOOKUP(P341*1,Referencias!$G:$H,2,0)</f>
        <v>ter</v>
      </c>
      <c r="BA341" s="10"/>
      <c r="BF341"/>
      <c r="BG341"/>
      <c r="BS341" s="10"/>
    </row>
    <row r="342" spans="1:71" ht="14.4" x14ac:dyDescent="0.3">
      <c r="A342" s="83"/>
      <c r="B342" s="83"/>
      <c r="C342" s="83"/>
      <c r="D342" s="83"/>
      <c r="E342" s="83"/>
      <c r="F342" s="83"/>
      <c r="G342" s="83"/>
      <c r="H342" s="83"/>
      <c r="I342" s="83"/>
      <c r="N342" s="7" t="str">
        <f t="shared" si="132"/>
        <v>#LITCE4LVL </v>
      </c>
      <c r="O342" s="7">
        <f t="shared" si="124"/>
        <v>0</v>
      </c>
      <c r="P342" s="21">
        <f t="shared" si="133"/>
        <v>43242</v>
      </c>
      <c r="Q342" s="22">
        <f>VLOOKUP(R342,Referencias!$D$1:$E$13,2,0)</f>
        <v>5</v>
      </c>
      <c r="R342" s="7" t="str">
        <f t="shared" si="134"/>
        <v>MAI</v>
      </c>
      <c r="S342" s="7">
        <f t="shared" si="125"/>
        <v>0</v>
      </c>
      <c r="T342" s="11">
        <f t="shared" si="135"/>
        <v>22</v>
      </c>
      <c r="U342" s="11">
        <f t="shared" si="126"/>
        <v>0</v>
      </c>
      <c r="V342" s="11" t="e">
        <f>VLOOKUP(C342,Referencias!$A$2:$B$33,2,1)</f>
        <v>#N/A</v>
      </c>
      <c r="W342" s="23" t="str">
        <f t="shared" si="138"/>
        <v/>
      </c>
      <c r="X342" s="11">
        <f t="shared" si="127"/>
        <v>0</v>
      </c>
      <c r="Y342" s="11">
        <f t="shared" si="139"/>
        <v>0</v>
      </c>
      <c r="Z342" s="24">
        <f t="shared" si="136"/>
        <v>0</v>
      </c>
      <c r="AA342" s="25">
        <f t="shared" si="137"/>
        <v>0</v>
      </c>
      <c r="AB342" s="24">
        <f t="shared" si="128"/>
        <v>0</v>
      </c>
      <c r="AC342" s="24">
        <f t="shared" si="129"/>
        <v>0</v>
      </c>
      <c r="AD342" s="24">
        <f t="shared" si="130"/>
        <v>0</v>
      </c>
      <c r="AE342" s="24">
        <f t="shared" si="131"/>
        <v>0</v>
      </c>
      <c r="AF342" s="119" t="str">
        <f>VLOOKUP(P342*1,Referencias!$G:$H,2,0)</f>
        <v>ter</v>
      </c>
      <c r="BA342" s="10"/>
      <c r="BF342"/>
      <c r="BG342"/>
      <c r="BS342" s="10"/>
    </row>
    <row r="343" spans="1:71" ht="14.4" x14ac:dyDescent="0.3">
      <c r="A343" s="76"/>
      <c r="B343" s="76"/>
      <c r="C343" s="76"/>
      <c r="D343" s="76"/>
      <c r="E343" s="76"/>
      <c r="F343" s="76"/>
      <c r="G343" s="76"/>
      <c r="H343" s="76"/>
      <c r="I343" s="76"/>
      <c r="N343" s="7" t="str">
        <f t="shared" si="132"/>
        <v>#LITCE4LVL </v>
      </c>
      <c r="O343" s="7">
        <f t="shared" si="124"/>
        <v>0</v>
      </c>
      <c r="P343" s="21">
        <f t="shared" si="133"/>
        <v>43242</v>
      </c>
      <c r="Q343" s="22">
        <f>VLOOKUP(R343,Referencias!$D$1:$E$13,2,0)</f>
        <v>5</v>
      </c>
      <c r="R343" s="7" t="str">
        <f t="shared" si="134"/>
        <v>MAI</v>
      </c>
      <c r="S343" s="7">
        <f t="shared" si="125"/>
        <v>0</v>
      </c>
      <c r="T343" s="11">
        <f t="shared" si="135"/>
        <v>22</v>
      </c>
      <c r="U343" s="11">
        <f t="shared" si="126"/>
        <v>0</v>
      </c>
      <c r="V343" s="11" t="e">
        <f>VLOOKUP(C343,Referencias!$A$2:$B$33,2,1)</f>
        <v>#N/A</v>
      </c>
      <c r="W343" s="23" t="str">
        <f t="shared" si="138"/>
        <v/>
      </c>
      <c r="X343" s="11">
        <f t="shared" si="127"/>
        <v>0</v>
      </c>
      <c r="Y343" s="11">
        <f t="shared" si="139"/>
        <v>0</v>
      </c>
      <c r="Z343" s="24">
        <f t="shared" si="136"/>
        <v>0</v>
      </c>
      <c r="AA343" s="25">
        <f t="shared" si="137"/>
        <v>0</v>
      </c>
      <c r="AB343" s="24">
        <f t="shared" si="128"/>
        <v>0</v>
      </c>
      <c r="AC343" s="24">
        <f t="shared" si="129"/>
        <v>0</v>
      </c>
      <c r="AD343" s="24">
        <f t="shared" si="130"/>
        <v>0</v>
      </c>
      <c r="AE343" s="24">
        <f t="shared" si="131"/>
        <v>0</v>
      </c>
      <c r="AF343" s="119" t="str">
        <f>VLOOKUP(P343*1,Referencias!$G:$H,2,0)</f>
        <v>ter</v>
      </c>
      <c r="BA343" s="10"/>
      <c r="BF343"/>
      <c r="BG343"/>
      <c r="BS343" s="10"/>
    </row>
    <row r="344" spans="1:71" ht="14.4" x14ac:dyDescent="0.3">
      <c r="A344" s="77"/>
      <c r="B344" s="78" t="s">
        <v>157</v>
      </c>
      <c r="C344" s="79">
        <v>0.54652777777777783</v>
      </c>
      <c r="D344" s="80">
        <v>11.45</v>
      </c>
      <c r="E344" s="80" t="s">
        <v>44</v>
      </c>
      <c r="F344" s="80"/>
      <c r="G344" s="81">
        <v>5.51</v>
      </c>
      <c r="H344" s="82">
        <v>185.42</v>
      </c>
      <c r="I344" s="80"/>
      <c r="N344" s="7" t="str">
        <f t="shared" si="132"/>
        <v>#LIQAD9SRP </v>
      </c>
      <c r="O344" s="7" t="str">
        <f t="shared" si="124"/>
        <v>#LIQAD9SRP </v>
      </c>
      <c r="P344" s="21">
        <f t="shared" si="133"/>
        <v>43242</v>
      </c>
      <c r="Q344" s="22">
        <f>VLOOKUP(R344,Referencias!$D$1:$E$13,2,0)</f>
        <v>5</v>
      </c>
      <c r="R344" s="7" t="str">
        <f t="shared" si="134"/>
        <v>MAI</v>
      </c>
      <c r="S344" s="7">
        <f t="shared" si="125"/>
        <v>0</v>
      </c>
      <c r="T344" s="11">
        <f t="shared" si="135"/>
        <v>22</v>
      </c>
      <c r="U344" s="11">
        <f t="shared" si="126"/>
        <v>0</v>
      </c>
      <c r="V344" s="11" t="str">
        <f>VLOOKUP(C344,Referencias!$A$2:$B$33,2,1)</f>
        <v>13 - 14</v>
      </c>
      <c r="W344" s="23">
        <f t="shared" si="138"/>
        <v>2.9861111111111116E-2</v>
      </c>
      <c r="X344" s="11">
        <f t="shared" si="127"/>
        <v>11.45</v>
      </c>
      <c r="Y344" s="11">
        <f t="shared" si="139"/>
        <v>20.219936303400811</v>
      </c>
      <c r="Z344" s="24">
        <f t="shared" si="136"/>
        <v>5.51</v>
      </c>
      <c r="AA344" s="25">
        <f t="shared" si="137"/>
        <v>7.6883720930232542</v>
      </c>
      <c r="AB344" s="24">
        <f t="shared" si="128"/>
        <v>1</v>
      </c>
      <c r="AC344" s="24">
        <f t="shared" si="129"/>
        <v>3.6098666758976625</v>
      </c>
      <c r="AD344" s="24">
        <f t="shared" si="130"/>
        <v>4.3736266674561755</v>
      </c>
      <c r="AE344" s="24">
        <f t="shared" si="131"/>
        <v>5.1856071800365875</v>
      </c>
      <c r="AF344" s="119" t="str">
        <f>VLOOKUP(P344*1,Referencias!$G:$H,2,0)</f>
        <v>ter</v>
      </c>
      <c r="BA344" s="10"/>
      <c r="BF344"/>
      <c r="BG344"/>
      <c r="BS344" s="10"/>
    </row>
    <row r="345" spans="1:71" ht="14.4" x14ac:dyDescent="0.3">
      <c r="A345" s="77"/>
      <c r="B345" s="78"/>
      <c r="C345" s="79">
        <v>0.57638888888888895</v>
      </c>
      <c r="D345" s="80"/>
      <c r="E345" s="80"/>
      <c r="F345" s="80"/>
      <c r="G345" s="81"/>
      <c r="H345" s="82"/>
      <c r="I345" s="80"/>
      <c r="N345" s="7" t="str">
        <f t="shared" si="132"/>
        <v>#LIQAD9SRP </v>
      </c>
      <c r="O345" s="7">
        <f t="shared" si="124"/>
        <v>0</v>
      </c>
      <c r="P345" s="21">
        <f t="shared" si="133"/>
        <v>43242</v>
      </c>
      <c r="Q345" s="22">
        <f>VLOOKUP(R345,Referencias!$D$1:$E$13,2,0)</f>
        <v>5</v>
      </c>
      <c r="R345" s="7" t="str">
        <f t="shared" si="134"/>
        <v>MAI</v>
      </c>
      <c r="S345" s="7">
        <f t="shared" si="125"/>
        <v>0</v>
      </c>
      <c r="T345" s="11">
        <f t="shared" si="135"/>
        <v>22</v>
      </c>
      <c r="U345" s="11">
        <f t="shared" si="126"/>
        <v>0</v>
      </c>
      <c r="V345" s="11" t="str">
        <f>VLOOKUP(C345,Referencias!$A$2:$B$33,2,1)</f>
        <v>13 - 14</v>
      </c>
      <c r="W345" s="23" t="str">
        <f t="shared" si="138"/>
        <v/>
      </c>
      <c r="X345" s="11">
        <f t="shared" si="127"/>
        <v>0</v>
      </c>
      <c r="Y345" s="11">
        <f t="shared" si="139"/>
        <v>0</v>
      </c>
      <c r="Z345" s="24">
        <f t="shared" si="136"/>
        <v>0</v>
      </c>
      <c r="AA345" s="25">
        <f t="shared" si="137"/>
        <v>0</v>
      </c>
      <c r="AB345" s="24">
        <f t="shared" si="128"/>
        <v>0</v>
      </c>
      <c r="AC345" s="24">
        <f t="shared" si="129"/>
        <v>0</v>
      </c>
      <c r="AD345" s="24">
        <f t="shared" si="130"/>
        <v>0</v>
      </c>
      <c r="AE345" s="24">
        <f t="shared" si="131"/>
        <v>0</v>
      </c>
      <c r="AF345" s="119" t="str">
        <f>VLOOKUP(P345*1,Referencias!$G:$H,2,0)</f>
        <v>ter</v>
      </c>
      <c r="BA345" s="10"/>
      <c r="BF345"/>
      <c r="BG345"/>
      <c r="BS345" s="10"/>
    </row>
    <row r="346" spans="1:71" ht="14.4" x14ac:dyDescent="0.3">
      <c r="A346" s="83"/>
      <c r="B346" s="83"/>
      <c r="C346" s="83"/>
      <c r="D346" s="83"/>
      <c r="E346" s="83"/>
      <c r="F346" s="83"/>
      <c r="G346" s="83"/>
      <c r="H346" s="83"/>
      <c r="I346" s="83"/>
      <c r="N346" s="7" t="str">
        <f t="shared" si="132"/>
        <v>#LIQAD9SRP </v>
      </c>
      <c r="O346" s="7">
        <f t="shared" si="124"/>
        <v>0</v>
      </c>
      <c r="P346" s="21">
        <f t="shared" si="133"/>
        <v>43242</v>
      </c>
      <c r="Q346" s="22">
        <f>VLOOKUP(R346,Referencias!$D$1:$E$13,2,0)</f>
        <v>5</v>
      </c>
      <c r="R346" s="7" t="str">
        <f t="shared" si="134"/>
        <v>MAI</v>
      </c>
      <c r="S346" s="7">
        <f t="shared" si="125"/>
        <v>0</v>
      </c>
      <c r="T346" s="11">
        <f t="shared" si="135"/>
        <v>22</v>
      </c>
      <c r="U346" s="11">
        <f t="shared" si="126"/>
        <v>0</v>
      </c>
      <c r="V346" s="11" t="e">
        <f>VLOOKUP(C346,Referencias!$A$2:$B$33,2,1)</f>
        <v>#N/A</v>
      </c>
      <c r="W346" s="23" t="str">
        <f t="shared" si="138"/>
        <v/>
      </c>
      <c r="X346" s="11">
        <f t="shared" si="127"/>
        <v>0</v>
      </c>
      <c r="Y346" s="11">
        <f t="shared" si="139"/>
        <v>0</v>
      </c>
      <c r="Z346" s="24">
        <f t="shared" si="136"/>
        <v>0</v>
      </c>
      <c r="AA346" s="25">
        <f t="shared" si="137"/>
        <v>0</v>
      </c>
      <c r="AB346" s="24">
        <f t="shared" si="128"/>
        <v>0</v>
      </c>
      <c r="AC346" s="24">
        <f t="shared" si="129"/>
        <v>0</v>
      </c>
      <c r="AD346" s="24">
        <f t="shared" si="130"/>
        <v>0</v>
      </c>
      <c r="AE346" s="24">
        <f t="shared" si="131"/>
        <v>0</v>
      </c>
      <c r="AF346" s="119" t="str">
        <f>VLOOKUP(P346*1,Referencias!$G:$H,2,0)</f>
        <v>ter</v>
      </c>
      <c r="BA346" s="10"/>
      <c r="BF346"/>
      <c r="BG346"/>
      <c r="BS346" s="10"/>
    </row>
    <row r="347" spans="1:71" ht="14.4" x14ac:dyDescent="0.3">
      <c r="A347" s="76"/>
      <c r="B347" s="76"/>
      <c r="C347" s="76"/>
      <c r="D347" s="76"/>
      <c r="E347" s="76"/>
      <c r="F347" s="76"/>
      <c r="G347" s="76"/>
      <c r="H347" s="76"/>
      <c r="I347" s="76"/>
      <c r="N347" s="7" t="str">
        <f t="shared" si="132"/>
        <v>#LIQAD9SRP </v>
      </c>
      <c r="O347" s="7">
        <f t="shared" si="124"/>
        <v>0</v>
      </c>
      <c r="P347" s="21">
        <f t="shared" si="133"/>
        <v>43242</v>
      </c>
      <c r="Q347" s="22">
        <f>VLOOKUP(R347,Referencias!$D$1:$E$13,2,0)</f>
        <v>5</v>
      </c>
      <c r="R347" s="7" t="str">
        <f t="shared" si="134"/>
        <v>MAI</v>
      </c>
      <c r="S347" s="7">
        <f t="shared" si="125"/>
        <v>0</v>
      </c>
      <c r="T347" s="11">
        <f t="shared" si="135"/>
        <v>22</v>
      </c>
      <c r="U347" s="11">
        <f t="shared" si="126"/>
        <v>0</v>
      </c>
      <c r="V347" s="11" t="e">
        <f>VLOOKUP(C347,Referencias!$A$2:$B$33,2,1)</f>
        <v>#N/A</v>
      </c>
      <c r="W347" s="23" t="str">
        <f t="shared" si="138"/>
        <v/>
      </c>
      <c r="X347" s="11">
        <f t="shared" si="127"/>
        <v>0</v>
      </c>
      <c r="Y347" s="11">
        <f t="shared" si="139"/>
        <v>0</v>
      </c>
      <c r="Z347" s="24">
        <f t="shared" si="136"/>
        <v>0</v>
      </c>
      <c r="AA347" s="25">
        <f t="shared" si="137"/>
        <v>0</v>
      </c>
      <c r="AB347" s="24">
        <f t="shared" si="128"/>
        <v>0</v>
      </c>
      <c r="AC347" s="24">
        <f t="shared" si="129"/>
        <v>0</v>
      </c>
      <c r="AD347" s="24">
        <f t="shared" si="130"/>
        <v>0</v>
      </c>
      <c r="AE347" s="24">
        <f t="shared" si="131"/>
        <v>0</v>
      </c>
      <c r="AF347" s="119" t="str">
        <f>VLOOKUP(P347*1,Referencias!$G:$H,2,0)</f>
        <v>ter</v>
      </c>
      <c r="BA347" s="10"/>
      <c r="BF347"/>
      <c r="BG347"/>
      <c r="BS347" s="10"/>
    </row>
    <row r="348" spans="1:71" ht="14.4" x14ac:dyDescent="0.3">
      <c r="A348" s="77"/>
      <c r="B348" s="78" t="s">
        <v>158</v>
      </c>
      <c r="C348" s="79">
        <v>0.79583333333333339</v>
      </c>
      <c r="D348" s="80">
        <v>6.05</v>
      </c>
      <c r="E348" s="80" t="s">
        <v>72</v>
      </c>
      <c r="F348" s="80"/>
      <c r="G348" s="81">
        <v>3.84</v>
      </c>
      <c r="H348" s="82">
        <v>189.26</v>
      </c>
      <c r="I348" s="80"/>
      <c r="N348" s="7" t="str">
        <f t="shared" si="132"/>
        <v>#LIJUC1KL1 </v>
      </c>
      <c r="O348" s="7" t="str">
        <f t="shared" si="124"/>
        <v>#LIJUC1KL1 </v>
      </c>
      <c r="P348" s="21">
        <f t="shared" si="133"/>
        <v>43242</v>
      </c>
      <c r="Q348" s="22">
        <f>VLOOKUP(R348,Referencias!$D$1:$E$13,2,0)</f>
        <v>5</v>
      </c>
      <c r="R348" s="7" t="str">
        <f t="shared" si="134"/>
        <v>MAI</v>
      </c>
      <c r="S348" s="7">
        <f t="shared" si="125"/>
        <v>0</v>
      </c>
      <c r="T348" s="11">
        <f t="shared" si="135"/>
        <v>22</v>
      </c>
      <c r="U348" s="11">
        <f t="shared" si="126"/>
        <v>0</v>
      </c>
      <c r="V348" s="11" t="str">
        <f>VLOOKUP(C348,Referencias!$A$2:$B$33,2,1)</f>
        <v>19 - 20</v>
      </c>
      <c r="W348" s="23">
        <f t="shared" si="138"/>
        <v>2.7777777777777679E-2</v>
      </c>
      <c r="X348" s="11">
        <f t="shared" si="127"/>
        <v>6.05</v>
      </c>
      <c r="Y348" s="11">
        <f t="shared" si="139"/>
        <v>10.683896474722699</v>
      </c>
      <c r="Z348" s="24">
        <f t="shared" si="136"/>
        <v>3.84</v>
      </c>
      <c r="AA348" s="25">
        <f t="shared" si="137"/>
        <v>5.7600000000000202</v>
      </c>
      <c r="AB348" s="24">
        <f t="shared" si="128"/>
        <v>1</v>
      </c>
      <c r="AC348" s="24">
        <f t="shared" si="129"/>
        <v>2.5157691534386615</v>
      </c>
      <c r="AD348" s="24">
        <f t="shared" si="130"/>
        <v>3.0480447192435052</v>
      </c>
      <c r="AE348" s="24">
        <f t="shared" si="131"/>
        <v>3.6139258750164238</v>
      </c>
      <c r="AF348" s="119" t="str">
        <f>VLOOKUP(P348*1,Referencias!$G:$H,2,0)</f>
        <v>ter</v>
      </c>
      <c r="BA348" s="10"/>
      <c r="BF348"/>
      <c r="BG348"/>
      <c r="BS348" s="10"/>
    </row>
    <row r="349" spans="1:71" ht="14.4" x14ac:dyDescent="0.3">
      <c r="A349" s="77"/>
      <c r="B349" s="78"/>
      <c r="C349" s="79">
        <v>0.82361111111111107</v>
      </c>
      <c r="D349" s="80"/>
      <c r="E349" s="80"/>
      <c r="F349" s="80"/>
      <c r="G349" s="81"/>
      <c r="H349" s="82"/>
      <c r="I349" s="80"/>
      <c r="N349" s="7" t="str">
        <f t="shared" si="132"/>
        <v>#LIJUC1KL1 </v>
      </c>
      <c r="O349" s="7">
        <f t="shared" si="124"/>
        <v>0</v>
      </c>
      <c r="P349" s="21">
        <f t="shared" si="133"/>
        <v>43242</v>
      </c>
      <c r="Q349" s="22">
        <f>VLOOKUP(R349,Referencias!$D$1:$E$13,2,0)</f>
        <v>5</v>
      </c>
      <c r="R349" s="7" t="str">
        <f t="shared" si="134"/>
        <v>MAI</v>
      </c>
      <c r="S349" s="7">
        <f t="shared" si="125"/>
        <v>0</v>
      </c>
      <c r="T349" s="11">
        <f t="shared" si="135"/>
        <v>22</v>
      </c>
      <c r="U349" s="11">
        <f t="shared" si="126"/>
        <v>0</v>
      </c>
      <c r="V349" s="11" t="str">
        <f>VLOOKUP(C349,Referencias!$A$2:$B$33,2,1)</f>
        <v>19 - 20</v>
      </c>
      <c r="W349" s="23" t="str">
        <f t="shared" si="138"/>
        <v/>
      </c>
      <c r="X349" s="11">
        <f t="shared" si="127"/>
        <v>0</v>
      </c>
      <c r="Y349" s="11">
        <f t="shared" si="139"/>
        <v>0</v>
      </c>
      <c r="Z349" s="24">
        <f t="shared" si="136"/>
        <v>0</v>
      </c>
      <c r="AA349" s="25">
        <f t="shared" si="137"/>
        <v>0</v>
      </c>
      <c r="AB349" s="24">
        <f t="shared" si="128"/>
        <v>0</v>
      </c>
      <c r="AC349" s="24">
        <f t="shared" si="129"/>
        <v>0</v>
      </c>
      <c r="AD349" s="24">
        <f t="shared" si="130"/>
        <v>0</v>
      </c>
      <c r="AE349" s="24">
        <f t="shared" si="131"/>
        <v>0</v>
      </c>
      <c r="AF349" s="119" t="str">
        <f>VLOOKUP(P349*1,Referencias!$G:$H,2,0)</f>
        <v>ter</v>
      </c>
      <c r="BA349" s="10"/>
      <c r="BF349"/>
      <c r="BG349"/>
      <c r="BS349" s="10"/>
    </row>
    <row r="350" spans="1:71" ht="14.4" x14ac:dyDescent="0.3">
      <c r="A350" s="83"/>
      <c r="B350" s="83"/>
      <c r="C350" s="83"/>
      <c r="D350" s="83"/>
      <c r="E350" s="83"/>
      <c r="F350" s="83"/>
      <c r="G350" s="83"/>
      <c r="H350" s="83"/>
      <c r="I350" s="83"/>
      <c r="N350" s="7" t="str">
        <f t="shared" si="132"/>
        <v>#LIJUC1KL1 </v>
      </c>
      <c r="O350" s="7">
        <f t="shared" si="124"/>
        <v>0</v>
      </c>
      <c r="P350" s="21">
        <f t="shared" si="133"/>
        <v>43242</v>
      </c>
      <c r="Q350" s="22">
        <f>VLOOKUP(R350,Referencias!$D$1:$E$13,2,0)</f>
        <v>5</v>
      </c>
      <c r="R350" s="7" t="str">
        <f t="shared" si="134"/>
        <v>MAI</v>
      </c>
      <c r="S350" s="7">
        <f t="shared" si="125"/>
        <v>0</v>
      </c>
      <c r="T350" s="11">
        <f t="shared" si="135"/>
        <v>22</v>
      </c>
      <c r="U350" s="11">
        <f t="shared" si="126"/>
        <v>0</v>
      </c>
      <c r="V350" s="11" t="e">
        <f>VLOOKUP(C350,Referencias!$A$2:$B$33,2,1)</f>
        <v>#N/A</v>
      </c>
      <c r="W350" s="23" t="str">
        <f t="shared" si="138"/>
        <v/>
      </c>
      <c r="X350" s="11">
        <f t="shared" si="127"/>
        <v>0</v>
      </c>
      <c r="Y350" s="11">
        <f t="shared" si="139"/>
        <v>0</v>
      </c>
      <c r="Z350" s="24">
        <f t="shared" si="136"/>
        <v>0</v>
      </c>
      <c r="AA350" s="25">
        <f t="shared" si="137"/>
        <v>0</v>
      </c>
      <c r="AB350" s="24">
        <f t="shared" si="128"/>
        <v>0</v>
      </c>
      <c r="AC350" s="24">
        <f t="shared" si="129"/>
        <v>0</v>
      </c>
      <c r="AD350" s="24">
        <f t="shared" si="130"/>
        <v>0</v>
      </c>
      <c r="AE350" s="24">
        <f t="shared" si="131"/>
        <v>0</v>
      </c>
      <c r="AF350" s="119" t="str">
        <f>VLOOKUP(P350*1,Referencias!$G:$H,2,0)</f>
        <v>ter</v>
      </c>
      <c r="BA350" s="10"/>
      <c r="BF350"/>
      <c r="BG350"/>
      <c r="BS350" s="10"/>
    </row>
    <row r="351" spans="1:71" ht="14.4" x14ac:dyDescent="0.3">
      <c r="A351" s="76"/>
      <c r="B351" s="76"/>
      <c r="C351" s="76"/>
      <c r="D351" s="76"/>
      <c r="E351" s="76"/>
      <c r="F351" s="76"/>
      <c r="G351" s="76"/>
      <c r="H351" s="76"/>
      <c r="I351" s="76"/>
      <c r="N351" s="7" t="str">
        <f t="shared" si="132"/>
        <v>#LIJUC1KL1 </v>
      </c>
      <c r="O351" s="7">
        <f t="shared" si="124"/>
        <v>0</v>
      </c>
      <c r="P351" s="21">
        <f t="shared" si="133"/>
        <v>43242</v>
      </c>
      <c r="Q351" s="22">
        <f>VLOOKUP(R351,Referencias!$D$1:$E$13,2,0)</f>
        <v>5</v>
      </c>
      <c r="R351" s="7" t="str">
        <f t="shared" si="134"/>
        <v>MAI</v>
      </c>
      <c r="S351" s="7">
        <f t="shared" si="125"/>
        <v>0</v>
      </c>
      <c r="T351" s="11">
        <f t="shared" si="135"/>
        <v>22</v>
      </c>
      <c r="U351" s="11">
        <f t="shared" si="126"/>
        <v>0</v>
      </c>
      <c r="V351" s="11" t="e">
        <f>VLOOKUP(C351,Referencias!$A$2:$B$33,2,1)</f>
        <v>#N/A</v>
      </c>
      <c r="W351" s="23" t="str">
        <f t="shared" si="138"/>
        <v/>
      </c>
      <c r="X351" s="11">
        <f t="shared" si="127"/>
        <v>0</v>
      </c>
      <c r="Y351" s="11">
        <f t="shared" si="139"/>
        <v>0</v>
      </c>
      <c r="Z351" s="24">
        <f t="shared" si="136"/>
        <v>0</v>
      </c>
      <c r="AA351" s="25">
        <f t="shared" si="137"/>
        <v>0</v>
      </c>
      <c r="AB351" s="24">
        <f t="shared" si="128"/>
        <v>0</v>
      </c>
      <c r="AC351" s="24">
        <f t="shared" si="129"/>
        <v>0</v>
      </c>
      <c r="AD351" s="24">
        <f t="shared" si="130"/>
        <v>0</v>
      </c>
      <c r="AE351" s="24">
        <f t="shared" si="131"/>
        <v>0</v>
      </c>
      <c r="AF351" s="119" t="str">
        <f>VLOOKUP(P351*1,Referencias!$G:$H,2,0)</f>
        <v>ter</v>
      </c>
      <c r="BA351" s="10"/>
      <c r="BF351"/>
      <c r="BG351"/>
      <c r="BS351" s="10"/>
    </row>
    <row r="352" spans="1:71" ht="14.4" x14ac:dyDescent="0.3">
      <c r="A352" s="77"/>
      <c r="B352" s="78" t="s">
        <v>159</v>
      </c>
      <c r="C352" s="79">
        <v>0.83333333333333337</v>
      </c>
      <c r="D352" s="80">
        <v>6.12</v>
      </c>
      <c r="E352" s="80" t="s">
        <v>36</v>
      </c>
      <c r="F352" s="80"/>
      <c r="G352" s="81">
        <v>3.64</v>
      </c>
      <c r="H352" s="82">
        <v>192.9</v>
      </c>
      <c r="I352" s="80"/>
      <c r="N352" s="7" t="str">
        <f t="shared" si="132"/>
        <v>#LIGA968JP </v>
      </c>
      <c r="O352" s="7" t="str">
        <f t="shared" si="124"/>
        <v>#LIGA968JP </v>
      </c>
      <c r="P352" s="21">
        <f t="shared" si="133"/>
        <v>43242</v>
      </c>
      <c r="Q352" s="22">
        <f>VLOOKUP(R352,Referencias!$D$1:$E$13,2,0)</f>
        <v>5</v>
      </c>
      <c r="R352" s="7" t="str">
        <f t="shared" si="134"/>
        <v>MAI</v>
      </c>
      <c r="S352" s="7">
        <f t="shared" si="125"/>
        <v>0</v>
      </c>
      <c r="T352" s="11">
        <f t="shared" si="135"/>
        <v>22</v>
      </c>
      <c r="U352" s="11">
        <f t="shared" si="126"/>
        <v>0</v>
      </c>
      <c r="V352" s="11" t="str">
        <f>VLOOKUP(C352,Referencias!$A$2:$B$33,2,1)</f>
        <v>19 - 20</v>
      </c>
      <c r="W352" s="23">
        <f t="shared" si="138"/>
        <v>2.3611111111111027E-2</v>
      </c>
      <c r="X352" s="11">
        <f t="shared" si="127"/>
        <v>6.12</v>
      </c>
      <c r="Y352" s="11">
        <f t="shared" si="139"/>
        <v>10.807511805835194</v>
      </c>
      <c r="Z352" s="24">
        <f t="shared" si="136"/>
        <v>3.64</v>
      </c>
      <c r="AA352" s="25">
        <f t="shared" si="137"/>
        <v>6.4235294117647292</v>
      </c>
      <c r="AB352" s="24">
        <f t="shared" si="128"/>
        <v>1</v>
      </c>
      <c r="AC352" s="24">
        <f t="shared" si="129"/>
        <v>2.3847395100303981</v>
      </c>
      <c r="AD352" s="24">
        <f t="shared" si="130"/>
        <v>2.8892923901162395</v>
      </c>
      <c r="AE352" s="24">
        <f t="shared" si="131"/>
        <v>3.4257005690259854</v>
      </c>
      <c r="AF352" s="119" t="str">
        <f>VLOOKUP(P352*1,Referencias!$G:$H,2,0)</f>
        <v>ter</v>
      </c>
      <c r="BA352" s="10"/>
      <c r="BF352"/>
      <c r="BG352"/>
      <c r="BS352" s="10"/>
    </row>
    <row r="353" spans="1:71" ht="14.4" x14ac:dyDescent="0.3">
      <c r="A353" s="77"/>
      <c r="B353" s="78"/>
      <c r="C353" s="79">
        <v>0.8569444444444444</v>
      </c>
      <c r="D353" s="80"/>
      <c r="E353" s="80"/>
      <c r="F353" s="80"/>
      <c r="G353" s="81"/>
      <c r="H353" s="82"/>
      <c r="I353" s="80"/>
      <c r="N353" s="7" t="str">
        <f t="shared" si="132"/>
        <v>#LIGA968JP </v>
      </c>
      <c r="O353" s="7">
        <f t="shared" si="124"/>
        <v>0</v>
      </c>
      <c r="P353" s="21">
        <f t="shared" si="133"/>
        <v>43242</v>
      </c>
      <c r="Q353" s="22">
        <f>VLOOKUP(R353,Referencias!$D$1:$E$13,2,0)</f>
        <v>5</v>
      </c>
      <c r="R353" s="7" t="str">
        <f t="shared" si="134"/>
        <v>MAI</v>
      </c>
      <c r="S353" s="7">
        <f t="shared" si="125"/>
        <v>0</v>
      </c>
      <c r="T353" s="11">
        <f t="shared" si="135"/>
        <v>22</v>
      </c>
      <c r="U353" s="11">
        <f t="shared" si="126"/>
        <v>0</v>
      </c>
      <c r="V353" s="11" t="str">
        <f>VLOOKUP(C353,Referencias!$A$2:$B$33,2,1)</f>
        <v>20 - 21</v>
      </c>
      <c r="W353" s="23" t="str">
        <f t="shared" si="138"/>
        <v/>
      </c>
      <c r="X353" s="11">
        <f t="shared" si="127"/>
        <v>0</v>
      </c>
      <c r="Y353" s="11">
        <f t="shared" si="139"/>
        <v>0</v>
      </c>
      <c r="Z353" s="24">
        <f t="shared" si="136"/>
        <v>0</v>
      </c>
      <c r="AA353" s="25">
        <f t="shared" si="137"/>
        <v>0</v>
      </c>
      <c r="AB353" s="24">
        <f t="shared" si="128"/>
        <v>0</v>
      </c>
      <c r="AC353" s="24">
        <f t="shared" si="129"/>
        <v>0</v>
      </c>
      <c r="AD353" s="24">
        <f t="shared" si="130"/>
        <v>0</v>
      </c>
      <c r="AE353" s="24">
        <f t="shared" si="131"/>
        <v>0</v>
      </c>
      <c r="AF353" s="119" t="str">
        <f>VLOOKUP(P353*1,Referencias!$G:$H,2,0)</f>
        <v>ter</v>
      </c>
      <c r="BA353" s="10"/>
      <c r="BF353"/>
      <c r="BG353"/>
      <c r="BS353" s="10"/>
    </row>
    <row r="354" spans="1:71" ht="14.4" x14ac:dyDescent="0.3">
      <c r="A354" s="83"/>
      <c r="B354" s="83"/>
      <c r="C354" s="83"/>
      <c r="D354" s="83"/>
      <c r="E354" s="83"/>
      <c r="F354" s="83"/>
      <c r="G354" s="83"/>
      <c r="H354" s="83"/>
      <c r="I354" s="83"/>
      <c r="N354" s="7" t="str">
        <f t="shared" si="132"/>
        <v>#LIGA968JP </v>
      </c>
      <c r="O354" s="7">
        <f t="shared" si="124"/>
        <v>0</v>
      </c>
      <c r="P354" s="21">
        <f t="shared" si="133"/>
        <v>43242</v>
      </c>
      <c r="Q354" s="22">
        <f>VLOOKUP(R354,Referencias!$D$1:$E$13,2,0)</f>
        <v>5</v>
      </c>
      <c r="R354" s="7" t="str">
        <f t="shared" si="134"/>
        <v>MAI</v>
      </c>
      <c r="S354" s="7">
        <f t="shared" si="125"/>
        <v>0</v>
      </c>
      <c r="T354" s="11">
        <f t="shared" si="135"/>
        <v>22</v>
      </c>
      <c r="U354" s="11">
        <f t="shared" si="126"/>
        <v>0</v>
      </c>
      <c r="V354" s="11" t="e">
        <f>VLOOKUP(C354,Referencias!$A$2:$B$33,2,1)</f>
        <v>#N/A</v>
      </c>
      <c r="W354" s="23" t="str">
        <f t="shared" si="138"/>
        <v/>
      </c>
      <c r="X354" s="11">
        <f t="shared" si="127"/>
        <v>0</v>
      </c>
      <c r="Y354" s="11">
        <f t="shared" si="139"/>
        <v>0</v>
      </c>
      <c r="Z354" s="24">
        <f t="shared" si="136"/>
        <v>0</v>
      </c>
      <c r="AA354" s="25">
        <f t="shared" si="137"/>
        <v>0</v>
      </c>
      <c r="AB354" s="24">
        <f t="shared" si="128"/>
        <v>0</v>
      </c>
      <c r="AC354" s="24">
        <f t="shared" si="129"/>
        <v>0</v>
      </c>
      <c r="AD354" s="24">
        <f t="shared" si="130"/>
        <v>0</v>
      </c>
      <c r="AE354" s="24">
        <f t="shared" si="131"/>
        <v>0</v>
      </c>
      <c r="AF354" s="119" t="str">
        <f>VLOOKUP(P354*1,Referencias!$G:$H,2,0)</f>
        <v>ter</v>
      </c>
      <c r="BA354" s="10"/>
      <c r="BF354"/>
      <c r="BG354"/>
      <c r="BS354" s="10"/>
    </row>
    <row r="355" spans="1:71" ht="14.4" x14ac:dyDescent="0.3">
      <c r="A355" s="76"/>
      <c r="B355" s="76"/>
      <c r="C355" s="76"/>
      <c r="D355" s="76"/>
      <c r="E355" s="76"/>
      <c r="F355" s="76"/>
      <c r="G355" s="76"/>
      <c r="H355" s="76"/>
      <c r="I355" s="76"/>
      <c r="N355" s="7" t="str">
        <f t="shared" si="132"/>
        <v>#LIGA968JP </v>
      </c>
      <c r="O355" s="7">
        <f t="shared" si="124"/>
        <v>0</v>
      </c>
      <c r="P355" s="21">
        <f t="shared" si="133"/>
        <v>43242</v>
      </c>
      <c r="Q355" s="22">
        <f>VLOOKUP(R355,Referencias!$D$1:$E$13,2,0)</f>
        <v>5</v>
      </c>
      <c r="R355" s="7" t="str">
        <f t="shared" si="134"/>
        <v>MAI</v>
      </c>
      <c r="S355" s="7">
        <f t="shared" si="125"/>
        <v>0</v>
      </c>
      <c r="T355" s="11">
        <f t="shared" si="135"/>
        <v>22</v>
      </c>
      <c r="U355" s="11">
        <f t="shared" si="126"/>
        <v>0</v>
      </c>
      <c r="V355" s="11" t="e">
        <f>VLOOKUP(C355,Referencias!$A$2:$B$33,2,1)</f>
        <v>#N/A</v>
      </c>
      <c r="W355" s="23" t="str">
        <f t="shared" si="138"/>
        <v/>
      </c>
      <c r="X355" s="11">
        <f t="shared" si="127"/>
        <v>0</v>
      </c>
      <c r="Y355" s="11">
        <f t="shared" si="139"/>
        <v>0</v>
      </c>
      <c r="Z355" s="24">
        <f t="shared" si="136"/>
        <v>0</v>
      </c>
      <c r="AA355" s="25">
        <f t="shared" si="137"/>
        <v>0</v>
      </c>
      <c r="AB355" s="24">
        <f t="shared" si="128"/>
        <v>0</v>
      </c>
      <c r="AC355" s="24">
        <f t="shared" si="129"/>
        <v>0</v>
      </c>
      <c r="AD355" s="24">
        <f t="shared" si="130"/>
        <v>0</v>
      </c>
      <c r="AE355" s="24">
        <f t="shared" si="131"/>
        <v>0</v>
      </c>
      <c r="AF355" s="119" t="str">
        <f>VLOOKUP(P355*1,Referencias!$G:$H,2,0)</f>
        <v>ter</v>
      </c>
      <c r="BA355" s="10"/>
      <c r="BF355"/>
      <c r="BG355"/>
      <c r="BS355" s="10"/>
    </row>
    <row r="356" spans="1:71" ht="14.4" x14ac:dyDescent="0.3">
      <c r="A356" s="77"/>
      <c r="B356" s="78" t="s">
        <v>160</v>
      </c>
      <c r="C356" s="79">
        <v>0.86736111111111114</v>
      </c>
      <c r="D356" s="80">
        <v>8.1999999999999993</v>
      </c>
      <c r="E356" s="80" t="s">
        <v>161</v>
      </c>
      <c r="F356" s="80"/>
      <c r="G356" s="81">
        <v>5.08</v>
      </c>
      <c r="H356" s="82">
        <v>197.98</v>
      </c>
      <c r="I356" s="77" t="s">
        <v>334</v>
      </c>
      <c r="N356" s="7" t="str">
        <f t="shared" si="132"/>
        <v>#LIQLAPGPW </v>
      </c>
      <c r="O356" s="7" t="str">
        <f t="shared" si="124"/>
        <v>#LIQLAPGPW </v>
      </c>
      <c r="P356" s="21">
        <f t="shared" si="133"/>
        <v>43242</v>
      </c>
      <c r="Q356" s="22">
        <f>VLOOKUP(R356,Referencias!$D$1:$E$13,2,0)</f>
        <v>5</v>
      </c>
      <c r="R356" s="7" t="str">
        <f t="shared" si="134"/>
        <v>MAI</v>
      </c>
      <c r="S356" s="7">
        <f t="shared" si="125"/>
        <v>0</v>
      </c>
      <c r="T356" s="11">
        <f t="shared" si="135"/>
        <v>22</v>
      </c>
      <c r="U356" s="11">
        <f t="shared" si="126"/>
        <v>0</v>
      </c>
      <c r="V356" s="11" t="str">
        <f>VLOOKUP(C356,Referencias!$A$2:$B$33,2,1)</f>
        <v>20 - 21</v>
      </c>
      <c r="W356" s="23">
        <f t="shared" si="138"/>
        <v>3.6805555555555536E-2</v>
      </c>
      <c r="X356" s="11">
        <f t="shared" si="127"/>
        <v>8.1999999999999993</v>
      </c>
      <c r="Y356" s="11">
        <f t="shared" si="139"/>
        <v>14.480653073177873</v>
      </c>
      <c r="Z356" s="24">
        <f t="shared" si="136"/>
        <v>5.08</v>
      </c>
      <c r="AA356" s="25">
        <f t="shared" si="137"/>
        <v>5.7509433962264183</v>
      </c>
      <c r="AB356" s="24">
        <f t="shared" si="128"/>
        <v>1</v>
      </c>
      <c r="AC356" s="24">
        <f t="shared" si="129"/>
        <v>3.3281529425698961</v>
      </c>
      <c r="AD356" s="24">
        <f t="shared" si="130"/>
        <v>4.032309159832554</v>
      </c>
      <c r="AE356" s="24">
        <f t="shared" si="131"/>
        <v>4.7809227721571439</v>
      </c>
      <c r="AF356" s="119" t="str">
        <f>VLOOKUP(P356*1,Referencias!$G:$H,2,0)</f>
        <v>ter</v>
      </c>
      <c r="BA356" s="10"/>
      <c r="BF356"/>
      <c r="BG356"/>
      <c r="BS356" s="10"/>
    </row>
    <row r="357" spans="1:71" ht="14.4" x14ac:dyDescent="0.3">
      <c r="A357" s="77"/>
      <c r="B357" s="78"/>
      <c r="C357" s="79">
        <v>0.90416666666666667</v>
      </c>
      <c r="D357" s="80"/>
      <c r="E357" s="80"/>
      <c r="F357" s="80"/>
      <c r="G357" s="81"/>
      <c r="H357" s="82"/>
      <c r="I357" s="77" t="s">
        <v>335</v>
      </c>
      <c r="N357" s="7" t="str">
        <f t="shared" si="132"/>
        <v>#LIQLAPGPW </v>
      </c>
      <c r="O357" s="7">
        <f t="shared" si="124"/>
        <v>0</v>
      </c>
      <c r="P357" s="21">
        <f t="shared" si="133"/>
        <v>43242</v>
      </c>
      <c r="Q357" s="22">
        <f>VLOOKUP(R357,Referencias!$D$1:$E$13,2,0)</f>
        <v>5</v>
      </c>
      <c r="R357" s="7" t="str">
        <f t="shared" si="134"/>
        <v>MAI</v>
      </c>
      <c r="S357" s="7">
        <f t="shared" si="125"/>
        <v>0</v>
      </c>
      <c r="T357" s="11">
        <f t="shared" si="135"/>
        <v>22</v>
      </c>
      <c r="U357" s="11">
        <f t="shared" si="126"/>
        <v>0</v>
      </c>
      <c r="V357" s="11" t="str">
        <f>VLOOKUP(C357,Referencias!$A$2:$B$33,2,1)</f>
        <v>21 - 22</v>
      </c>
      <c r="W357" s="23" t="str">
        <f t="shared" si="138"/>
        <v/>
      </c>
      <c r="X357" s="11">
        <f t="shared" si="127"/>
        <v>0</v>
      </c>
      <c r="Y357" s="11">
        <f t="shared" si="139"/>
        <v>0</v>
      </c>
      <c r="Z357" s="24">
        <f t="shared" si="136"/>
        <v>0</v>
      </c>
      <c r="AA357" s="25">
        <f t="shared" si="137"/>
        <v>0</v>
      </c>
      <c r="AB357" s="24">
        <f t="shared" si="128"/>
        <v>0</v>
      </c>
      <c r="AC357" s="24">
        <f t="shared" si="129"/>
        <v>0</v>
      </c>
      <c r="AD357" s="24">
        <f t="shared" si="130"/>
        <v>0</v>
      </c>
      <c r="AE357" s="24">
        <f t="shared" si="131"/>
        <v>0</v>
      </c>
      <c r="AF357" s="119" t="str">
        <f>VLOOKUP(P357*1,Referencias!$G:$H,2,0)</f>
        <v>ter</v>
      </c>
      <c r="BA357" s="10"/>
      <c r="BF357"/>
      <c r="BG357"/>
      <c r="BS357" s="10"/>
    </row>
    <row r="358" spans="1:71" ht="15" thickBot="1" x14ac:dyDescent="0.35">
      <c r="A358" s="84"/>
      <c r="B358" s="84"/>
      <c r="C358" s="84"/>
      <c r="D358" s="84"/>
      <c r="E358" s="84"/>
      <c r="F358" s="84"/>
      <c r="G358" s="84"/>
      <c r="H358" s="84"/>
      <c r="I358" s="84"/>
      <c r="N358" s="7" t="str">
        <f t="shared" si="132"/>
        <v>#LIQLAPGPW </v>
      </c>
      <c r="O358" s="7">
        <f t="shared" si="124"/>
        <v>0</v>
      </c>
      <c r="P358" s="21">
        <f t="shared" si="133"/>
        <v>43242</v>
      </c>
      <c r="Q358" s="22">
        <f>VLOOKUP(R358,Referencias!$D$1:$E$13,2,0)</f>
        <v>5</v>
      </c>
      <c r="R358" s="7" t="str">
        <f t="shared" si="134"/>
        <v>MAI</v>
      </c>
      <c r="S358" s="7">
        <f t="shared" si="125"/>
        <v>0</v>
      </c>
      <c r="T358" s="11">
        <f t="shared" si="135"/>
        <v>22</v>
      </c>
      <c r="U358" s="11">
        <f t="shared" si="126"/>
        <v>0</v>
      </c>
      <c r="V358" s="11" t="e">
        <f>VLOOKUP(C358,Referencias!$A$2:$B$33,2,1)</f>
        <v>#N/A</v>
      </c>
      <c r="W358" s="23" t="str">
        <f t="shared" si="138"/>
        <v/>
      </c>
      <c r="X358" s="11">
        <f t="shared" si="127"/>
        <v>0</v>
      </c>
      <c r="Y358" s="11">
        <f t="shared" si="139"/>
        <v>0</v>
      </c>
      <c r="Z358" s="24">
        <f t="shared" si="136"/>
        <v>0</v>
      </c>
      <c r="AA358" s="25">
        <f t="shared" si="137"/>
        <v>0</v>
      </c>
      <c r="AB358" s="24">
        <f t="shared" si="128"/>
        <v>0</v>
      </c>
      <c r="AC358" s="24">
        <f t="shared" si="129"/>
        <v>0</v>
      </c>
      <c r="AD358" s="24">
        <f t="shared" si="130"/>
        <v>0</v>
      </c>
      <c r="AE358" s="24">
        <f t="shared" si="131"/>
        <v>0</v>
      </c>
      <c r="AF358" s="119" t="str">
        <f>VLOOKUP(P358*1,Referencias!$G:$H,2,0)</f>
        <v>ter</v>
      </c>
      <c r="BA358" s="10"/>
      <c r="BF358"/>
      <c r="BG358"/>
      <c r="BS358" s="10"/>
    </row>
    <row r="359" spans="1:71" ht="14.4" x14ac:dyDescent="0.3">
      <c r="A359" s="77">
        <v>23</v>
      </c>
      <c r="B359" s="85" t="s">
        <v>162</v>
      </c>
      <c r="C359" s="79">
        <v>0.53263888888888888</v>
      </c>
      <c r="D359" s="86">
        <v>4.0199999999999996</v>
      </c>
      <c r="E359" s="86" t="s">
        <v>55</v>
      </c>
      <c r="F359" s="86"/>
      <c r="G359" s="87">
        <v>2.9</v>
      </c>
      <c r="H359" s="88">
        <v>200.88</v>
      </c>
      <c r="I359" s="86"/>
      <c r="N359" s="7" t="str">
        <f t="shared" si="132"/>
        <v>#LI9AMCSU3 </v>
      </c>
      <c r="O359" s="7" t="str">
        <f t="shared" si="124"/>
        <v>#LI9AMCSU3 </v>
      </c>
      <c r="P359" s="21">
        <f t="shared" si="133"/>
        <v>43243</v>
      </c>
      <c r="Q359" s="22">
        <f>VLOOKUP(R359,Referencias!$D$1:$E$13,2,0)</f>
        <v>5</v>
      </c>
      <c r="R359" s="7" t="str">
        <f t="shared" si="134"/>
        <v>MAI</v>
      </c>
      <c r="S359" s="7" t="str">
        <f t="shared" si="125"/>
        <v>MAI</v>
      </c>
      <c r="T359" s="11">
        <f t="shared" si="135"/>
        <v>23</v>
      </c>
      <c r="U359" s="11">
        <f t="shared" si="126"/>
        <v>23</v>
      </c>
      <c r="V359" s="11" t="str">
        <f>VLOOKUP(C359,Referencias!$A$2:$B$33,2,1)</f>
        <v>12 - 13</v>
      </c>
      <c r="W359" s="23">
        <f t="shared" si="138"/>
        <v>2.2916666666666696E-2</v>
      </c>
      <c r="X359" s="11">
        <f t="shared" si="127"/>
        <v>4.0199999999999996</v>
      </c>
      <c r="Y359" s="11">
        <f t="shared" si="139"/>
        <v>7.0990518724603717</v>
      </c>
      <c r="Z359" s="24">
        <f t="shared" si="136"/>
        <v>2.9</v>
      </c>
      <c r="AA359" s="25">
        <f t="shared" si="137"/>
        <v>5.2727272727272654</v>
      </c>
      <c r="AB359" s="24">
        <f t="shared" si="128"/>
        <v>1</v>
      </c>
      <c r="AC359" s="24">
        <f t="shared" si="129"/>
        <v>1.8999298294198224</v>
      </c>
      <c r="AD359" s="24">
        <f t="shared" si="130"/>
        <v>2.3019087723453553</v>
      </c>
      <c r="AE359" s="24">
        <f t="shared" si="131"/>
        <v>2.7292669368613618</v>
      </c>
      <c r="AF359" s="119" t="str">
        <f>VLOOKUP(P359*1,Referencias!$G:$H,2,0)</f>
        <v>qua</v>
      </c>
      <c r="BA359" s="10"/>
      <c r="BF359"/>
      <c r="BG359"/>
      <c r="BS359" s="10"/>
    </row>
    <row r="360" spans="1:71" ht="14.4" x14ac:dyDescent="0.3">
      <c r="A360" s="77" t="s">
        <v>19</v>
      </c>
      <c r="B360" s="78"/>
      <c r="C360" s="79">
        <v>0.55555555555555558</v>
      </c>
      <c r="D360" s="80"/>
      <c r="E360" s="80"/>
      <c r="F360" s="80"/>
      <c r="G360" s="81"/>
      <c r="H360" s="82"/>
      <c r="I360" s="80"/>
      <c r="N360" s="7" t="str">
        <f t="shared" si="132"/>
        <v>#LI9AMCSU3 </v>
      </c>
      <c r="O360" s="7">
        <f t="shared" si="124"/>
        <v>0</v>
      </c>
      <c r="P360" s="21">
        <f t="shared" si="133"/>
        <v>43243</v>
      </c>
      <c r="Q360" s="22">
        <f>VLOOKUP(R360,Referencias!$D$1:$E$13,2,0)</f>
        <v>5</v>
      </c>
      <c r="R360" s="7" t="str">
        <f t="shared" si="134"/>
        <v>MAI</v>
      </c>
      <c r="S360" s="7">
        <f t="shared" si="125"/>
        <v>0</v>
      </c>
      <c r="T360" s="11">
        <f t="shared" si="135"/>
        <v>23</v>
      </c>
      <c r="U360" s="11">
        <f t="shared" si="126"/>
        <v>0</v>
      </c>
      <c r="V360" s="11" t="str">
        <f>VLOOKUP(C360,Referencias!$A$2:$B$33,2,1)</f>
        <v>13 - 14</v>
      </c>
      <c r="W360" s="23" t="str">
        <f t="shared" si="138"/>
        <v/>
      </c>
      <c r="X360" s="11">
        <f t="shared" si="127"/>
        <v>0</v>
      </c>
      <c r="Y360" s="11">
        <f t="shared" si="139"/>
        <v>0</v>
      </c>
      <c r="Z360" s="24">
        <f t="shared" si="136"/>
        <v>0</v>
      </c>
      <c r="AA360" s="25">
        <f t="shared" si="137"/>
        <v>0</v>
      </c>
      <c r="AB360" s="24">
        <f t="shared" si="128"/>
        <v>0</v>
      </c>
      <c r="AC360" s="24">
        <f t="shared" si="129"/>
        <v>0</v>
      </c>
      <c r="AD360" s="24">
        <f t="shared" si="130"/>
        <v>0</v>
      </c>
      <c r="AE360" s="24">
        <f t="shared" si="131"/>
        <v>0</v>
      </c>
      <c r="AF360" s="119" t="str">
        <f>VLOOKUP(P360*1,Referencias!$G:$H,2,0)</f>
        <v>qua</v>
      </c>
      <c r="BA360" s="10"/>
      <c r="BF360"/>
      <c r="BG360"/>
      <c r="BS360" s="10"/>
    </row>
    <row r="361" spans="1:71" ht="14.4" x14ac:dyDescent="0.3">
      <c r="A361" s="83"/>
      <c r="B361" s="83"/>
      <c r="C361" s="83"/>
      <c r="D361" s="83"/>
      <c r="E361" s="83"/>
      <c r="F361" s="83"/>
      <c r="G361" s="83"/>
      <c r="H361" s="83"/>
      <c r="I361" s="83"/>
      <c r="N361" s="7" t="str">
        <f t="shared" si="132"/>
        <v>#LI9AMCSU3 </v>
      </c>
      <c r="O361" s="7">
        <f t="shared" si="124"/>
        <v>0</v>
      </c>
      <c r="P361" s="21">
        <f t="shared" si="133"/>
        <v>43243</v>
      </c>
      <c r="Q361" s="22">
        <f>VLOOKUP(R361,Referencias!$D$1:$E$13,2,0)</f>
        <v>5</v>
      </c>
      <c r="R361" s="7" t="str">
        <f t="shared" si="134"/>
        <v>MAI</v>
      </c>
      <c r="S361" s="7">
        <f t="shared" si="125"/>
        <v>0</v>
      </c>
      <c r="T361" s="11">
        <f t="shared" si="135"/>
        <v>23</v>
      </c>
      <c r="U361" s="11">
        <f t="shared" si="126"/>
        <v>0</v>
      </c>
      <c r="V361" s="11" t="e">
        <f>VLOOKUP(C361,Referencias!$A$2:$B$33,2,1)</f>
        <v>#N/A</v>
      </c>
      <c r="W361" s="23" t="str">
        <f t="shared" si="138"/>
        <v/>
      </c>
      <c r="X361" s="11">
        <f t="shared" si="127"/>
        <v>0</v>
      </c>
      <c r="Y361" s="11">
        <f t="shared" si="139"/>
        <v>0</v>
      </c>
      <c r="Z361" s="24">
        <f t="shared" si="136"/>
        <v>0</v>
      </c>
      <c r="AA361" s="25">
        <f t="shared" si="137"/>
        <v>0</v>
      </c>
      <c r="AB361" s="24">
        <f t="shared" si="128"/>
        <v>0</v>
      </c>
      <c r="AC361" s="24">
        <f t="shared" si="129"/>
        <v>0</v>
      </c>
      <c r="AD361" s="24">
        <f t="shared" si="130"/>
        <v>0</v>
      </c>
      <c r="AE361" s="24">
        <f t="shared" si="131"/>
        <v>0</v>
      </c>
      <c r="AF361" s="119" t="str">
        <f>VLOOKUP(P361*1,Referencias!$G:$H,2,0)</f>
        <v>qua</v>
      </c>
      <c r="BA361" s="10"/>
      <c r="BF361"/>
      <c r="BG361"/>
      <c r="BS361" s="10"/>
    </row>
    <row r="362" spans="1:71" ht="14.4" x14ac:dyDescent="0.3">
      <c r="A362" s="76"/>
      <c r="B362" s="76"/>
      <c r="C362" s="76"/>
      <c r="D362" s="76"/>
      <c r="E362" s="76"/>
      <c r="F362" s="76"/>
      <c r="G362" s="76"/>
      <c r="H362" s="76"/>
      <c r="I362" s="76"/>
      <c r="N362" s="7" t="str">
        <f t="shared" si="132"/>
        <v>#LI9AMCSU3 </v>
      </c>
      <c r="O362" s="7">
        <f t="shared" si="124"/>
        <v>0</v>
      </c>
      <c r="P362" s="21">
        <f t="shared" si="133"/>
        <v>43243</v>
      </c>
      <c r="Q362" s="22">
        <f>VLOOKUP(R362,Referencias!$D$1:$E$13,2,0)</f>
        <v>5</v>
      </c>
      <c r="R362" s="7" t="str">
        <f t="shared" si="134"/>
        <v>MAI</v>
      </c>
      <c r="S362" s="7">
        <f t="shared" si="125"/>
        <v>0</v>
      </c>
      <c r="T362" s="11">
        <f t="shared" si="135"/>
        <v>23</v>
      </c>
      <c r="U362" s="11">
        <f t="shared" si="126"/>
        <v>0</v>
      </c>
      <c r="V362" s="11" t="e">
        <f>VLOOKUP(C362,Referencias!$A$2:$B$33,2,1)</f>
        <v>#N/A</v>
      </c>
      <c r="W362" s="23" t="str">
        <f t="shared" si="138"/>
        <v/>
      </c>
      <c r="X362" s="11">
        <f t="shared" si="127"/>
        <v>0</v>
      </c>
      <c r="Y362" s="11">
        <f t="shared" si="139"/>
        <v>0</v>
      </c>
      <c r="Z362" s="24">
        <f t="shared" si="136"/>
        <v>0</v>
      </c>
      <c r="AA362" s="25">
        <f t="shared" si="137"/>
        <v>0</v>
      </c>
      <c r="AB362" s="24">
        <f t="shared" si="128"/>
        <v>0</v>
      </c>
      <c r="AC362" s="24">
        <f t="shared" si="129"/>
        <v>0</v>
      </c>
      <c r="AD362" s="24">
        <f t="shared" si="130"/>
        <v>0</v>
      </c>
      <c r="AE362" s="24">
        <f t="shared" si="131"/>
        <v>0</v>
      </c>
      <c r="AF362" s="119" t="str">
        <f>VLOOKUP(P362*1,Referencias!$G:$H,2,0)</f>
        <v>qua</v>
      </c>
      <c r="BA362" s="10"/>
      <c r="BF362"/>
      <c r="BG362"/>
      <c r="BS362" s="10"/>
    </row>
    <row r="363" spans="1:71" ht="14.4" x14ac:dyDescent="0.3">
      <c r="A363" s="77"/>
      <c r="B363" s="78" t="s">
        <v>163</v>
      </c>
      <c r="C363" s="79">
        <v>0.55625000000000002</v>
      </c>
      <c r="D363" s="80">
        <v>4.5</v>
      </c>
      <c r="E363" s="80" t="s">
        <v>55</v>
      </c>
      <c r="F363" s="80"/>
      <c r="G363" s="81">
        <v>3.07</v>
      </c>
      <c r="H363" s="82">
        <v>203.95</v>
      </c>
      <c r="I363" s="80"/>
      <c r="N363" s="7" t="str">
        <f t="shared" si="132"/>
        <v>#LI47TLEXX </v>
      </c>
      <c r="O363" s="7" t="str">
        <f t="shared" si="124"/>
        <v>#LI47TLEXX </v>
      </c>
      <c r="P363" s="21">
        <f t="shared" si="133"/>
        <v>43243</v>
      </c>
      <c r="Q363" s="22">
        <f>VLOOKUP(R363,Referencias!$D$1:$E$13,2,0)</f>
        <v>5</v>
      </c>
      <c r="R363" s="7" t="str">
        <f t="shared" si="134"/>
        <v>MAI</v>
      </c>
      <c r="S363" s="7">
        <f t="shared" si="125"/>
        <v>0</v>
      </c>
      <c r="T363" s="11">
        <f t="shared" si="135"/>
        <v>23</v>
      </c>
      <c r="U363" s="11">
        <f t="shared" si="126"/>
        <v>0</v>
      </c>
      <c r="V363" s="11" t="str">
        <f>VLOOKUP(C363,Referencias!$A$2:$B$33,2,1)</f>
        <v>13 - 14</v>
      </c>
      <c r="W363" s="23">
        <f t="shared" si="138"/>
        <v>1.8750000000000044E-2</v>
      </c>
      <c r="X363" s="11">
        <f t="shared" si="127"/>
        <v>4.5</v>
      </c>
      <c r="Y363" s="11">
        <f t="shared" si="139"/>
        <v>7.94669985723176</v>
      </c>
      <c r="Z363" s="24">
        <f t="shared" si="136"/>
        <v>3.07</v>
      </c>
      <c r="AA363" s="25">
        <f t="shared" si="137"/>
        <v>6.822222222222206</v>
      </c>
      <c r="AB363" s="24">
        <f t="shared" si="128"/>
        <v>1</v>
      </c>
      <c r="AC363" s="24">
        <f t="shared" si="129"/>
        <v>2.0113050263168466</v>
      </c>
      <c r="AD363" s="24">
        <f t="shared" si="130"/>
        <v>2.4368482521035313</v>
      </c>
      <c r="AE363" s="24">
        <f t="shared" si="131"/>
        <v>2.8892584469532343</v>
      </c>
      <c r="AF363" s="119" t="str">
        <f>VLOOKUP(P363*1,Referencias!$G:$H,2,0)</f>
        <v>qua</v>
      </c>
      <c r="BA363" s="10"/>
      <c r="BF363"/>
      <c r="BG363"/>
      <c r="BS363" s="10"/>
    </row>
    <row r="364" spans="1:71" ht="14.4" x14ac:dyDescent="0.3">
      <c r="A364" s="77"/>
      <c r="B364" s="78"/>
      <c r="C364" s="79">
        <v>0.57500000000000007</v>
      </c>
      <c r="D364" s="80"/>
      <c r="E364" s="80"/>
      <c r="F364" s="80"/>
      <c r="G364" s="81"/>
      <c r="H364" s="82"/>
      <c r="I364" s="80"/>
      <c r="N364" s="7" t="str">
        <f t="shared" si="132"/>
        <v>#LI47TLEXX </v>
      </c>
      <c r="O364" s="7">
        <f t="shared" si="124"/>
        <v>0</v>
      </c>
      <c r="P364" s="21">
        <f t="shared" si="133"/>
        <v>43243</v>
      </c>
      <c r="Q364" s="22">
        <f>VLOOKUP(R364,Referencias!$D$1:$E$13,2,0)</f>
        <v>5</v>
      </c>
      <c r="R364" s="7" t="str">
        <f t="shared" si="134"/>
        <v>MAI</v>
      </c>
      <c r="S364" s="7">
        <f t="shared" si="125"/>
        <v>0</v>
      </c>
      <c r="T364" s="11">
        <f t="shared" si="135"/>
        <v>23</v>
      </c>
      <c r="U364" s="11">
        <f t="shared" si="126"/>
        <v>0</v>
      </c>
      <c r="V364" s="11" t="str">
        <f>VLOOKUP(C364,Referencias!$A$2:$B$33,2,1)</f>
        <v>13 - 14</v>
      </c>
      <c r="W364" s="23" t="str">
        <f t="shared" si="138"/>
        <v/>
      </c>
      <c r="X364" s="11">
        <f t="shared" si="127"/>
        <v>0</v>
      </c>
      <c r="Y364" s="11">
        <f t="shared" si="139"/>
        <v>0</v>
      </c>
      <c r="Z364" s="24">
        <f t="shared" si="136"/>
        <v>0</v>
      </c>
      <c r="AA364" s="25">
        <f t="shared" si="137"/>
        <v>0</v>
      </c>
      <c r="AB364" s="24">
        <f t="shared" si="128"/>
        <v>0</v>
      </c>
      <c r="AC364" s="24">
        <f t="shared" si="129"/>
        <v>0</v>
      </c>
      <c r="AD364" s="24">
        <f t="shared" si="130"/>
        <v>0</v>
      </c>
      <c r="AE364" s="24">
        <f t="shared" si="131"/>
        <v>0</v>
      </c>
      <c r="AF364" s="119" t="str">
        <f>VLOOKUP(P364*1,Referencias!$G:$H,2,0)</f>
        <v>qua</v>
      </c>
      <c r="BA364" s="10"/>
      <c r="BF364"/>
      <c r="BG364"/>
      <c r="BS364" s="10"/>
    </row>
    <row r="365" spans="1:71" ht="14.4" x14ac:dyDescent="0.3">
      <c r="A365" s="83"/>
      <c r="B365" s="83"/>
      <c r="C365" s="83"/>
      <c r="D365" s="83"/>
      <c r="E365" s="83"/>
      <c r="F365" s="83"/>
      <c r="G365" s="83"/>
      <c r="H365" s="83"/>
      <c r="I365" s="83"/>
      <c r="N365" s="7" t="str">
        <f t="shared" si="132"/>
        <v>#LI47TLEXX </v>
      </c>
      <c r="O365" s="7">
        <f t="shared" si="124"/>
        <v>0</v>
      </c>
      <c r="P365" s="21">
        <f t="shared" si="133"/>
        <v>43243</v>
      </c>
      <c r="Q365" s="22">
        <f>VLOOKUP(R365,Referencias!$D$1:$E$13,2,0)</f>
        <v>5</v>
      </c>
      <c r="R365" s="7" t="str">
        <f t="shared" si="134"/>
        <v>MAI</v>
      </c>
      <c r="S365" s="7">
        <f t="shared" si="125"/>
        <v>0</v>
      </c>
      <c r="T365" s="11">
        <f t="shared" si="135"/>
        <v>23</v>
      </c>
      <c r="U365" s="11">
        <f t="shared" si="126"/>
        <v>0</v>
      </c>
      <c r="V365" s="11" t="e">
        <f>VLOOKUP(C365,Referencias!$A$2:$B$33,2,1)</f>
        <v>#N/A</v>
      </c>
      <c r="W365" s="23" t="str">
        <f t="shared" si="138"/>
        <v/>
      </c>
      <c r="X365" s="11">
        <f t="shared" si="127"/>
        <v>0</v>
      </c>
      <c r="Y365" s="11">
        <f t="shared" si="139"/>
        <v>0</v>
      </c>
      <c r="Z365" s="24">
        <f t="shared" si="136"/>
        <v>0</v>
      </c>
      <c r="AA365" s="25">
        <f t="shared" si="137"/>
        <v>0</v>
      </c>
      <c r="AB365" s="24">
        <f t="shared" si="128"/>
        <v>0</v>
      </c>
      <c r="AC365" s="24">
        <f t="shared" si="129"/>
        <v>0</v>
      </c>
      <c r="AD365" s="24">
        <f t="shared" si="130"/>
        <v>0</v>
      </c>
      <c r="AE365" s="24">
        <f t="shared" si="131"/>
        <v>0</v>
      </c>
      <c r="AF365" s="119" t="str">
        <f>VLOOKUP(P365*1,Referencias!$G:$H,2,0)</f>
        <v>qua</v>
      </c>
      <c r="BA365" s="10"/>
      <c r="BF365"/>
      <c r="BG365"/>
      <c r="BS365" s="10"/>
    </row>
    <row r="366" spans="1:71" ht="14.4" x14ac:dyDescent="0.3">
      <c r="A366" s="76"/>
      <c r="B366" s="76"/>
      <c r="C366" s="76"/>
      <c r="D366" s="76"/>
      <c r="E366" s="76"/>
      <c r="F366" s="76"/>
      <c r="G366" s="76"/>
      <c r="H366" s="76"/>
      <c r="I366" s="76"/>
      <c r="N366" s="7" t="str">
        <f t="shared" si="132"/>
        <v>#LI47TLEXX </v>
      </c>
      <c r="O366" s="7">
        <f t="shared" si="124"/>
        <v>0</v>
      </c>
      <c r="P366" s="21">
        <f t="shared" si="133"/>
        <v>43243</v>
      </c>
      <c r="Q366" s="22">
        <f>VLOOKUP(R366,Referencias!$D$1:$E$13,2,0)</f>
        <v>5</v>
      </c>
      <c r="R366" s="7" t="str">
        <f t="shared" si="134"/>
        <v>MAI</v>
      </c>
      <c r="S366" s="7">
        <f t="shared" si="125"/>
        <v>0</v>
      </c>
      <c r="T366" s="11">
        <f t="shared" si="135"/>
        <v>23</v>
      </c>
      <c r="U366" s="11">
        <f t="shared" si="126"/>
        <v>0</v>
      </c>
      <c r="V366" s="11" t="e">
        <f>VLOOKUP(C366,Referencias!$A$2:$B$33,2,1)</f>
        <v>#N/A</v>
      </c>
      <c r="W366" s="23" t="str">
        <f t="shared" si="138"/>
        <v/>
      </c>
      <c r="X366" s="11">
        <f t="shared" si="127"/>
        <v>0</v>
      </c>
      <c r="Y366" s="11">
        <f t="shared" si="139"/>
        <v>0</v>
      </c>
      <c r="Z366" s="24">
        <f t="shared" si="136"/>
        <v>0</v>
      </c>
      <c r="AA366" s="25">
        <f t="shared" si="137"/>
        <v>0</v>
      </c>
      <c r="AB366" s="24">
        <f t="shared" si="128"/>
        <v>0</v>
      </c>
      <c r="AC366" s="24">
        <f t="shared" si="129"/>
        <v>0</v>
      </c>
      <c r="AD366" s="24">
        <f t="shared" si="130"/>
        <v>0</v>
      </c>
      <c r="AE366" s="24">
        <f t="shared" si="131"/>
        <v>0</v>
      </c>
      <c r="AF366" s="119" t="str">
        <f>VLOOKUP(P366*1,Referencias!$G:$H,2,0)</f>
        <v>qua</v>
      </c>
      <c r="BA366" s="10"/>
      <c r="BF366"/>
      <c r="BG366"/>
      <c r="BS366" s="10"/>
    </row>
    <row r="367" spans="1:71" ht="14.4" x14ac:dyDescent="0.3">
      <c r="A367" s="77"/>
      <c r="B367" s="78" t="s">
        <v>164</v>
      </c>
      <c r="C367" s="79">
        <v>0.79999999999999993</v>
      </c>
      <c r="D367" s="80">
        <v>3.09</v>
      </c>
      <c r="E367" s="80" t="s">
        <v>87</v>
      </c>
      <c r="F367" s="80"/>
      <c r="G367" s="81">
        <v>3.18</v>
      </c>
      <c r="H367" s="82">
        <v>207.13</v>
      </c>
      <c r="I367" s="80"/>
      <c r="N367" s="7" t="str">
        <f t="shared" si="132"/>
        <v>#LIBSJLHYF </v>
      </c>
      <c r="O367" s="7" t="str">
        <f t="shared" si="124"/>
        <v>#LIBSJLHYF </v>
      </c>
      <c r="P367" s="21">
        <f t="shared" si="133"/>
        <v>43243</v>
      </c>
      <c r="Q367" s="22">
        <f>VLOOKUP(R367,Referencias!$D$1:$E$13,2,0)</f>
        <v>5</v>
      </c>
      <c r="R367" s="7" t="str">
        <f t="shared" si="134"/>
        <v>MAI</v>
      </c>
      <c r="S367" s="7">
        <f t="shared" si="125"/>
        <v>0</v>
      </c>
      <c r="T367" s="11">
        <f t="shared" si="135"/>
        <v>23</v>
      </c>
      <c r="U367" s="11">
        <f t="shared" si="126"/>
        <v>0</v>
      </c>
      <c r="V367" s="11" t="str">
        <f>VLOOKUP(C367,Referencias!$A$2:$B$33,2,1)</f>
        <v>19 - 20</v>
      </c>
      <c r="W367" s="23">
        <f t="shared" si="138"/>
        <v>4.0972222222222299E-2</v>
      </c>
      <c r="X367" s="11">
        <f t="shared" si="127"/>
        <v>3.09</v>
      </c>
      <c r="Y367" s="11">
        <f t="shared" si="139"/>
        <v>5.4567339019658085</v>
      </c>
      <c r="Z367" s="24">
        <f t="shared" si="136"/>
        <v>3.18</v>
      </c>
      <c r="AA367" s="25">
        <f t="shared" si="137"/>
        <v>3.2338983050847401</v>
      </c>
      <c r="AB367" s="24">
        <f t="shared" si="128"/>
        <v>1</v>
      </c>
      <c r="AC367" s="24">
        <f t="shared" si="129"/>
        <v>2.0833713301913916</v>
      </c>
      <c r="AD367" s="24">
        <f t="shared" si="130"/>
        <v>2.5241620331235279</v>
      </c>
      <c r="AE367" s="24">
        <f t="shared" si="131"/>
        <v>2.9927823652479759</v>
      </c>
      <c r="AF367" s="119" t="str">
        <f>VLOOKUP(P367*1,Referencias!$G:$H,2,0)</f>
        <v>qua</v>
      </c>
      <c r="BA367" s="10"/>
      <c r="BF367"/>
      <c r="BG367"/>
      <c r="BS367" s="10"/>
    </row>
    <row r="368" spans="1:71" ht="14.4" x14ac:dyDescent="0.3">
      <c r="A368" s="77"/>
      <c r="B368" s="78"/>
      <c r="C368" s="79">
        <v>0.84097222222222223</v>
      </c>
      <c r="D368" s="80"/>
      <c r="E368" s="80"/>
      <c r="F368" s="80"/>
      <c r="G368" s="81"/>
      <c r="H368" s="82"/>
      <c r="I368" s="80"/>
      <c r="N368" s="7" t="str">
        <f t="shared" si="132"/>
        <v>#LIBSJLHYF </v>
      </c>
      <c r="O368" s="7">
        <f t="shared" si="124"/>
        <v>0</v>
      </c>
      <c r="P368" s="21">
        <f t="shared" si="133"/>
        <v>43243</v>
      </c>
      <c r="Q368" s="22">
        <f>VLOOKUP(R368,Referencias!$D$1:$E$13,2,0)</f>
        <v>5</v>
      </c>
      <c r="R368" s="7" t="str">
        <f t="shared" si="134"/>
        <v>MAI</v>
      </c>
      <c r="S368" s="7">
        <f t="shared" si="125"/>
        <v>0</v>
      </c>
      <c r="T368" s="11">
        <f t="shared" si="135"/>
        <v>23</v>
      </c>
      <c r="U368" s="11">
        <f t="shared" si="126"/>
        <v>0</v>
      </c>
      <c r="V368" s="11" t="str">
        <f>VLOOKUP(C368,Referencias!$A$2:$B$33,2,1)</f>
        <v>20 - 21</v>
      </c>
      <c r="W368" s="23" t="str">
        <f t="shared" si="138"/>
        <v/>
      </c>
      <c r="X368" s="11">
        <f t="shared" si="127"/>
        <v>0</v>
      </c>
      <c r="Y368" s="11">
        <f t="shared" si="139"/>
        <v>0</v>
      </c>
      <c r="Z368" s="24">
        <f t="shared" si="136"/>
        <v>0</v>
      </c>
      <c r="AA368" s="25">
        <f t="shared" si="137"/>
        <v>0</v>
      </c>
      <c r="AB368" s="24">
        <f t="shared" si="128"/>
        <v>0</v>
      </c>
      <c r="AC368" s="24">
        <f t="shared" si="129"/>
        <v>0</v>
      </c>
      <c r="AD368" s="24">
        <f t="shared" si="130"/>
        <v>0</v>
      </c>
      <c r="AE368" s="24">
        <f t="shared" si="131"/>
        <v>0</v>
      </c>
      <c r="AF368" s="119" t="str">
        <f>VLOOKUP(P368*1,Referencias!$G:$H,2,0)</f>
        <v>qua</v>
      </c>
      <c r="BA368" s="10"/>
      <c r="BF368"/>
      <c r="BG368"/>
      <c r="BS368" s="10"/>
    </row>
    <row r="369" spans="1:71" ht="14.4" x14ac:dyDescent="0.3">
      <c r="A369" s="83"/>
      <c r="B369" s="83"/>
      <c r="C369" s="83"/>
      <c r="D369" s="83"/>
      <c r="E369" s="83"/>
      <c r="F369" s="83"/>
      <c r="G369" s="83"/>
      <c r="H369" s="83"/>
      <c r="I369" s="83"/>
      <c r="N369" s="7" t="str">
        <f t="shared" si="132"/>
        <v>#LIBSJLHYF </v>
      </c>
      <c r="O369" s="7">
        <f t="shared" si="124"/>
        <v>0</v>
      </c>
      <c r="P369" s="21">
        <f t="shared" si="133"/>
        <v>43243</v>
      </c>
      <c r="Q369" s="22">
        <f>VLOOKUP(R369,Referencias!$D$1:$E$13,2,0)</f>
        <v>5</v>
      </c>
      <c r="R369" s="7" t="str">
        <f t="shared" si="134"/>
        <v>MAI</v>
      </c>
      <c r="S369" s="7">
        <f t="shared" si="125"/>
        <v>0</v>
      </c>
      <c r="T369" s="11">
        <f t="shared" si="135"/>
        <v>23</v>
      </c>
      <c r="U369" s="11">
        <f t="shared" si="126"/>
        <v>0</v>
      </c>
      <c r="V369" s="11" t="e">
        <f>VLOOKUP(C369,Referencias!$A$2:$B$33,2,1)</f>
        <v>#N/A</v>
      </c>
      <c r="W369" s="23" t="str">
        <f t="shared" si="138"/>
        <v/>
      </c>
      <c r="X369" s="11">
        <f t="shared" si="127"/>
        <v>0</v>
      </c>
      <c r="Y369" s="11">
        <f t="shared" si="139"/>
        <v>0</v>
      </c>
      <c r="Z369" s="24">
        <f t="shared" si="136"/>
        <v>0</v>
      </c>
      <c r="AA369" s="25">
        <f t="shared" si="137"/>
        <v>0</v>
      </c>
      <c r="AB369" s="24">
        <f t="shared" si="128"/>
        <v>0</v>
      </c>
      <c r="AC369" s="24">
        <f t="shared" si="129"/>
        <v>0</v>
      </c>
      <c r="AD369" s="24">
        <f t="shared" si="130"/>
        <v>0</v>
      </c>
      <c r="AE369" s="24">
        <f t="shared" si="131"/>
        <v>0</v>
      </c>
      <c r="AF369" s="119" t="str">
        <f>VLOOKUP(P369*1,Referencias!$G:$H,2,0)</f>
        <v>qua</v>
      </c>
      <c r="BA369" s="10"/>
      <c r="BF369"/>
      <c r="BG369"/>
      <c r="BS369" s="10"/>
    </row>
    <row r="370" spans="1:71" ht="14.4" x14ac:dyDescent="0.3">
      <c r="A370" s="76"/>
      <c r="B370" s="76"/>
      <c r="C370" s="76"/>
      <c r="D370" s="76"/>
      <c r="E370" s="76"/>
      <c r="F370" s="76"/>
      <c r="G370" s="76"/>
      <c r="H370" s="76"/>
      <c r="I370" s="76"/>
      <c r="N370" s="7" t="str">
        <f t="shared" si="132"/>
        <v>#LIBSJLHYF </v>
      </c>
      <c r="O370" s="7">
        <f t="shared" si="124"/>
        <v>0</v>
      </c>
      <c r="P370" s="21">
        <f t="shared" si="133"/>
        <v>43243</v>
      </c>
      <c r="Q370" s="22">
        <f>VLOOKUP(R370,Referencias!$D$1:$E$13,2,0)</f>
        <v>5</v>
      </c>
      <c r="R370" s="7" t="str">
        <f t="shared" si="134"/>
        <v>MAI</v>
      </c>
      <c r="S370" s="7">
        <f t="shared" si="125"/>
        <v>0</v>
      </c>
      <c r="T370" s="11">
        <f t="shared" si="135"/>
        <v>23</v>
      </c>
      <c r="U370" s="11">
        <f t="shared" si="126"/>
        <v>0</v>
      </c>
      <c r="V370" s="11" t="e">
        <f>VLOOKUP(C370,Referencias!$A$2:$B$33,2,1)</f>
        <v>#N/A</v>
      </c>
      <c r="W370" s="23" t="str">
        <f t="shared" si="138"/>
        <v/>
      </c>
      <c r="X370" s="11">
        <f t="shared" si="127"/>
        <v>0</v>
      </c>
      <c r="Y370" s="11">
        <f t="shared" si="139"/>
        <v>0</v>
      </c>
      <c r="Z370" s="24">
        <f t="shared" si="136"/>
        <v>0</v>
      </c>
      <c r="AA370" s="25">
        <f t="shared" si="137"/>
        <v>0</v>
      </c>
      <c r="AB370" s="24">
        <f t="shared" si="128"/>
        <v>0</v>
      </c>
      <c r="AC370" s="24">
        <f t="shared" si="129"/>
        <v>0</v>
      </c>
      <c r="AD370" s="24">
        <f t="shared" si="130"/>
        <v>0</v>
      </c>
      <c r="AE370" s="24">
        <f t="shared" si="131"/>
        <v>0</v>
      </c>
      <c r="AF370" s="119" t="str">
        <f>VLOOKUP(P370*1,Referencias!$G:$H,2,0)</f>
        <v>qua</v>
      </c>
      <c r="BA370" s="10"/>
      <c r="BF370"/>
      <c r="BG370"/>
      <c r="BS370" s="10"/>
    </row>
    <row r="371" spans="1:71" ht="14.4" x14ac:dyDescent="0.3">
      <c r="A371" s="77"/>
      <c r="B371" s="78" t="s">
        <v>165</v>
      </c>
      <c r="C371" s="79">
        <v>0.84097222222222223</v>
      </c>
      <c r="D371" s="80">
        <v>8.74</v>
      </c>
      <c r="E371" s="80" t="s">
        <v>36</v>
      </c>
      <c r="F371" s="80"/>
      <c r="G371" s="81">
        <v>4.55</v>
      </c>
      <c r="H371" s="82">
        <v>211.68</v>
      </c>
      <c r="I371" s="80"/>
      <c r="N371" s="7" t="str">
        <f t="shared" si="132"/>
        <v>#LIYX9EGLJ </v>
      </c>
      <c r="O371" s="7" t="str">
        <f t="shared" si="124"/>
        <v>#LIYX9EGLJ </v>
      </c>
      <c r="P371" s="21">
        <f t="shared" si="133"/>
        <v>43243</v>
      </c>
      <c r="Q371" s="22">
        <f>VLOOKUP(R371,Referencias!$D$1:$E$13,2,0)</f>
        <v>5</v>
      </c>
      <c r="R371" s="7" t="str">
        <f t="shared" si="134"/>
        <v>MAI</v>
      </c>
      <c r="S371" s="7">
        <f t="shared" si="125"/>
        <v>0</v>
      </c>
      <c r="T371" s="11">
        <f t="shared" si="135"/>
        <v>23</v>
      </c>
      <c r="U371" s="11">
        <f t="shared" si="126"/>
        <v>0</v>
      </c>
      <c r="V371" s="11" t="str">
        <f>VLOOKUP(C371,Referencias!$A$2:$B$33,2,1)</f>
        <v>20 - 21</v>
      </c>
      <c r="W371" s="23">
        <f t="shared" si="138"/>
        <v>2.5694444444444464E-2</v>
      </c>
      <c r="X371" s="11">
        <f t="shared" si="127"/>
        <v>8.74</v>
      </c>
      <c r="Y371" s="11">
        <f t="shared" si="139"/>
        <v>15.434257056045684</v>
      </c>
      <c r="Z371" s="24">
        <f t="shared" si="136"/>
        <v>4.55</v>
      </c>
      <c r="AA371" s="25">
        <f t="shared" si="137"/>
        <v>7.3783783783783727</v>
      </c>
      <c r="AB371" s="24">
        <f t="shared" si="128"/>
        <v>1</v>
      </c>
      <c r="AC371" s="24">
        <f t="shared" si="129"/>
        <v>2.9809243875379972</v>
      </c>
      <c r="AD371" s="24">
        <f t="shared" si="130"/>
        <v>3.6116154876452988</v>
      </c>
      <c r="AE371" s="24">
        <f t="shared" si="131"/>
        <v>4.2821257112824815</v>
      </c>
      <c r="AF371" s="119" t="str">
        <f>VLOOKUP(P371*1,Referencias!$G:$H,2,0)</f>
        <v>qua</v>
      </c>
      <c r="BA371" s="10"/>
      <c r="BF371"/>
      <c r="BG371"/>
      <c r="BS371" s="10"/>
    </row>
    <row r="372" spans="1:71" ht="14.4" x14ac:dyDescent="0.3">
      <c r="A372" s="77"/>
      <c r="B372" s="78"/>
      <c r="C372" s="79">
        <v>0.8666666666666667</v>
      </c>
      <c r="D372" s="80"/>
      <c r="E372" s="80"/>
      <c r="F372" s="80"/>
      <c r="G372" s="81"/>
      <c r="H372" s="82"/>
      <c r="I372" s="80"/>
      <c r="N372" s="7" t="str">
        <f t="shared" si="132"/>
        <v>#LIYX9EGLJ </v>
      </c>
      <c r="O372" s="7">
        <f t="shared" si="124"/>
        <v>0</v>
      </c>
      <c r="P372" s="21">
        <f t="shared" si="133"/>
        <v>43243</v>
      </c>
      <c r="Q372" s="22">
        <f>VLOOKUP(R372,Referencias!$D$1:$E$13,2,0)</f>
        <v>5</v>
      </c>
      <c r="R372" s="7" t="str">
        <f t="shared" si="134"/>
        <v>MAI</v>
      </c>
      <c r="S372" s="7">
        <f t="shared" si="125"/>
        <v>0</v>
      </c>
      <c r="T372" s="11">
        <f t="shared" si="135"/>
        <v>23</v>
      </c>
      <c r="U372" s="11">
        <f t="shared" si="126"/>
        <v>0</v>
      </c>
      <c r="V372" s="11" t="str">
        <f>VLOOKUP(C372,Referencias!$A$2:$B$33,2,1)</f>
        <v>20 - 21</v>
      </c>
      <c r="W372" s="23" t="str">
        <f t="shared" si="138"/>
        <v/>
      </c>
      <c r="X372" s="11">
        <f t="shared" si="127"/>
        <v>0</v>
      </c>
      <c r="Y372" s="11">
        <f t="shared" si="139"/>
        <v>0</v>
      </c>
      <c r="Z372" s="24">
        <f t="shared" si="136"/>
        <v>0</v>
      </c>
      <c r="AA372" s="25">
        <f t="shared" si="137"/>
        <v>0</v>
      </c>
      <c r="AB372" s="24">
        <f t="shared" si="128"/>
        <v>0</v>
      </c>
      <c r="AC372" s="24">
        <f t="shared" si="129"/>
        <v>0</v>
      </c>
      <c r="AD372" s="24">
        <f t="shared" si="130"/>
        <v>0</v>
      </c>
      <c r="AE372" s="24">
        <f t="shared" si="131"/>
        <v>0</v>
      </c>
      <c r="AF372" s="119" t="str">
        <f>VLOOKUP(P372*1,Referencias!$G:$H,2,0)</f>
        <v>qua</v>
      </c>
      <c r="BA372" s="10"/>
      <c r="BF372"/>
      <c r="BG372"/>
      <c r="BS372" s="10"/>
    </row>
    <row r="373" spans="1:71" ht="14.4" x14ac:dyDescent="0.3">
      <c r="A373" s="83"/>
      <c r="B373" s="83"/>
      <c r="C373" s="83"/>
      <c r="D373" s="83"/>
      <c r="E373" s="83"/>
      <c r="F373" s="83"/>
      <c r="G373" s="83"/>
      <c r="H373" s="83"/>
      <c r="I373" s="83"/>
      <c r="N373" s="7" t="str">
        <f t="shared" si="132"/>
        <v>#LIYX9EGLJ </v>
      </c>
      <c r="O373" s="7">
        <f t="shared" si="124"/>
        <v>0</v>
      </c>
      <c r="P373" s="21">
        <f t="shared" si="133"/>
        <v>43243</v>
      </c>
      <c r="Q373" s="22">
        <f>VLOOKUP(R373,Referencias!$D$1:$E$13,2,0)</f>
        <v>5</v>
      </c>
      <c r="R373" s="7" t="str">
        <f t="shared" si="134"/>
        <v>MAI</v>
      </c>
      <c r="S373" s="7">
        <f t="shared" si="125"/>
        <v>0</v>
      </c>
      <c r="T373" s="11">
        <f t="shared" si="135"/>
        <v>23</v>
      </c>
      <c r="U373" s="11">
        <f t="shared" si="126"/>
        <v>0</v>
      </c>
      <c r="V373" s="11" t="e">
        <f>VLOOKUP(C373,Referencias!$A$2:$B$33,2,1)</f>
        <v>#N/A</v>
      </c>
      <c r="W373" s="23" t="str">
        <f t="shared" si="138"/>
        <v/>
      </c>
      <c r="X373" s="11">
        <f t="shared" si="127"/>
        <v>0</v>
      </c>
      <c r="Y373" s="11">
        <f t="shared" si="139"/>
        <v>0</v>
      </c>
      <c r="Z373" s="24">
        <f t="shared" si="136"/>
        <v>0</v>
      </c>
      <c r="AA373" s="25">
        <f t="shared" si="137"/>
        <v>0</v>
      </c>
      <c r="AB373" s="24">
        <f t="shared" si="128"/>
        <v>0</v>
      </c>
      <c r="AC373" s="24">
        <f t="shared" si="129"/>
        <v>0</v>
      </c>
      <c r="AD373" s="24">
        <f t="shared" si="130"/>
        <v>0</v>
      </c>
      <c r="AE373" s="24">
        <f t="shared" si="131"/>
        <v>0</v>
      </c>
      <c r="AF373" s="119" t="str">
        <f>VLOOKUP(P373*1,Referencias!$G:$H,2,0)</f>
        <v>qua</v>
      </c>
      <c r="BA373" s="10"/>
      <c r="BF373"/>
      <c r="BG373"/>
      <c r="BS373" s="10"/>
    </row>
    <row r="374" spans="1:71" ht="14.4" x14ac:dyDescent="0.3">
      <c r="A374" s="76"/>
      <c r="B374" s="76"/>
      <c r="C374" s="76"/>
      <c r="D374" s="76"/>
      <c r="E374" s="76"/>
      <c r="F374" s="76"/>
      <c r="G374" s="76"/>
      <c r="H374" s="76"/>
      <c r="I374" s="76"/>
      <c r="N374" s="7" t="str">
        <f t="shared" si="132"/>
        <v>#LIYX9EGLJ </v>
      </c>
      <c r="O374" s="7">
        <f t="shared" si="124"/>
        <v>0</v>
      </c>
      <c r="P374" s="21">
        <f t="shared" si="133"/>
        <v>43243</v>
      </c>
      <c r="Q374" s="22">
        <f>VLOOKUP(R374,Referencias!$D$1:$E$13,2,0)</f>
        <v>5</v>
      </c>
      <c r="R374" s="7" t="str">
        <f t="shared" si="134"/>
        <v>MAI</v>
      </c>
      <c r="S374" s="7">
        <f t="shared" si="125"/>
        <v>0</v>
      </c>
      <c r="T374" s="11">
        <f t="shared" si="135"/>
        <v>23</v>
      </c>
      <c r="U374" s="11">
        <f t="shared" si="126"/>
        <v>0</v>
      </c>
      <c r="V374" s="11" t="e">
        <f>VLOOKUP(C374,Referencias!$A$2:$B$33,2,1)</f>
        <v>#N/A</v>
      </c>
      <c r="W374" s="23" t="str">
        <f t="shared" si="138"/>
        <v/>
      </c>
      <c r="X374" s="11">
        <f t="shared" si="127"/>
        <v>0</v>
      </c>
      <c r="Y374" s="11">
        <f t="shared" si="139"/>
        <v>0</v>
      </c>
      <c r="Z374" s="24">
        <f t="shared" si="136"/>
        <v>0</v>
      </c>
      <c r="AA374" s="25">
        <f t="shared" si="137"/>
        <v>0</v>
      </c>
      <c r="AB374" s="24">
        <f t="shared" si="128"/>
        <v>0</v>
      </c>
      <c r="AC374" s="24">
        <f t="shared" si="129"/>
        <v>0</v>
      </c>
      <c r="AD374" s="24">
        <f t="shared" si="130"/>
        <v>0</v>
      </c>
      <c r="AE374" s="24">
        <f t="shared" si="131"/>
        <v>0</v>
      </c>
      <c r="AF374" s="119" t="str">
        <f>VLOOKUP(P374*1,Referencias!$G:$H,2,0)</f>
        <v>qua</v>
      </c>
      <c r="BA374" s="10"/>
      <c r="BF374"/>
      <c r="BG374"/>
      <c r="BS374" s="10"/>
    </row>
    <row r="375" spans="1:71" ht="14.4" x14ac:dyDescent="0.3">
      <c r="A375" s="77"/>
      <c r="B375" s="78" t="s">
        <v>166</v>
      </c>
      <c r="C375" s="79">
        <v>0.86875000000000002</v>
      </c>
      <c r="D375" s="80">
        <v>9.0500000000000007</v>
      </c>
      <c r="E375" s="80" t="s">
        <v>53</v>
      </c>
      <c r="F375" s="80"/>
      <c r="G375" s="81">
        <v>4.66</v>
      </c>
      <c r="H375" s="82">
        <v>216.34</v>
      </c>
      <c r="I375" s="80"/>
      <c r="N375" s="7" t="str">
        <f t="shared" si="132"/>
        <v>#LI1JMJBSS </v>
      </c>
      <c r="O375" s="7" t="str">
        <f t="shared" si="124"/>
        <v>#LI1JMJBSS </v>
      </c>
      <c r="P375" s="21">
        <f t="shared" si="133"/>
        <v>43243</v>
      </c>
      <c r="Q375" s="22">
        <f>VLOOKUP(R375,Referencias!$D$1:$E$13,2,0)</f>
        <v>5</v>
      </c>
      <c r="R375" s="7" t="str">
        <f t="shared" si="134"/>
        <v>MAI</v>
      </c>
      <c r="S375" s="7">
        <f t="shared" si="125"/>
        <v>0</v>
      </c>
      <c r="T375" s="11">
        <f t="shared" si="135"/>
        <v>23</v>
      </c>
      <c r="U375" s="11">
        <f t="shared" si="126"/>
        <v>0</v>
      </c>
      <c r="V375" s="11" t="str">
        <f>VLOOKUP(C375,Referencias!$A$2:$B$33,2,1)</f>
        <v>20 - 21</v>
      </c>
      <c r="W375" s="23">
        <f t="shared" si="138"/>
        <v>2.7083333333333348E-2</v>
      </c>
      <c r="X375" s="11">
        <f t="shared" si="127"/>
        <v>9.0500000000000007</v>
      </c>
      <c r="Y375" s="11">
        <f t="shared" si="139"/>
        <v>15.981696379543873</v>
      </c>
      <c r="Z375" s="24">
        <f t="shared" si="136"/>
        <v>4.66</v>
      </c>
      <c r="AA375" s="25">
        <f t="shared" si="137"/>
        <v>7.169230769230766</v>
      </c>
      <c r="AB375" s="24">
        <f t="shared" si="128"/>
        <v>1</v>
      </c>
      <c r="AC375" s="24">
        <f t="shared" si="129"/>
        <v>3.0529906914125422</v>
      </c>
      <c r="AD375" s="24">
        <f t="shared" si="130"/>
        <v>3.6989292686652955</v>
      </c>
      <c r="AE375" s="24">
        <f t="shared" si="131"/>
        <v>4.3856496295772232</v>
      </c>
      <c r="AF375" s="119" t="str">
        <f>VLOOKUP(P375*1,Referencias!$G:$H,2,0)</f>
        <v>qua</v>
      </c>
      <c r="BA375" s="10"/>
      <c r="BF375"/>
      <c r="BG375"/>
      <c r="BS375" s="10"/>
    </row>
    <row r="376" spans="1:71" ht="14.4" x14ac:dyDescent="0.3">
      <c r="A376" s="77"/>
      <c r="B376" s="78"/>
      <c r="C376" s="79">
        <v>0.89583333333333337</v>
      </c>
      <c r="D376" s="80"/>
      <c r="E376" s="80"/>
      <c r="F376" s="80"/>
      <c r="G376" s="81"/>
      <c r="H376" s="82"/>
      <c r="I376" s="80"/>
      <c r="N376" s="7" t="str">
        <f t="shared" si="132"/>
        <v>#LI1JMJBSS </v>
      </c>
      <c r="O376" s="7">
        <f t="shared" si="124"/>
        <v>0</v>
      </c>
      <c r="P376" s="21">
        <f t="shared" si="133"/>
        <v>43243</v>
      </c>
      <c r="Q376" s="22">
        <f>VLOOKUP(R376,Referencias!$D$1:$E$13,2,0)</f>
        <v>5</v>
      </c>
      <c r="R376" s="7" t="str">
        <f t="shared" si="134"/>
        <v>MAI</v>
      </c>
      <c r="S376" s="7">
        <f t="shared" si="125"/>
        <v>0</v>
      </c>
      <c r="T376" s="11">
        <f t="shared" si="135"/>
        <v>23</v>
      </c>
      <c r="U376" s="11">
        <f t="shared" si="126"/>
        <v>0</v>
      </c>
      <c r="V376" s="11" t="str">
        <f>VLOOKUP(C376,Referencias!$A$2:$B$33,2,1)</f>
        <v>21 - 22</v>
      </c>
      <c r="W376" s="23" t="str">
        <f t="shared" si="138"/>
        <v/>
      </c>
      <c r="X376" s="11">
        <f t="shared" si="127"/>
        <v>0</v>
      </c>
      <c r="Y376" s="11">
        <f t="shared" si="139"/>
        <v>0</v>
      </c>
      <c r="Z376" s="24">
        <f t="shared" si="136"/>
        <v>0</v>
      </c>
      <c r="AA376" s="25">
        <f t="shared" si="137"/>
        <v>0</v>
      </c>
      <c r="AB376" s="24">
        <f t="shared" si="128"/>
        <v>0</v>
      </c>
      <c r="AC376" s="24">
        <f t="shared" si="129"/>
        <v>0</v>
      </c>
      <c r="AD376" s="24">
        <f t="shared" si="130"/>
        <v>0</v>
      </c>
      <c r="AE376" s="24">
        <f t="shared" si="131"/>
        <v>0</v>
      </c>
      <c r="AF376" s="119" t="str">
        <f>VLOOKUP(P376*1,Referencias!$G:$H,2,0)</f>
        <v>qua</v>
      </c>
      <c r="BA376" s="10"/>
      <c r="BF376"/>
      <c r="BG376"/>
      <c r="BS376" s="10"/>
    </row>
    <row r="377" spans="1:71" ht="14.4" x14ac:dyDescent="0.3">
      <c r="A377" s="83"/>
      <c r="B377" s="83"/>
      <c r="C377" s="83"/>
      <c r="D377" s="83"/>
      <c r="E377" s="83"/>
      <c r="F377" s="83"/>
      <c r="G377" s="83"/>
      <c r="H377" s="83"/>
      <c r="I377" s="83"/>
      <c r="N377" s="7" t="str">
        <f t="shared" si="132"/>
        <v>#LI1JMJBSS </v>
      </c>
      <c r="O377" s="7">
        <f t="shared" si="124"/>
        <v>0</v>
      </c>
      <c r="P377" s="21">
        <f t="shared" si="133"/>
        <v>43243</v>
      </c>
      <c r="Q377" s="22">
        <f>VLOOKUP(R377,Referencias!$D$1:$E$13,2,0)</f>
        <v>5</v>
      </c>
      <c r="R377" s="7" t="str">
        <f t="shared" si="134"/>
        <v>MAI</v>
      </c>
      <c r="S377" s="7">
        <f t="shared" si="125"/>
        <v>0</v>
      </c>
      <c r="T377" s="11">
        <f t="shared" si="135"/>
        <v>23</v>
      </c>
      <c r="U377" s="11">
        <f t="shared" si="126"/>
        <v>0</v>
      </c>
      <c r="V377" s="11" t="e">
        <f>VLOOKUP(C377,Referencias!$A$2:$B$33,2,1)</f>
        <v>#N/A</v>
      </c>
      <c r="W377" s="23" t="str">
        <f t="shared" si="138"/>
        <v/>
      </c>
      <c r="X377" s="11">
        <f t="shared" si="127"/>
        <v>0</v>
      </c>
      <c r="Y377" s="11">
        <f t="shared" si="139"/>
        <v>0</v>
      </c>
      <c r="Z377" s="24">
        <f t="shared" si="136"/>
        <v>0</v>
      </c>
      <c r="AA377" s="25">
        <f t="shared" si="137"/>
        <v>0</v>
      </c>
      <c r="AB377" s="24">
        <f t="shared" si="128"/>
        <v>0</v>
      </c>
      <c r="AC377" s="24">
        <f t="shared" si="129"/>
        <v>0</v>
      </c>
      <c r="AD377" s="24">
        <f t="shared" si="130"/>
        <v>0</v>
      </c>
      <c r="AE377" s="24">
        <f t="shared" si="131"/>
        <v>0</v>
      </c>
      <c r="AF377" s="119" t="str">
        <f>VLOOKUP(P377*1,Referencias!$G:$H,2,0)</f>
        <v>qua</v>
      </c>
      <c r="BA377" s="10"/>
      <c r="BF377"/>
      <c r="BG377"/>
      <c r="BS377" s="10"/>
    </row>
    <row r="378" spans="1:71" ht="14.4" x14ac:dyDescent="0.3">
      <c r="A378" s="76"/>
      <c r="B378" s="76"/>
      <c r="C378" s="76"/>
      <c r="D378" s="76"/>
      <c r="E378" s="76"/>
      <c r="F378" s="76"/>
      <c r="G378" s="76"/>
      <c r="H378" s="76"/>
      <c r="I378" s="76"/>
      <c r="N378" s="7" t="str">
        <f t="shared" si="132"/>
        <v>#LI1JMJBSS </v>
      </c>
      <c r="O378" s="7">
        <f t="shared" si="124"/>
        <v>0</v>
      </c>
      <c r="P378" s="21">
        <f t="shared" si="133"/>
        <v>43243</v>
      </c>
      <c r="Q378" s="22">
        <f>VLOOKUP(R378,Referencias!$D$1:$E$13,2,0)</f>
        <v>5</v>
      </c>
      <c r="R378" s="7" t="str">
        <f t="shared" si="134"/>
        <v>MAI</v>
      </c>
      <c r="S378" s="7">
        <f t="shared" si="125"/>
        <v>0</v>
      </c>
      <c r="T378" s="11">
        <f t="shared" si="135"/>
        <v>23</v>
      </c>
      <c r="U378" s="11">
        <f t="shared" si="126"/>
        <v>0</v>
      </c>
      <c r="V378" s="11" t="e">
        <f>VLOOKUP(C378,Referencias!$A$2:$B$33,2,1)</f>
        <v>#N/A</v>
      </c>
      <c r="W378" s="23" t="str">
        <f t="shared" si="138"/>
        <v/>
      </c>
      <c r="X378" s="11">
        <f t="shared" si="127"/>
        <v>0</v>
      </c>
      <c r="Y378" s="11">
        <f t="shared" si="139"/>
        <v>0</v>
      </c>
      <c r="Z378" s="24">
        <f t="shared" si="136"/>
        <v>0</v>
      </c>
      <c r="AA378" s="25">
        <f t="shared" si="137"/>
        <v>0</v>
      </c>
      <c r="AB378" s="24">
        <f t="shared" si="128"/>
        <v>0</v>
      </c>
      <c r="AC378" s="24">
        <f t="shared" si="129"/>
        <v>0</v>
      </c>
      <c r="AD378" s="24">
        <f t="shared" si="130"/>
        <v>0</v>
      </c>
      <c r="AE378" s="24">
        <f t="shared" si="131"/>
        <v>0</v>
      </c>
      <c r="AF378" s="119" t="str">
        <f>VLOOKUP(P378*1,Referencias!$G:$H,2,0)</f>
        <v>qua</v>
      </c>
      <c r="BA378" s="10"/>
      <c r="BF378"/>
      <c r="BG378"/>
      <c r="BS378" s="10"/>
    </row>
    <row r="379" spans="1:71" ht="14.4" x14ac:dyDescent="0.3">
      <c r="A379" s="77"/>
      <c r="B379" s="78" t="s">
        <v>167</v>
      </c>
      <c r="C379" s="79">
        <v>0.89583333333333337</v>
      </c>
      <c r="D379" s="80">
        <v>2.98</v>
      </c>
      <c r="E379" s="80" t="s">
        <v>55</v>
      </c>
      <c r="F379" s="80"/>
      <c r="G379" s="81">
        <v>2.54</v>
      </c>
      <c r="H379" s="82">
        <v>218.88</v>
      </c>
      <c r="I379" s="80"/>
      <c r="N379" s="7" t="str">
        <f t="shared" si="132"/>
        <v>#LIAKLDKEH </v>
      </c>
      <c r="O379" s="7" t="str">
        <f t="shared" si="124"/>
        <v>#LIAKLDKEH </v>
      </c>
      <c r="P379" s="21">
        <f t="shared" si="133"/>
        <v>43243</v>
      </c>
      <c r="Q379" s="22">
        <f>VLOOKUP(R379,Referencias!$D$1:$E$13,2,0)</f>
        <v>5</v>
      </c>
      <c r="R379" s="7" t="str">
        <f t="shared" si="134"/>
        <v>MAI</v>
      </c>
      <c r="S379" s="7">
        <f t="shared" si="125"/>
        <v>0</v>
      </c>
      <c r="T379" s="11">
        <f t="shared" si="135"/>
        <v>23</v>
      </c>
      <c r="U379" s="11">
        <f t="shared" si="126"/>
        <v>0</v>
      </c>
      <c r="V379" s="11" t="str">
        <f>VLOOKUP(C379,Referencias!$A$2:$B$33,2,1)</f>
        <v>21 - 22</v>
      </c>
      <c r="W379" s="23">
        <f t="shared" si="138"/>
        <v>1.9444444444444375E-2</v>
      </c>
      <c r="X379" s="11">
        <f t="shared" si="127"/>
        <v>2.98</v>
      </c>
      <c r="Y379" s="11">
        <f t="shared" si="139"/>
        <v>5.2624812387890323</v>
      </c>
      <c r="Z379" s="24">
        <f t="shared" si="136"/>
        <v>2.54</v>
      </c>
      <c r="AA379" s="25">
        <f t="shared" si="137"/>
        <v>5.4428571428571626</v>
      </c>
      <c r="AB379" s="24">
        <f t="shared" si="128"/>
        <v>1</v>
      </c>
      <c r="AC379" s="24">
        <f t="shared" si="129"/>
        <v>1.6640764712849481</v>
      </c>
      <c r="AD379" s="24">
        <f t="shared" si="130"/>
        <v>2.016154579916277</v>
      </c>
      <c r="AE379" s="24">
        <f t="shared" si="131"/>
        <v>2.3904613860785719</v>
      </c>
      <c r="AF379" s="119" t="str">
        <f>VLOOKUP(P379*1,Referencias!$G:$H,2,0)</f>
        <v>qua</v>
      </c>
      <c r="BA379" s="10"/>
      <c r="BF379"/>
      <c r="BG379"/>
      <c r="BS379" s="10"/>
    </row>
    <row r="380" spans="1:71" ht="14.4" x14ac:dyDescent="0.3">
      <c r="A380" s="77"/>
      <c r="B380" s="78"/>
      <c r="C380" s="79">
        <v>0.91527777777777775</v>
      </c>
      <c r="D380" s="80"/>
      <c r="E380" s="80"/>
      <c r="F380" s="80"/>
      <c r="G380" s="81"/>
      <c r="H380" s="82"/>
      <c r="I380" s="80"/>
      <c r="N380" s="7" t="str">
        <f t="shared" si="132"/>
        <v>#LIAKLDKEH </v>
      </c>
      <c r="O380" s="7">
        <f t="shared" si="124"/>
        <v>0</v>
      </c>
      <c r="P380" s="21">
        <f t="shared" si="133"/>
        <v>43243</v>
      </c>
      <c r="Q380" s="22">
        <f>VLOOKUP(R380,Referencias!$D$1:$E$13,2,0)</f>
        <v>5</v>
      </c>
      <c r="R380" s="7" t="str">
        <f t="shared" si="134"/>
        <v>MAI</v>
      </c>
      <c r="S380" s="7">
        <f t="shared" si="125"/>
        <v>0</v>
      </c>
      <c r="T380" s="11">
        <f t="shared" si="135"/>
        <v>23</v>
      </c>
      <c r="U380" s="11">
        <f t="shared" si="126"/>
        <v>0</v>
      </c>
      <c r="V380" s="11" t="str">
        <f>VLOOKUP(C380,Referencias!$A$2:$B$33,2,1)</f>
        <v>21 - 22</v>
      </c>
      <c r="W380" s="23" t="str">
        <f t="shared" si="138"/>
        <v/>
      </c>
      <c r="X380" s="11">
        <f t="shared" si="127"/>
        <v>0</v>
      </c>
      <c r="Y380" s="11">
        <f t="shared" si="139"/>
        <v>0</v>
      </c>
      <c r="Z380" s="24">
        <f t="shared" si="136"/>
        <v>0</v>
      </c>
      <c r="AA380" s="25">
        <f t="shared" si="137"/>
        <v>0</v>
      </c>
      <c r="AB380" s="24">
        <f t="shared" si="128"/>
        <v>0</v>
      </c>
      <c r="AC380" s="24">
        <f t="shared" si="129"/>
        <v>0</v>
      </c>
      <c r="AD380" s="24">
        <f t="shared" si="130"/>
        <v>0</v>
      </c>
      <c r="AE380" s="24">
        <f t="shared" si="131"/>
        <v>0</v>
      </c>
      <c r="AF380" s="119" t="str">
        <f>VLOOKUP(P380*1,Referencias!$G:$H,2,0)</f>
        <v>qua</v>
      </c>
      <c r="BA380" s="10"/>
      <c r="BF380"/>
      <c r="BG380"/>
      <c r="BS380" s="10"/>
    </row>
    <row r="381" spans="1:71" ht="14.4" x14ac:dyDescent="0.3">
      <c r="A381" s="83"/>
      <c r="B381" s="83"/>
      <c r="C381" s="83"/>
      <c r="D381" s="83"/>
      <c r="E381" s="83"/>
      <c r="F381" s="83"/>
      <c r="G381" s="83"/>
      <c r="H381" s="83"/>
      <c r="I381" s="83"/>
      <c r="N381" s="7" t="str">
        <f t="shared" si="132"/>
        <v>#LIAKLDKEH </v>
      </c>
      <c r="O381" s="7">
        <f t="shared" si="124"/>
        <v>0</v>
      </c>
      <c r="P381" s="21">
        <f t="shared" si="133"/>
        <v>43243</v>
      </c>
      <c r="Q381" s="22">
        <f>VLOOKUP(R381,Referencias!$D$1:$E$13,2,0)</f>
        <v>5</v>
      </c>
      <c r="R381" s="7" t="str">
        <f t="shared" si="134"/>
        <v>MAI</v>
      </c>
      <c r="S381" s="7">
        <f t="shared" si="125"/>
        <v>0</v>
      </c>
      <c r="T381" s="11">
        <f t="shared" si="135"/>
        <v>23</v>
      </c>
      <c r="U381" s="11">
        <f t="shared" si="126"/>
        <v>0</v>
      </c>
      <c r="V381" s="11" t="e">
        <f>VLOOKUP(C381,Referencias!$A$2:$B$33,2,1)</f>
        <v>#N/A</v>
      </c>
      <c r="W381" s="23" t="str">
        <f t="shared" si="138"/>
        <v/>
      </c>
      <c r="X381" s="11">
        <f t="shared" si="127"/>
        <v>0</v>
      </c>
      <c r="Y381" s="11">
        <f t="shared" si="139"/>
        <v>0</v>
      </c>
      <c r="Z381" s="24">
        <f t="shared" si="136"/>
        <v>0</v>
      </c>
      <c r="AA381" s="25">
        <f t="shared" si="137"/>
        <v>0</v>
      </c>
      <c r="AB381" s="24">
        <f t="shared" si="128"/>
        <v>0</v>
      </c>
      <c r="AC381" s="24">
        <f t="shared" si="129"/>
        <v>0</v>
      </c>
      <c r="AD381" s="24">
        <f t="shared" si="130"/>
        <v>0</v>
      </c>
      <c r="AE381" s="24">
        <f t="shared" si="131"/>
        <v>0</v>
      </c>
      <c r="AF381" s="119" t="str">
        <f>VLOOKUP(P381*1,Referencias!$G:$H,2,0)</f>
        <v>qua</v>
      </c>
      <c r="BA381" s="10"/>
      <c r="BF381"/>
      <c r="BG381"/>
      <c r="BS381" s="10"/>
    </row>
    <row r="382" spans="1:71" ht="14.4" x14ac:dyDescent="0.3">
      <c r="A382" s="76"/>
      <c r="B382" s="76"/>
      <c r="C382" s="76"/>
      <c r="D382" s="76"/>
      <c r="E382" s="76"/>
      <c r="F382" s="76"/>
      <c r="G382" s="76"/>
      <c r="H382" s="76"/>
      <c r="I382" s="76"/>
      <c r="N382" s="7" t="str">
        <f t="shared" si="132"/>
        <v>#LIAKLDKEH </v>
      </c>
      <c r="O382" s="7">
        <f t="shared" si="124"/>
        <v>0</v>
      </c>
      <c r="P382" s="21">
        <f t="shared" si="133"/>
        <v>43243</v>
      </c>
      <c r="Q382" s="22">
        <f>VLOOKUP(R382,Referencias!$D$1:$E$13,2,0)</f>
        <v>5</v>
      </c>
      <c r="R382" s="7" t="str">
        <f t="shared" si="134"/>
        <v>MAI</v>
      </c>
      <c r="S382" s="7">
        <f t="shared" si="125"/>
        <v>0</v>
      </c>
      <c r="T382" s="11">
        <f t="shared" si="135"/>
        <v>23</v>
      </c>
      <c r="U382" s="11">
        <f t="shared" si="126"/>
        <v>0</v>
      </c>
      <c r="V382" s="11" t="e">
        <f>VLOOKUP(C382,Referencias!$A$2:$B$33,2,1)</f>
        <v>#N/A</v>
      </c>
      <c r="W382" s="23" t="str">
        <f t="shared" si="138"/>
        <v/>
      </c>
      <c r="X382" s="11">
        <f t="shared" si="127"/>
        <v>0</v>
      </c>
      <c r="Y382" s="11">
        <f t="shared" si="139"/>
        <v>0</v>
      </c>
      <c r="Z382" s="24">
        <f t="shared" si="136"/>
        <v>0</v>
      </c>
      <c r="AA382" s="25">
        <f t="shared" si="137"/>
        <v>0</v>
      </c>
      <c r="AB382" s="24">
        <f t="shared" si="128"/>
        <v>0</v>
      </c>
      <c r="AC382" s="24">
        <f t="shared" si="129"/>
        <v>0</v>
      </c>
      <c r="AD382" s="24">
        <f t="shared" si="130"/>
        <v>0</v>
      </c>
      <c r="AE382" s="24">
        <f t="shared" si="131"/>
        <v>0</v>
      </c>
      <c r="AF382" s="119" t="str">
        <f>VLOOKUP(P382*1,Referencias!$G:$H,2,0)</f>
        <v>qua</v>
      </c>
      <c r="BA382" s="10"/>
      <c r="BF382"/>
      <c r="BG382"/>
      <c r="BS382" s="10"/>
    </row>
    <row r="383" spans="1:71" ht="14.4" x14ac:dyDescent="0.3">
      <c r="A383" s="77"/>
      <c r="B383" s="78" t="s">
        <v>168</v>
      </c>
      <c r="C383" s="79">
        <v>0.9194444444444444</v>
      </c>
      <c r="D383" s="80">
        <v>3.04</v>
      </c>
      <c r="E383" s="80" t="s">
        <v>17</v>
      </c>
      <c r="F383" s="80"/>
      <c r="G383" s="81">
        <v>2.56</v>
      </c>
      <c r="H383" s="82">
        <v>221.44</v>
      </c>
      <c r="I383" s="80"/>
      <c r="N383" s="7" t="str">
        <f t="shared" si="132"/>
        <v>#LIQJGPLQ5 </v>
      </c>
      <c r="O383" s="7" t="str">
        <f t="shared" si="124"/>
        <v>#LIQJGPLQ5 </v>
      </c>
      <c r="P383" s="21">
        <f t="shared" si="133"/>
        <v>43243</v>
      </c>
      <c r="Q383" s="22">
        <f>VLOOKUP(R383,Referencias!$D$1:$E$13,2,0)</f>
        <v>5</v>
      </c>
      <c r="R383" s="7" t="str">
        <f t="shared" si="134"/>
        <v>MAI</v>
      </c>
      <c r="S383" s="7">
        <f t="shared" si="125"/>
        <v>0</v>
      </c>
      <c r="T383" s="11">
        <f t="shared" si="135"/>
        <v>23</v>
      </c>
      <c r="U383" s="11">
        <f t="shared" si="126"/>
        <v>0</v>
      </c>
      <c r="V383" s="11" t="str">
        <f>VLOOKUP(C383,Referencias!$A$2:$B$33,2,1)</f>
        <v>22 - 23</v>
      </c>
      <c r="W383" s="23">
        <f t="shared" si="138"/>
        <v>1.1805555555555625E-2</v>
      </c>
      <c r="X383" s="11">
        <f t="shared" si="127"/>
        <v>3.04</v>
      </c>
      <c r="Y383" s="11">
        <f t="shared" si="139"/>
        <v>5.3684372368854554</v>
      </c>
      <c r="Z383" s="24">
        <f t="shared" si="136"/>
        <v>2.56</v>
      </c>
      <c r="AA383" s="25">
        <f t="shared" si="137"/>
        <v>9.0352941176470054</v>
      </c>
      <c r="AB383" s="24">
        <f t="shared" si="128"/>
        <v>1</v>
      </c>
      <c r="AC383" s="24">
        <f t="shared" si="129"/>
        <v>1.6771794356257743</v>
      </c>
      <c r="AD383" s="24">
        <f t="shared" si="130"/>
        <v>2.0320298128290033</v>
      </c>
      <c r="AE383" s="24">
        <f t="shared" si="131"/>
        <v>2.4092839166776159</v>
      </c>
      <c r="AF383" s="119" t="str">
        <f>VLOOKUP(P383*1,Referencias!$G:$H,2,0)</f>
        <v>qua</v>
      </c>
      <c r="BA383" s="10"/>
      <c r="BF383"/>
      <c r="BG383"/>
      <c r="BS383" s="10"/>
    </row>
    <row r="384" spans="1:71" ht="14.4" x14ac:dyDescent="0.3">
      <c r="A384" s="77"/>
      <c r="B384" s="78"/>
      <c r="C384" s="79">
        <v>0.93125000000000002</v>
      </c>
      <c r="D384" s="80"/>
      <c r="E384" s="80"/>
      <c r="F384" s="80"/>
      <c r="G384" s="81"/>
      <c r="H384" s="82"/>
      <c r="I384" s="80"/>
      <c r="N384" s="7" t="str">
        <f t="shared" si="132"/>
        <v>#LIQJGPLQ5 </v>
      </c>
      <c r="O384" s="7">
        <f t="shared" si="124"/>
        <v>0</v>
      </c>
      <c r="P384" s="21">
        <f t="shared" si="133"/>
        <v>43243</v>
      </c>
      <c r="Q384" s="22">
        <f>VLOOKUP(R384,Referencias!$D$1:$E$13,2,0)</f>
        <v>5</v>
      </c>
      <c r="R384" s="7" t="str">
        <f t="shared" si="134"/>
        <v>MAI</v>
      </c>
      <c r="S384" s="7">
        <f t="shared" si="125"/>
        <v>0</v>
      </c>
      <c r="T384" s="11">
        <f t="shared" si="135"/>
        <v>23</v>
      </c>
      <c r="U384" s="11">
        <f t="shared" si="126"/>
        <v>0</v>
      </c>
      <c r="V384" s="11" t="str">
        <f>VLOOKUP(C384,Referencias!$A$2:$B$33,2,1)</f>
        <v>22 - 23</v>
      </c>
      <c r="W384" s="23" t="str">
        <f t="shared" si="138"/>
        <v/>
      </c>
      <c r="X384" s="11">
        <f t="shared" si="127"/>
        <v>0</v>
      </c>
      <c r="Y384" s="11">
        <f t="shared" si="139"/>
        <v>0</v>
      </c>
      <c r="Z384" s="24">
        <f t="shared" si="136"/>
        <v>0</v>
      </c>
      <c r="AA384" s="25">
        <f t="shared" si="137"/>
        <v>0</v>
      </c>
      <c r="AB384" s="24">
        <f t="shared" si="128"/>
        <v>0</v>
      </c>
      <c r="AC384" s="24">
        <f t="shared" si="129"/>
        <v>0</v>
      </c>
      <c r="AD384" s="24">
        <f t="shared" si="130"/>
        <v>0</v>
      </c>
      <c r="AE384" s="24">
        <f t="shared" si="131"/>
        <v>0</v>
      </c>
      <c r="AF384" s="119" t="str">
        <f>VLOOKUP(P384*1,Referencias!$G:$H,2,0)</f>
        <v>qua</v>
      </c>
      <c r="BA384" s="10"/>
      <c r="BF384"/>
      <c r="BG384"/>
      <c r="BS384" s="10"/>
    </row>
    <row r="385" spans="1:71" ht="15" thickBot="1" x14ac:dyDescent="0.35">
      <c r="A385" s="84"/>
      <c r="B385" s="84"/>
      <c r="C385" s="84"/>
      <c r="D385" s="84"/>
      <c r="E385" s="84"/>
      <c r="F385" s="84"/>
      <c r="G385" s="84"/>
      <c r="H385" s="84"/>
      <c r="I385" s="84"/>
      <c r="N385" s="7" t="str">
        <f t="shared" si="132"/>
        <v>#LIQJGPLQ5 </v>
      </c>
      <c r="O385" s="7">
        <f t="shared" si="124"/>
        <v>0</v>
      </c>
      <c r="P385" s="21">
        <f t="shared" si="133"/>
        <v>43243</v>
      </c>
      <c r="Q385" s="22">
        <f>VLOOKUP(R385,Referencias!$D$1:$E$13,2,0)</f>
        <v>5</v>
      </c>
      <c r="R385" s="7" t="str">
        <f t="shared" si="134"/>
        <v>MAI</v>
      </c>
      <c r="S385" s="7">
        <f t="shared" si="125"/>
        <v>0</v>
      </c>
      <c r="T385" s="11">
        <f t="shared" si="135"/>
        <v>23</v>
      </c>
      <c r="U385" s="11">
        <f t="shared" si="126"/>
        <v>0</v>
      </c>
      <c r="V385" s="11" t="e">
        <f>VLOOKUP(C385,Referencias!$A$2:$B$33,2,1)</f>
        <v>#N/A</v>
      </c>
      <c r="W385" s="23" t="str">
        <f t="shared" si="138"/>
        <v/>
      </c>
      <c r="X385" s="11">
        <f t="shared" si="127"/>
        <v>0</v>
      </c>
      <c r="Y385" s="11">
        <f t="shared" si="139"/>
        <v>0</v>
      </c>
      <c r="Z385" s="24">
        <f t="shared" si="136"/>
        <v>0</v>
      </c>
      <c r="AA385" s="25">
        <f t="shared" si="137"/>
        <v>0</v>
      </c>
      <c r="AB385" s="24">
        <f t="shared" si="128"/>
        <v>0</v>
      </c>
      <c r="AC385" s="24">
        <f t="shared" si="129"/>
        <v>0</v>
      </c>
      <c r="AD385" s="24">
        <f t="shared" si="130"/>
        <v>0</v>
      </c>
      <c r="AE385" s="24">
        <f t="shared" si="131"/>
        <v>0</v>
      </c>
      <c r="AF385" s="119" t="str">
        <f>VLOOKUP(P385*1,Referencias!$G:$H,2,0)</f>
        <v>qua</v>
      </c>
      <c r="BA385" s="10"/>
      <c r="BF385"/>
      <c r="BG385"/>
      <c r="BS385" s="10"/>
    </row>
    <row r="386" spans="1:71" ht="14.4" x14ac:dyDescent="0.3">
      <c r="A386" s="77">
        <v>24</v>
      </c>
      <c r="B386" s="85" t="s">
        <v>169</v>
      </c>
      <c r="C386" s="79">
        <v>0.57916666666666672</v>
      </c>
      <c r="D386" s="86">
        <v>8.27</v>
      </c>
      <c r="E386" s="86" t="s">
        <v>53</v>
      </c>
      <c r="F386" s="81">
        <v>1.31</v>
      </c>
      <c r="G386" s="87">
        <v>5.7</v>
      </c>
      <c r="H386" s="88">
        <v>227.14</v>
      </c>
      <c r="I386" s="86"/>
      <c r="N386" s="7" t="str">
        <f t="shared" si="132"/>
        <v>#LIS1S1424 </v>
      </c>
      <c r="O386" s="7" t="str">
        <f t="shared" ref="O386:O449" si="140">IF(X386&gt;0,B386,0)</f>
        <v>#LIS1S1424 </v>
      </c>
      <c r="P386" s="21">
        <f t="shared" si="133"/>
        <v>43244</v>
      </c>
      <c r="Q386" s="22">
        <f>VLOOKUP(R386,Referencias!$D$1:$E$13,2,0)</f>
        <v>5</v>
      </c>
      <c r="R386" s="7" t="str">
        <f t="shared" si="134"/>
        <v>MAI</v>
      </c>
      <c r="S386" s="7" t="str">
        <f t="shared" ref="S386:S449" si="141">IF(X386&gt;0,A387,0)</f>
        <v>MAI</v>
      </c>
      <c r="T386" s="11">
        <f t="shared" si="135"/>
        <v>24</v>
      </c>
      <c r="U386" s="11">
        <f t="shared" ref="U386:U449" si="142">IF(X386&gt;0,A386,0)</f>
        <v>24</v>
      </c>
      <c r="V386" s="11" t="str">
        <f>VLOOKUP(C386,Referencias!$A$2:$B$33,2,1)</f>
        <v>13 - 14</v>
      </c>
      <c r="W386" s="23">
        <f t="shared" si="138"/>
        <v>2.7083333333333348E-2</v>
      </c>
      <c r="X386" s="11">
        <f t="shared" ref="X386:X449" si="143">D386*1</f>
        <v>8.27</v>
      </c>
      <c r="Y386" s="11">
        <f t="shared" si="139"/>
        <v>14.604268404290368</v>
      </c>
      <c r="Z386" s="24">
        <f t="shared" si="136"/>
        <v>5.7</v>
      </c>
      <c r="AA386" s="25">
        <f t="shared" si="137"/>
        <v>8.7692307692307647</v>
      </c>
      <c r="AB386" s="24">
        <f t="shared" ref="AB386:AB449" si="144">IF(O386&gt;0,1,0)</f>
        <v>1</v>
      </c>
      <c r="AC386" s="24">
        <f t="shared" ref="AC386:AC449" si="145">Z386*$AL$14</f>
        <v>3.7343448371355135</v>
      </c>
      <c r="AD386" s="24">
        <f t="shared" ref="AD386:AD449" si="146">Z386*$AN$14</f>
        <v>4.5244413801270777</v>
      </c>
      <c r="AE386" s="24">
        <f t="shared" ref="AE386:AE449" si="147">Z386*$AL$26</f>
        <v>5.3644212207275039</v>
      </c>
      <c r="AF386" s="119" t="str">
        <f>VLOOKUP(P386*1,Referencias!$G:$H,2,0)</f>
        <v>qui</v>
      </c>
      <c r="BA386" s="10"/>
      <c r="BF386"/>
      <c r="BG386"/>
      <c r="BS386" s="10"/>
    </row>
    <row r="387" spans="1:71" ht="14.4" x14ac:dyDescent="0.3">
      <c r="A387" s="77" t="s">
        <v>19</v>
      </c>
      <c r="B387" s="78"/>
      <c r="C387" s="79">
        <v>0.60625000000000007</v>
      </c>
      <c r="D387" s="80"/>
      <c r="E387" s="80"/>
      <c r="F387" s="80" t="s">
        <v>170</v>
      </c>
      <c r="G387" s="81"/>
      <c r="H387" s="82"/>
      <c r="I387" s="80"/>
      <c r="N387" s="7" t="str">
        <f t="shared" ref="N387:N450" si="148">IF(O387&lt;&gt;0,O387,N386)</f>
        <v>#LIS1S1424 </v>
      </c>
      <c r="O387" s="7">
        <f t="shared" si="140"/>
        <v>0</v>
      </c>
      <c r="P387" s="21">
        <f t="shared" ref="P387:P450" si="149">(T387&amp;"/"&amp;Q387&amp;"/2018")*1</f>
        <v>43244</v>
      </c>
      <c r="Q387" s="22">
        <f>VLOOKUP(R387,Referencias!$D$1:$E$13,2,0)</f>
        <v>5</v>
      </c>
      <c r="R387" s="7" t="str">
        <f t="shared" ref="R387:R450" si="150">IF(S387="ganhos garantidos",R386,IF(S387&lt;&gt;0,S387,R386))</f>
        <v>MAI</v>
      </c>
      <c r="S387" s="7">
        <f t="shared" si="141"/>
        <v>0</v>
      </c>
      <c r="T387" s="11">
        <f t="shared" ref="T387:T411" si="151">IF(U387&lt;&gt;0,U387,T386)</f>
        <v>24</v>
      </c>
      <c r="U387" s="11">
        <f t="shared" si="142"/>
        <v>0</v>
      </c>
      <c r="V387" s="11" t="str">
        <f>VLOOKUP(C387,Referencias!$A$2:$B$33,2,1)</f>
        <v>14 - 15</v>
      </c>
      <c r="W387" s="23" t="str">
        <f t="shared" si="138"/>
        <v/>
      </c>
      <c r="X387" s="11">
        <f t="shared" si="143"/>
        <v>0</v>
      </c>
      <c r="Y387" s="11">
        <f t="shared" si="139"/>
        <v>0</v>
      </c>
      <c r="Z387" s="24">
        <f t="shared" ref="Z387:Z450" si="152">IF(A387="Ganhos Garantidos",G387,IF(X387&gt;0,G387*1,0))</f>
        <v>0</v>
      </c>
      <c r="AA387" s="25">
        <f t="shared" ref="AA387:AA450" si="153">IFERROR(Z387/(86400*(W387)/360/10),0)</f>
        <v>0</v>
      </c>
      <c r="AB387" s="24">
        <f t="shared" si="144"/>
        <v>0</v>
      </c>
      <c r="AC387" s="24">
        <f t="shared" si="145"/>
        <v>0</v>
      </c>
      <c r="AD387" s="24">
        <f t="shared" si="146"/>
        <v>0</v>
      </c>
      <c r="AE387" s="24">
        <f t="shared" si="147"/>
        <v>0</v>
      </c>
      <c r="AF387" s="119" t="str">
        <f>VLOOKUP(P387*1,Referencias!$G:$H,2,0)</f>
        <v>qui</v>
      </c>
      <c r="BA387" s="10"/>
      <c r="BF387"/>
      <c r="BG387"/>
      <c r="BS387" s="10"/>
    </row>
    <row r="388" spans="1:71" ht="14.4" x14ac:dyDescent="0.3">
      <c r="A388" s="83"/>
      <c r="B388" s="83"/>
      <c r="C388" s="83"/>
      <c r="D388" s="83"/>
      <c r="E388" s="83"/>
      <c r="F388" s="83"/>
      <c r="G388" s="83"/>
      <c r="H388" s="83"/>
      <c r="I388" s="83"/>
      <c r="N388" s="7" t="str">
        <f t="shared" si="148"/>
        <v>#LIS1S1424 </v>
      </c>
      <c r="O388" s="7">
        <f t="shared" si="140"/>
        <v>0</v>
      </c>
      <c r="P388" s="21">
        <f t="shared" si="149"/>
        <v>43244</v>
      </c>
      <c r="Q388" s="22">
        <f>VLOOKUP(R388,Referencias!$D$1:$E$13,2,0)</f>
        <v>5</v>
      </c>
      <c r="R388" s="7" t="str">
        <f t="shared" si="150"/>
        <v>MAI</v>
      </c>
      <c r="S388" s="7">
        <f t="shared" si="141"/>
        <v>0</v>
      </c>
      <c r="T388" s="11">
        <f t="shared" si="151"/>
        <v>24</v>
      </c>
      <c r="U388" s="11">
        <f t="shared" si="142"/>
        <v>0</v>
      </c>
      <c r="V388" s="11" t="e">
        <f>VLOOKUP(C388,Referencias!$A$2:$B$33,2,1)</f>
        <v>#N/A</v>
      </c>
      <c r="W388" s="23" t="str">
        <f t="shared" ref="W388:W451" si="154">IF(X388&gt;0,C389-C388,"")</f>
        <v/>
      </c>
      <c r="X388" s="11">
        <f t="shared" si="143"/>
        <v>0</v>
      </c>
      <c r="Y388" s="11">
        <f t="shared" ref="Y388:Y411" si="155">X388*$AK$2</f>
        <v>0</v>
      </c>
      <c r="Z388" s="24">
        <f t="shared" si="152"/>
        <v>0</v>
      </c>
      <c r="AA388" s="25">
        <f t="shared" si="153"/>
        <v>0</v>
      </c>
      <c r="AB388" s="24">
        <f t="shared" si="144"/>
        <v>0</v>
      </c>
      <c r="AC388" s="24">
        <f t="shared" si="145"/>
        <v>0</v>
      </c>
      <c r="AD388" s="24">
        <f t="shared" si="146"/>
        <v>0</v>
      </c>
      <c r="AE388" s="24">
        <f t="shared" si="147"/>
        <v>0</v>
      </c>
      <c r="AF388" s="119" t="str">
        <f>VLOOKUP(P388*1,Referencias!$G:$H,2,0)</f>
        <v>qui</v>
      </c>
      <c r="BA388" s="10"/>
      <c r="BF388"/>
      <c r="BG388"/>
      <c r="BS388" s="10"/>
    </row>
    <row r="389" spans="1:71" ht="14.4" x14ac:dyDescent="0.3">
      <c r="A389" s="76"/>
      <c r="B389" s="76"/>
      <c r="C389" s="76"/>
      <c r="D389" s="76"/>
      <c r="E389" s="76"/>
      <c r="F389" s="76"/>
      <c r="G389" s="76"/>
      <c r="H389" s="76"/>
      <c r="I389" s="76"/>
      <c r="N389" s="7" t="str">
        <f t="shared" si="148"/>
        <v>#LIS1S1424 </v>
      </c>
      <c r="O389" s="7">
        <f t="shared" si="140"/>
        <v>0</v>
      </c>
      <c r="P389" s="21">
        <f t="shared" si="149"/>
        <v>43244</v>
      </c>
      <c r="Q389" s="22">
        <f>VLOOKUP(R389,Referencias!$D$1:$E$13,2,0)</f>
        <v>5</v>
      </c>
      <c r="R389" s="7" t="str">
        <f t="shared" si="150"/>
        <v>MAI</v>
      </c>
      <c r="S389" s="7">
        <f t="shared" si="141"/>
        <v>0</v>
      </c>
      <c r="T389" s="11">
        <f t="shared" si="151"/>
        <v>24</v>
      </c>
      <c r="U389" s="11">
        <f t="shared" si="142"/>
        <v>0</v>
      </c>
      <c r="V389" s="11" t="e">
        <f>VLOOKUP(C389,Referencias!$A$2:$B$33,2,1)</f>
        <v>#N/A</v>
      </c>
      <c r="W389" s="23" t="str">
        <f t="shared" si="154"/>
        <v/>
      </c>
      <c r="X389" s="11">
        <f t="shared" si="143"/>
        <v>0</v>
      </c>
      <c r="Y389" s="11">
        <f t="shared" si="155"/>
        <v>0</v>
      </c>
      <c r="Z389" s="24">
        <f t="shared" si="152"/>
        <v>0</v>
      </c>
      <c r="AA389" s="25">
        <f t="shared" si="153"/>
        <v>0</v>
      </c>
      <c r="AB389" s="24">
        <f t="shared" si="144"/>
        <v>0</v>
      </c>
      <c r="AC389" s="24">
        <f t="shared" si="145"/>
        <v>0</v>
      </c>
      <c r="AD389" s="24">
        <f t="shared" si="146"/>
        <v>0</v>
      </c>
      <c r="AE389" s="24">
        <f t="shared" si="147"/>
        <v>0</v>
      </c>
      <c r="AF389" s="119" t="str">
        <f>VLOOKUP(P389*1,Referencias!$G:$H,2,0)</f>
        <v>qui</v>
      </c>
      <c r="BA389" s="10"/>
      <c r="BF389"/>
      <c r="BG389"/>
      <c r="BS389" s="10"/>
    </row>
    <row r="390" spans="1:71" ht="14.4" x14ac:dyDescent="0.3">
      <c r="A390" s="77"/>
      <c r="B390" s="78" t="s">
        <v>171</v>
      </c>
      <c r="C390" s="79">
        <v>0.6069444444444444</v>
      </c>
      <c r="D390" s="80">
        <v>4.8899999999999997</v>
      </c>
      <c r="E390" s="80" t="s">
        <v>53</v>
      </c>
      <c r="F390" s="81">
        <v>0.96</v>
      </c>
      <c r="G390" s="81">
        <v>4.17</v>
      </c>
      <c r="H390" s="82">
        <v>231.31</v>
      </c>
      <c r="I390" s="80"/>
      <c r="N390" s="7" t="str">
        <f t="shared" si="148"/>
        <v>#LICZMSEF1 </v>
      </c>
      <c r="O390" s="7" t="str">
        <f t="shared" si="140"/>
        <v>#LICZMSEF1 </v>
      </c>
      <c r="P390" s="21">
        <f t="shared" si="149"/>
        <v>43244</v>
      </c>
      <c r="Q390" s="22">
        <f>VLOOKUP(R390,Referencias!$D$1:$E$13,2,0)</f>
        <v>5</v>
      </c>
      <c r="R390" s="7" t="str">
        <f t="shared" si="150"/>
        <v>MAI</v>
      </c>
      <c r="S390" s="7">
        <f t="shared" si="141"/>
        <v>0</v>
      </c>
      <c r="T390" s="11">
        <f t="shared" si="151"/>
        <v>24</v>
      </c>
      <c r="U390" s="11">
        <f t="shared" si="142"/>
        <v>0</v>
      </c>
      <c r="V390" s="11" t="str">
        <f>VLOOKUP(C390,Referencias!$A$2:$B$33,2,1)</f>
        <v>14 - 15</v>
      </c>
      <c r="W390" s="23">
        <f t="shared" si="154"/>
        <v>3.6111111111111205E-2</v>
      </c>
      <c r="X390" s="11">
        <f t="shared" si="143"/>
        <v>4.8899999999999997</v>
      </c>
      <c r="Y390" s="11">
        <f t="shared" si="155"/>
        <v>8.6354138448585118</v>
      </c>
      <c r="Z390" s="24">
        <f t="shared" si="152"/>
        <v>4.17</v>
      </c>
      <c r="AA390" s="25">
        <f t="shared" si="153"/>
        <v>4.8115384615384489</v>
      </c>
      <c r="AB390" s="24">
        <f t="shared" si="144"/>
        <v>1</v>
      </c>
      <c r="AC390" s="24">
        <f t="shared" si="145"/>
        <v>2.7319680650622966</v>
      </c>
      <c r="AD390" s="24">
        <f t="shared" si="146"/>
        <v>3.3099860623034938</v>
      </c>
      <c r="AE390" s="24">
        <f t="shared" si="147"/>
        <v>3.9244976299006478</v>
      </c>
      <c r="AF390" s="119" t="str">
        <f>VLOOKUP(P390*1,Referencias!$G:$H,2,0)</f>
        <v>qui</v>
      </c>
      <c r="BA390" s="10"/>
      <c r="BF390"/>
      <c r="BG390"/>
      <c r="BS390" s="10"/>
    </row>
    <row r="391" spans="1:71" ht="14.4" x14ac:dyDescent="0.3">
      <c r="A391" s="77"/>
      <c r="B391" s="78"/>
      <c r="C391" s="79">
        <v>0.6430555555555556</v>
      </c>
      <c r="D391" s="80"/>
      <c r="E391" s="80"/>
      <c r="F391" s="80" t="s">
        <v>170</v>
      </c>
      <c r="G391" s="81"/>
      <c r="H391" s="82"/>
      <c r="I391" s="80"/>
      <c r="N391" s="7" t="str">
        <f t="shared" si="148"/>
        <v>#LICZMSEF1 </v>
      </c>
      <c r="O391" s="7">
        <f t="shared" si="140"/>
        <v>0</v>
      </c>
      <c r="P391" s="21">
        <f t="shared" si="149"/>
        <v>43244</v>
      </c>
      <c r="Q391" s="22">
        <f>VLOOKUP(R391,Referencias!$D$1:$E$13,2,0)</f>
        <v>5</v>
      </c>
      <c r="R391" s="7" t="str">
        <f t="shared" si="150"/>
        <v>MAI</v>
      </c>
      <c r="S391" s="7">
        <f t="shared" si="141"/>
        <v>0</v>
      </c>
      <c r="T391" s="11">
        <f t="shared" si="151"/>
        <v>24</v>
      </c>
      <c r="U391" s="11">
        <f t="shared" si="142"/>
        <v>0</v>
      </c>
      <c r="V391" s="11" t="str">
        <f>VLOOKUP(C391,Referencias!$A$2:$B$33,2,1)</f>
        <v>15 - 16</v>
      </c>
      <c r="W391" s="23" t="str">
        <f t="shared" si="154"/>
        <v/>
      </c>
      <c r="X391" s="11">
        <f t="shared" si="143"/>
        <v>0</v>
      </c>
      <c r="Y391" s="11">
        <f t="shared" si="155"/>
        <v>0</v>
      </c>
      <c r="Z391" s="24">
        <f t="shared" si="152"/>
        <v>0</v>
      </c>
      <c r="AA391" s="25">
        <f t="shared" si="153"/>
        <v>0</v>
      </c>
      <c r="AB391" s="24">
        <f t="shared" si="144"/>
        <v>0</v>
      </c>
      <c r="AC391" s="24">
        <f t="shared" si="145"/>
        <v>0</v>
      </c>
      <c r="AD391" s="24">
        <f t="shared" si="146"/>
        <v>0</v>
      </c>
      <c r="AE391" s="24">
        <f t="shared" si="147"/>
        <v>0</v>
      </c>
      <c r="AF391" s="119" t="str">
        <f>VLOOKUP(P391*1,Referencias!$G:$H,2,0)</f>
        <v>qui</v>
      </c>
      <c r="BA391" s="10"/>
      <c r="BF391"/>
      <c r="BG391"/>
      <c r="BS391" s="10"/>
    </row>
    <row r="392" spans="1:71" ht="14.4" x14ac:dyDescent="0.3">
      <c r="A392" s="83"/>
      <c r="B392" s="83"/>
      <c r="C392" s="83"/>
      <c r="D392" s="83"/>
      <c r="E392" s="83"/>
      <c r="F392" s="83"/>
      <c r="G392" s="83"/>
      <c r="H392" s="83"/>
      <c r="I392" s="83"/>
      <c r="N392" s="7" t="str">
        <f t="shared" si="148"/>
        <v>#LICZMSEF1 </v>
      </c>
      <c r="O392" s="7">
        <f t="shared" si="140"/>
        <v>0</v>
      </c>
      <c r="P392" s="21">
        <f t="shared" si="149"/>
        <v>43244</v>
      </c>
      <c r="Q392" s="22">
        <f>VLOOKUP(R392,Referencias!$D$1:$E$13,2,0)</f>
        <v>5</v>
      </c>
      <c r="R392" s="7" t="str">
        <f t="shared" si="150"/>
        <v>MAI</v>
      </c>
      <c r="S392" s="7">
        <f t="shared" si="141"/>
        <v>0</v>
      </c>
      <c r="T392" s="11">
        <f t="shared" si="151"/>
        <v>24</v>
      </c>
      <c r="U392" s="11">
        <f t="shared" si="142"/>
        <v>0</v>
      </c>
      <c r="V392" s="11" t="e">
        <f>VLOOKUP(C392,Referencias!$A$2:$B$33,2,1)</f>
        <v>#N/A</v>
      </c>
      <c r="W392" s="23" t="str">
        <f t="shared" si="154"/>
        <v/>
      </c>
      <c r="X392" s="11">
        <f t="shared" si="143"/>
        <v>0</v>
      </c>
      <c r="Y392" s="11">
        <f t="shared" si="155"/>
        <v>0</v>
      </c>
      <c r="Z392" s="24">
        <f t="shared" si="152"/>
        <v>0</v>
      </c>
      <c r="AA392" s="25">
        <f t="shared" si="153"/>
        <v>0</v>
      </c>
      <c r="AB392" s="24">
        <f t="shared" si="144"/>
        <v>0</v>
      </c>
      <c r="AC392" s="24">
        <f t="shared" si="145"/>
        <v>0</v>
      </c>
      <c r="AD392" s="24">
        <f t="shared" si="146"/>
        <v>0</v>
      </c>
      <c r="AE392" s="24">
        <f t="shared" si="147"/>
        <v>0</v>
      </c>
      <c r="AF392" s="119" t="str">
        <f>VLOOKUP(P392*1,Referencias!$G:$H,2,0)</f>
        <v>qui</v>
      </c>
      <c r="BA392" s="10"/>
      <c r="BF392"/>
      <c r="BG392"/>
      <c r="BS392" s="10"/>
    </row>
    <row r="393" spans="1:71" ht="14.4" x14ac:dyDescent="0.3">
      <c r="A393" s="76"/>
      <c r="B393" s="76"/>
      <c r="C393" s="76"/>
      <c r="D393" s="76"/>
      <c r="E393" s="76"/>
      <c r="F393" s="76"/>
      <c r="G393" s="76"/>
      <c r="H393" s="76"/>
      <c r="I393" s="76"/>
      <c r="N393" s="7" t="str">
        <f t="shared" si="148"/>
        <v>#LICZMSEF1 </v>
      </c>
      <c r="O393" s="7">
        <f t="shared" si="140"/>
        <v>0</v>
      </c>
      <c r="P393" s="21">
        <f t="shared" si="149"/>
        <v>43244</v>
      </c>
      <c r="Q393" s="22">
        <f>VLOOKUP(R393,Referencias!$D$1:$E$13,2,0)</f>
        <v>5</v>
      </c>
      <c r="R393" s="7" t="str">
        <f t="shared" si="150"/>
        <v>MAI</v>
      </c>
      <c r="S393" s="7">
        <f t="shared" si="141"/>
        <v>0</v>
      </c>
      <c r="T393" s="11">
        <f t="shared" si="151"/>
        <v>24</v>
      </c>
      <c r="U393" s="11">
        <f t="shared" si="142"/>
        <v>0</v>
      </c>
      <c r="V393" s="11" t="e">
        <f>VLOOKUP(C393,Referencias!$A$2:$B$33,2,1)</f>
        <v>#N/A</v>
      </c>
      <c r="W393" s="23" t="str">
        <f t="shared" si="154"/>
        <v/>
      </c>
      <c r="X393" s="11">
        <f t="shared" si="143"/>
        <v>0</v>
      </c>
      <c r="Y393" s="11">
        <f t="shared" si="155"/>
        <v>0</v>
      </c>
      <c r="Z393" s="24">
        <f t="shared" si="152"/>
        <v>0</v>
      </c>
      <c r="AA393" s="25">
        <f t="shared" si="153"/>
        <v>0</v>
      </c>
      <c r="AB393" s="24">
        <f t="shared" si="144"/>
        <v>0</v>
      </c>
      <c r="AC393" s="24">
        <f t="shared" si="145"/>
        <v>0</v>
      </c>
      <c r="AD393" s="24">
        <f t="shared" si="146"/>
        <v>0</v>
      </c>
      <c r="AE393" s="24">
        <f t="shared" si="147"/>
        <v>0</v>
      </c>
      <c r="AF393" s="119" t="str">
        <f>VLOOKUP(P393*1,Referencias!$G:$H,2,0)</f>
        <v>qui</v>
      </c>
      <c r="BA393" s="10"/>
      <c r="BF393"/>
      <c r="BG393"/>
      <c r="BS393" s="10"/>
    </row>
    <row r="394" spans="1:71" ht="14.4" x14ac:dyDescent="0.3">
      <c r="A394" s="77"/>
      <c r="B394" s="78" t="s">
        <v>172</v>
      </c>
      <c r="C394" s="79">
        <v>0.81458333333333333</v>
      </c>
      <c r="D394" s="80">
        <v>9.85</v>
      </c>
      <c r="E394" s="80" t="s">
        <v>17</v>
      </c>
      <c r="F394" s="81">
        <v>1.48</v>
      </c>
      <c r="G394" s="81">
        <v>6.42</v>
      </c>
      <c r="H394" s="82">
        <v>237.73</v>
      </c>
      <c r="I394" s="80"/>
      <c r="N394" s="7" t="str">
        <f t="shared" si="148"/>
        <v>#LIL3UTNX6 </v>
      </c>
      <c r="O394" s="7" t="str">
        <f t="shared" si="140"/>
        <v>#LIL3UTNX6 </v>
      </c>
      <c r="P394" s="21">
        <f t="shared" si="149"/>
        <v>43244</v>
      </c>
      <c r="Q394" s="22">
        <f>VLOOKUP(R394,Referencias!$D$1:$E$13,2,0)</f>
        <v>5</v>
      </c>
      <c r="R394" s="7" t="str">
        <f t="shared" si="150"/>
        <v>MAI</v>
      </c>
      <c r="S394" s="7">
        <f t="shared" si="141"/>
        <v>0</v>
      </c>
      <c r="T394" s="11">
        <f t="shared" si="151"/>
        <v>24</v>
      </c>
      <c r="U394" s="11">
        <f t="shared" si="142"/>
        <v>0</v>
      </c>
      <c r="V394" s="11" t="str">
        <f>VLOOKUP(C394,Referencias!$A$2:$B$33,2,1)</f>
        <v>19 - 20</v>
      </c>
      <c r="W394" s="23">
        <f t="shared" si="154"/>
        <v>5.0694444444444375E-2</v>
      </c>
      <c r="X394" s="11">
        <f t="shared" si="143"/>
        <v>9.85</v>
      </c>
      <c r="Y394" s="11">
        <f t="shared" si="155"/>
        <v>17.394443020829517</v>
      </c>
      <c r="Z394" s="24">
        <f t="shared" si="152"/>
        <v>6.42</v>
      </c>
      <c r="AA394" s="25">
        <f t="shared" si="153"/>
        <v>5.2767123287671316</v>
      </c>
      <c r="AB394" s="24">
        <f t="shared" si="144"/>
        <v>1</v>
      </c>
      <c r="AC394" s="24">
        <f t="shared" si="145"/>
        <v>4.2060515534052625</v>
      </c>
      <c r="AD394" s="24">
        <f t="shared" si="146"/>
        <v>5.0959497649852352</v>
      </c>
      <c r="AE394" s="24">
        <f t="shared" si="147"/>
        <v>6.0420323222930836</v>
      </c>
      <c r="AF394" s="119" t="str">
        <f>VLOOKUP(P394*1,Referencias!$G:$H,2,0)</f>
        <v>qui</v>
      </c>
      <c r="BA394" s="10"/>
      <c r="BF394"/>
      <c r="BG394"/>
      <c r="BS394" s="10"/>
    </row>
    <row r="395" spans="1:71" ht="14.4" x14ac:dyDescent="0.3">
      <c r="A395" s="77"/>
      <c r="B395" s="78"/>
      <c r="C395" s="79">
        <v>0.8652777777777777</v>
      </c>
      <c r="D395" s="80"/>
      <c r="E395" s="80"/>
      <c r="F395" s="80" t="s">
        <v>173</v>
      </c>
      <c r="G395" s="81"/>
      <c r="H395" s="82"/>
      <c r="I395" s="80"/>
      <c r="N395" s="7" t="str">
        <f t="shared" si="148"/>
        <v>#LIL3UTNX6 </v>
      </c>
      <c r="O395" s="7">
        <f t="shared" si="140"/>
        <v>0</v>
      </c>
      <c r="P395" s="21">
        <f t="shared" si="149"/>
        <v>43244</v>
      </c>
      <c r="Q395" s="22">
        <f>VLOOKUP(R395,Referencias!$D$1:$E$13,2,0)</f>
        <v>5</v>
      </c>
      <c r="R395" s="7" t="str">
        <f t="shared" si="150"/>
        <v>MAI</v>
      </c>
      <c r="S395" s="7">
        <f t="shared" si="141"/>
        <v>0</v>
      </c>
      <c r="T395" s="11">
        <f t="shared" si="151"/>
        <v>24</v>
      </c>
      <c r="U395" s="11">
        <f t="shared" si="142"/>
        <v>0</v>
      </c>
      <c r="V395" s="11" t="str">
        <f>VLOOKUP(C395,Referencias!$A$2:$B$33,2,1)</f>
        <v>20 - 21</v>
      </c>
      <c r="W395" s="23" t="str">
        <f t="shared" si="154"/>
        <v/>
      </c>
      <c r="X395" s="11">
        <f t="shared" si="143"/>
        <v>0</v>
      </c>
      <c r="Y395" s="11">
        <f t="shared" si="155"/>
        <v>0</v>
      </c>
      <c r="Z395" s="24">
        <f t="shared" si="152"/>
        <v>0</v>
      </c>
      <c r="AA395" s="25">
        <f t="shared" si="153"/>
        <v>0</v>
      </c>
      <c r="AB395" s="24">
        <f t="shared" si="144"/>
        <v>0</v>
      </c>
      <c r="AC395" s="24">
        <f t="shared" si="145"/>
        <v>0</v>
      </c>
      <c r="AD395" s="24">
        <f t="shared" si="146"/>
        <v>0</v>
      </c>
      <c r="AE395" s="24">
        <f t="shared" si="147"/>
        <v>0</v>
      </c>
      <c r="AF395" s="119" t="str">
        <f>VLOOKUP(P395*1,Referencias!$G:$H,2,0)</f>
        <v>qui</v>
      </c>
      <c r="BA395" s="10"/>
      <c r="BF395"/>
      <c r="BG395"/>
      <c r="BS395" s="10"/>
    </row>
    <row r="396" spans="1:71" ht="14.4" x14ac:dyDescent="0.3">
      <c r="A396" s="83"/>
      <c r="B396" s="83"/>
      <c r="C396" s="83"/>
      <c r="D396" s="83"/>
      <c r="E396" s="83"/>
      <c r="F396" s="83"/>
      <c r="G396" s="83"/>
      <c r="H396" s="83"/>
      <c r="I396" s="83"/>
      <c r="N396" s="7" t="str">
        <f t="shared" si="148"/>
        <v>#LIL3UTNX6 </v>
      </c>
      <c r="O396" s="7">
        <f t="shared" si="140"/>
        <v>0</v>
      </c>
      <c r="P396" s="21">
        <f t="shared" si="149"/>
        <v>43244</v>
      </c>
      <c r="Q396" s="22">
        <f>VLOOKUP(R396,Referencias!$D$1:$E$13,2,0)</f>
        <v>5</v>
      </c>
      <c r="R396" s="7" t="str">
        <f t="shared" si="150"/>
        <v>MAI</v>
      </c>
      <c r="S396" s="7">
        <f t="shared" si="141"/>
        <v>0</v>
      </c>
      <c r="T396" s="11">
        <f t="shared" si="151"/>
        <v>24</v>
      </c>
      <c r="U396" s="11">
        <f t="shared" si="142"/>
        <v>0</v>
      </c>
      <c r="V396" s="11" t="e">
        <f>VLOOKUP(C396,Referencias!$A$2:$B$33,2,1)</f>
        <v>#N/A</v>
      </c>
      <c r="W396" s="23" t="str">
        <f t="shared" si="154"/>
        <v/>
      </c>
      <c r="X396" s="11">
        <f t="shared" si="143"/>
        <v>0</v>
      </c>
      <c r="Y396" s="11">
        <f t="shared" si="155"/>
        <v>0</v>
      </c>
      <c r="Z396" s="24">
        <f t="shared" si="152"/>
        <v>0</v>
      </c>
      <c r="AA396" s="25">
        <f t="shared" si="153"/>
        <v>0</v>
      </c>
      <c r="AB396" s="24">
        <f t="shared" si="144"/>
        <v>0</v>
      </c>
      <c r="AC396" s="24">
        <f t="shared" si="145"/>
        <v>0</v>
      </c>
      <c r="AD396" s="24">
        <f t="shared" si="146"/>
        <v>0</v>
      </c>
      <c r="AE396" s="24">
        <f t="shared" si="147"/>
        <v>0</v>
      </c>
      <c r="AF396" s="119" t="str">
        <f>VLOOKUP(P396*1,Referencias!$G:$H,2,0)</f>
        <v>qui</v>
      </c>
      <c r="BA396" s="10"/>
      <c r="BF396"/>
      <c r="BG396"/>
      <c r="BS396" s="10"/>
    </row>
    <row r="397" spans="1:71" ht="14.4" x14ac:dyDescent="0.3">
      <c r="A397" s="76"/>
      <c r="B397" s="76"/>
      <c r="C397" s="76"/>
      <c r="D397" s="76"/>
      <c r="E397" s="76"/>
      <c r="F397" s="76"/>
      <c r="G397" s="76"/>
      <c r="H397" s="76"/>
      <c r="I397" s="76"/>
      <c r="N397" s="7" t="str">
        <f t="shared" si="148"/>
        <v>#LIL3UTNX6 </v>
      </c>
      <c r="O397" s="7">
        <f t="shared" si="140"/>
        <v>0</v>
      </c>
      <c r="P397" s="21">
        <f t="shared" si="149"/>
        <v>43244</v>
      </c>
      <c r="Q397" s="22">
        <f>VLOOKUP(R397,Referencias!$D$1:$E$13,2,0)</f>
        <v>5</v>
      </c>
      <c r="R397" s="7" t="str">
        <f t="shared" si="150"/>
        <v>MAI</v>
      </c>
      <c r="S397" s="7">
        <f t="shared" si="141"/>
        <v>0</v>
      </c>
      <c r="T397" s="11">
        <f t="shared" si="151"/>
        <v>24</v>
      </c>
      <c r="U397" s="11">
        <f t="shared" si="142"/>
        <v>0</v>
      </c>
      <c r="V397" s="11" t="e">
        <f>VLOOKUP(C397,Referencias!$A$2:$B$33,2,1)</f>
        <v>#N/A</v>
      </c>
      <c r="W397" s="23" t="str">
        <f t="shared" si="154"/>
        <v/>
      </c>
      <c r="X397" s="11">
        <f t="shared" si="143"/>
        <v>0</v>
      </c>
      <c r="Y397" s="11">
        <f t="shared" si="155"/>
        <v>0</v>
      </c>
      <c r="Z397" s="24">
        <f t="shared" si="152"/>
        <v>0</v>
      </c>
      <c r="AA397" s="25">
        <f t="shared" si="153"/>
        <v>0</v>
      </c>
      <c r="AB397" s="24">
        <f t="shared" si="144"/>
        <v>0</v>
      </c>
      <c r="AC397" s="24">
        <f t="shared" si="145"/>
        <v>0</v>
      </c>
      <c r="AD397" s="24">
        <f t="shared" si="146"/>
        <v>0</v>
      </c>
      <c r="AE397" s="24">
        <f t="shared" si="147"/>
        <v>0</v>
      </c>
      <c r="AF397" s="119" t="str">
        <f>VLOOKUP(P397*1,Referencias!$G:$H,2,0)</f>
        <v>qui</v>
      </c>
      <c r="BA397" s="10"/>
      <c r="BF397"/>
      <c r="BG397"/>
      <c r="BS397" s="10"/>
    </row>
    <row r="398" spans="1:71" ht="14.4" x14ac:dyDescent="0.3">
      <c r="A398" s="77"/>
      <c r="B398" s="78" t="s">
        <v>174</v>
      </c>
      <c r="C398" s="79">
        <v>0.86111111111111116</v>
      </c>
      <c r="D398" s="80">
        <v>8.08</v>
      </c>
      <c r="E398" s="80" t="s">
        <v>55</v>
      </c>
      <c r="F398" s="81">
        <v>1.29</v>
      </c>
      <c r="G398" s="81">
        <v>5.61</v>
      </c>
      <c r="H398" s="82">
        <v>243.34</v>
      </c>
      <c r="I398" s="80"/>
      <c r="N398" s="7" t="str">
        <f t="shared" si="148"/>
        <v>#LILCAQXGQ </v>
      </c>
      <c r="O398" s="7" t="str">
        <f t="shared" si="140"/>
        <v>#LILCAQXGQ </v>
      </c>
      <c r="P398" s="21">
        <f t="shared" si="149"/>
        <v>43244</v>
      </c>
      <c r="Q398" s="22">
        <f>VLOOKUP(R398,Referencias!$D$1:$E$13,2,0)</f>
        <v>5</v>
      </c>
      <c r="R398" s="7" t="str">
        <f t="shared" si="150"/>
        <v>MAI</v>
      </c>
      <c r="S398" s="7">
        <f t="shared" si="141"/>
        <v>0</v>
      </c>
      <c r="T398" s="11">
        <f t="shared" si="151"/>
        <v>24</v>
      </c>
      <c r="U398" s="11">
        <f t="shared" si="142"/>
        <v>0</v>
      </c>
      <c r="V398" s="11" t="str">
        <f>VLOOKUP(C398,Referencias!$A$2:$B$33,2,1)</f>
        <v>20 - 21</v>
      </c>
      <c r="W398" s="23">
        <f t="shared" si="154"/>
        <v>3.125E-2</v>
      </c>
      <c r="X398" s="11">
        <f t="shared" si="143"/>
        <v>8.08</v>
      </c>
      <c r="Y398" s="11">
        <f t="shared" si="155"/>
        <v>14.268741076985027</v>
      </c>
      <c r="Z398" s="24">
        <f t="shared" si="152"/>
        <v>5.61</v>
      </c>
      <c r="AA398" s="25">
        <f t="shared" si="153"/>
        <v>7.48</v>
      </c>
      <c r="AB398" s="24">
        <f t="shared" si="144"/>
        <v>1</v>
      </c>
      <c r="AC398" s="24">
        <f t="shared" si="145"/>
        <v>3.6753814976017947</v>
      </c>
      <c r="AD398" s="24">
        <f t="shared" si="146"/>
        <v>4.4530028320198083</v>
      </c>
      <c r="AE398" s="24">
        <f t="shared" si="147"/>
        <v>5.2797198330318071</v>
      </c>
      <c r="AF398" s="119" t="str">
        <f>VLOOKUP(P398*1,Referencias!$G:$H,2,0)</f>
        <v>qui</v>
      </c>
      <c r="BA398" s="10"/>
      <c r="BF398"/>
      <c r="BG398"/>
      <c r="BS398" s="10"/>
    </row>
    <row r="399" spans="1:71" ht="14.4" x14ac:dyDescent="0.3">
      <c r="A399" s="77"/>
      <c r="B399" s="78"/>
      <c r="C399" s="79">
        <v>0.89236111111111116</v>
      </c>
      <c r="D399" s="80"/>
      <c r="E399" s="80"/>
      <c r="F399" s="80" t="s">
        <v>173</v>
      </c>
      <c r="G399" s="81"/>
      <c r="H399" s="82"/>
      <c r="I399" s="80"/>
      <c r="N399" s="7" t="str">
        <f t="shared" si="148"/>
        <v>#LILCAQXGQ </v>
      </c>
      <c r="O399" s="7">
        <f t="shared" si="140"/>
        <v>0</v>
      </c>
      <c r="P399" s="21">
        <f t="shared" si="149"/>
        <v>43244</v>
      </c>
      <c r="Q399" s="22">
        <f>VLOOKUP(R399,Referencias!$D$1:$E$13,2,0)</f>
        <v>5</v>
      </c>
      <c r="R399" s="7" t="str">
        <f t="shared" si="150"/>
        <v>MAI</v>
      </c>
      <c r="S399" s="7">
        <f t="shared" si="141"/>
        <v>0</v>
      </c>
      <c r="T399" s="11">
        <f t="shared" si="151"/>
        <v>24</v>
      </c>
      <c r="U399" s="11">
        <f t="shared" si="142"/>
        <v>0</v>
      </c>
      <c r="V399" s="11" t="str">
        <f>VLOOKUP(C399,Referencias!$A$2:$B$33,2,1)</f>
        <v>21 - 22</v>
      </c>
      <c r="W399" s="23" t="str">
        <f t="shared" si="154"/>
        <v/>
      </c>
      <c r="X399" s="11">
        <f t="shared" si="143"/>
        <v>0</v>
      </c>
      <c r="Y399" s="11">
        <f t="shared" si="155"/>
        <v>0</v>
      </c>
      <c r="Z399" s="24">
        <f t="shared" si="152"/>
        <v>0</v>
      </c>
      <c r="AA399" s="25">
        <f t="shared" si="153"/>
        <v>0</v>
      </c>
      <c r="AB399" s="24">
        <f t="shared" si="144"/>
        <v>0</v>
      </c>
      <c r="AC399" s="24">
        <f t="shared" si="145"/>
        <v>0</v>
      </c>
      <c r="AD399" s="24">
        <f t="shared" si="146"/>
        <v>0</v>
      </c>
      <c r="AE399" s="24">
        <f t="shared" si="147"/>
        <v>0</v>
      </c>
      <c r="AF399" s="119" t="str">
        <f>VLOOKUP(P399*1,Referencias!$G:$H,2,0)</f>
        <v>qui</v>
      </c>
      <c r="BA399" s="10"/>
      <c r="BF399"/>
      <c r="BG399"/>
      <c r="BS399" s="10"/>
    </row>
    <row r="400" spans="1:71" ht="14.4" x14ac:dyDescent="0.3">
      <c r="A400" s="83"/>
      <c r="B400" s="83"/>
      <c r="C400" s="83"/>
      <c r="D400" s="83"/>
      <c r="E400" s="83"/>
      <c r="F400" s="83"/>
      <c r="G400" s="83"/>
      <c r="H400" s="83"/>
      <c r="I400" s="83"/>
      <c r="N400" s="7" t="str">
        <f t="shared" si="148"/>
        <v>#LILCAQXGQ </v>
      </c>
      <c r="O400" s="7">
        <f t="shared" si="140"/>
        <v>0</v>
      </c>
      <c r="P400" s="21">
        <f t="shared" si="149"/>
        <v>43244</v>
      </c>
      <c r="Q400" s="22">
        <f>VLOOKUP(R400,Referencias!$D$1:$E$13,2,0)</f>
        <v>5</v>
      </c>
      <c r="R400" s="7" t="str">
        <f t="shared" si="150"/>
        <v>MAI</v>
      </c>
      <c r="S400" s="7">
        <f t="shared" si="141"/>
        <v>0</v>
      </c>
      <c r="T400" s="11">
        <f t="shared" si="151"/>
        <v>24</v>
      </c>
      <c r="U400" s="11">
        <f t="shared" si="142"/>
        <v>0</v>
      </c>
      <c r="V400" s="11" t="e">
        <f>VLOOKUP(C400,Referencias!$A$2:$B$33,2,1)</f>
        <v>#N/A</v>
      </c>
      <c r="W400" s="23" t="str">
        <f t="shared" si="154"/>
        <v/>
      </c>
      <c r="X400" s="11">
        <f t="shared" si="143"/>
        <v>0</v>
      </c>
      <c r="Y400" s="11">
        <f t="shared" si="155"/>
        <v>0</v>
      </c>
      <c r="Z400" s="24">
        <f t="shared" si="152"/>
        <v>0</v>
      </c>
      <c r="AA400" s="25">
        <f t="shared" si="153"/>
        <v>0</v>
      </c>
      <c r="AB400" s="24">
        <f t="shared" si="144"/>
        <v>0</v>
      </c>
      <c r="AC400" s="24">
        <f t="shared" si="145"/>
        <v>0</v>
      </c>
      <c r="AD400" s="24">
        <f t="shared" si="146"/>
        <v>0</v>
      </c>
      <c r="AE400" s="24">
        <f t="shared" si="147"/>
        <v>0</v>
      </c>
      <c r="AF400" s="119" t="str">
        <f>VLOOKUP(P400*1,Referencias!$G:$H,2,0)</f>
        <v>qui</v>
      </c>
      <c r="BA400" s="10"/>
      <c r="BF400"/>
      <c r="BG400"/>
      <c r="BS400" s="10"/>
    </row>
    <row r="401" spans="1:71" ht="14.4" x14ac:dyDescent="0.3">
      <c r="A401" s="76"/>
      <c r="B401" s="76"/>
      <c r="C401" s="76"/>
      <c r="D401" s="76"/>
      <c r="E401" s="76"/>
      <c r="F401" s="76"/>
      <c r="G401" s="76"/>
      <c r="H401" s="76"/>
      <c r="I401" s="76"/>
      <c r="N401" s="7" t="str">
        <f t="shared" si="148"/>
        <v>#LILCAQXGQ </v>
      </c>
      <c r="O401" s="7">
        <f t="shared" si="140"/>
        <v>0</v>
      </c>
      <c r="P401" s="21">
        <f t="shared" si="149"/>
        <v>43244</v>
      </c>
      <c r="Q401" s="22">
        <f>VLOOKUP(R401,Referencias!$D$1:$E$13,2,0)</f>
        <v>5</v>
      </c>
      <c r="R401" s="7" t="str">
        <f t="shared" si="150"/>
        <v>MAI</v>
      </c>
      <c r="S401" s="7">
        <f t="shared" si="141"/>
        <v>0</v>
      </c>
      <c r="T401" s="11">
        <f t="shared" si="151"/>
        <v>24</v>
      </c>
      <c r="U401" s="11">
        <f t="shared" si="142"/>
        <v>0</v>
      </c>
      <c r="V401" s="11" t="e">
        <f>VLOOKUP(C401,Referencias!$A$2:$B$33,2,1)</f>
        <v>#N/A</v>
      </c>
      <c r="W401" s="23" t="str">
        <f t="shared" si="154"/>
        <v/>
      </c>
      <c r="X401" s="11">
        <f t="shared" si="143"/>
        <v>0</v>
      </c>
      <c r="Y401" s="11">
        <f t="shared" si="155"/>
        <v>0</v>
      </c>
      <c r="Z401" s="24">
        <f t="shared" si="152"/>
        <v>0</v>
      </c>
      <c r="AA401" s="25">
        <f t="shared" si="153"/>
        <v>0</v>
      </c>
      <c r="AB401" s="24">
        <f t="shared" si="144"/>
        <v>0</v>
      </c>
      <c r="AC401" s="24">
        <f t="shared" si="145"/>
        <v>0</v>
      </c>
      <c r="AD401" s="24">
        <f t="shared" si="146"/>
        <v>0</v>
      </c>
      <c r="AE401" s="24">
        <f t="shared" si="147"/>
        <v>0</v>
      </c>
      <c r="AF401" s="119" t="str">
        <f>VLOOKUP(P401*1,Referencias!$G:$H,2,0)</f>
        <v>qui</v>
      </c>
      <c r="BA401" s="10"/>
      <c r="BF401"/>
      <c r="BG401"/>
      <c r="BS401" s="10"/>
    </row>
    <row r="402" spans="1:71" ht="14.4" x14ac:dyDescent="0.3">
      <c r="A402" s="77"/>
      <c r="B402" s="78" t="s">
        <v>175</v>
      </c>
      <c r="C402" s="79">
        <v>0.89236111111111116</v>
      </c>
      <c r="D402" s="80">
        <v>9.25</v>
      </c>
      <c r="E402" s="80" t="s">
        <v>36</v>
      </c>
      <c r="F402" s="81">
        <v>2.12</v>
      </c>
      <c r="G402" s="81">
        <v>6.85</v>
      </c>
      <c r="H402" s="82">
        <v>250.19</v>
      </c>
      <c r="I402" s="80"/>
      <c r="N402" s="7" t="str">
        <f t="shared" si="148"/>
        <v>#LIH8XYY1M </v>
      </c>
      <c r="O402" s="7" t="str">
        <f t="shared" si="140"/>
        <v>#LIH8XYY1M </v>
      </c>
      <c r="P402" s="21">
        <f t="shared" si="149"/>
        <v>43244</v>
      </c>
      <c r="Q402" s="22">
        <f>VLOOKUP(R402,Referencias!$D$1:$E$13,2,0)</f>
        <v>5</v>
      </c>
      <c r="R402" s="7" t="str">
        <f t="shared" si="150"/>
        <v>MAI</v>
      </c>
      <c r="S402" s="7">
        <f t="shared" si="141"/>
        <v>0</v>
      </c>
      <c r="T402" s="11">
        <f t="shared" si="151"/>
        <v>24</v>
      </c>
      <c r="U402" s="11">
        <f t="shared" si="142"/>
        <v>0</v>
      </c>
      <c r="V402" s="11" t="str">
        <f>VLOOKUP(C402,Referencias!$A$2:$B$33,2,1)</f>
        <v>21 - 22</v>
      </c>
      <c r="W402" s="23">
        <f t="shared" si="154"/>
        <v>2.2916666666666585E-2</v>
      </c>
      <c r="X402" s="11">
        <f t="shared" si="143"/>
        <v>9.25</v>
      </c>
      <c r="Y402" s="11">
        <f t="shared" si="155"/>
        <v>16.334883039865286</v>
      </c>
      <c r="Z402" s="24">
        <f t="shared" si="152"/>
        <v>6.85</v>
      </c>
      <c r="AA402" s="25">
        <f t="shared" si="153"/>
        <v>12.454545454545498</v>
      </c>
      <c r="AB402" s="24">
        <f t="shared" si="144"/>
        <v>1</v>
      </c>
      <c r="AC402" s="24">
        <f t="shared" si="145"/>
        <v>4.4877652867330289</v>
      </c>
      <c r="AD402" s="24">
        <f t="shared" si="146"/>
        <v>5.4372672726088567</v>
      </c>
      <c r="AE402" s="24">
        <f t="shared" si="147"/>
        <v>6.4467167301725263</v>
      </c>
      <c r="AF402" s="119" t="str">
        <f>VLOOKUP(P402*1,Referencias!$G:$H,2,0)</f>
        <v>qui</v>
      </c>
      <c r="BA402" s="10"/>
      <c r="BF402"/>
      <c r="BG402"/>
      <c r="BS402" s="10"/>
    </row>
    <row r="403" spans="1:71" ht="14.4" x14ac:dyDescent="0.3">
      <c r="A403" s="77"/>
      <c r="B403" s="78"/>
      <c r="C403" s="79">
        <v>0.91527777777777775</v>
      </c>
      <c r="D403" s="80"/>
      <c r="E403" s="80"/>
      <c r="F403" s="80" t="s">
        <v>176</v>
      </c>
      <c r="G403" s="81"/>
      <c r="H403" s="82"/>
      <c r="I403" s="80"/>
      <c r="N403" s="7" t="str">
        <f t="shared" si="148"/>
        <v>#LIH8XYY1M </v>
      </c>
      <c r="O403" s="7">
        <f t="shared" si="140"/>
        <v>0</v>
      </c>
      <c r="P403" s="21">
        <f t="shared" si="149"/>
        <v>43244</v>
      </c>
      <c r="Q403" s="22">
        <f>VLOOKUP(R403,Referencias!$D$1:$E$13,2,0)</f>
        <v>5</v>
      </c>
      <c r="R403" s="7" t="str">
        <f t="shared" si="150"/>
        <v>MAI</v>
      </c>
      <c r="S403" s="7">
        <f t="shared" si="141"/>
        <v>0</v>
      </c>
      <c r="T403" s="11">
        <f t="shared" si="151"/>
        <v>24</v>
      </c>
      <c r="U403" s="11">
        <f t="shared" si="142"/>
        <v>0</v>
      </c>
      <c r="V403" s="11" t="str">
        <f>VLOOKUP(C403,Referencias!$A$2:$B$33,2,1)</f>
        <v>21 - 22</v>
      </c>
      <c r="W403" s="23" t="str">
        <f t="shared" si="154"/>
        <v/>
      </c>
      <c r="X403" s="11">
        <f t="shared" si="143"/>
        <v>0</v>
      </c>
      <c r="Y403" s="11">
        <f t="shared" si="155"/>
        <v>0</v>
      </c>
      <c r="Z403" s="24">
        <f t="shared" si="152"/>
        <v>0</v>
      </c>
      <c r="AA403" s="25">
        <f t="shared" si="153"/>
        <v>0</v>
      </c>
      <c r="AB403" s="24">
        <f t="shared" si="144"/>
        <v>0</v>
      </c>
      <c r="AC403" s="24">
        <f t="shared" si="145"/>
        <v>0</v>
      </c>
      <c r="AD403" s="24">
        <f t="shared" si="146"/>
        <v>0</v>
      </c>
      <c r="AE403" s="24">
        <f t="shared" si="147"/>
        <v>0</v>
      </c>
      <c r="AF403" s="119" t="str">
        <f>VLOOKUP(P403*1,Referencias!$G:$H,2,0)</f>
        <v>qui</v>
      </c>
      <c r="BA403" s="10"/>
      <c r="BF403"/>
      <c r="BG403"/>
      <c r="BS403" s="10"/>
    </row>
    <row r="404" spans="1:71" ht="14.4" x14ac:dyDescent="0.3">
      <c r="A404" s="90" t="s">
        <v>41</v>
      </c>
      <c r="B404" s="90"/>
      <c r="C404" s="91">
        <v>0.89236111111111116</v>
      </c>
      <c r="D404" s="90"/>
      <c r="E404" s="90"/>
      <c r="F404" s="90"/>
      <c r="G404" s="92">
        <v>14.21</v>
      </c>
      <c r="H404" s="93">
        <v>264.39999999999998</v>
      </c>
      <c r="I404" s="90"/>
      <c r="N404" s="7" t="str">
        <f t="shared" si="148"/>
        <v>#LIH8XYY1M </v>
      </c>
      <c r="O404" s="7">
        <f t="shared" si="140"/>
        <v>0</v>
      </c>
      <c r="P404" s="21">
        <f t="shared" si="149"/>
        <v>43244</v>
      </c>
      <c r="Q404" s="22">
        <f>VLOOKUP(R404,Referencias!$D$1:$E$13,2,0)</f>
        <v>5</v>
      </c>
      <c r="R404" s="7" t="str">
        <f t="shared" si="150"/>
        <v>MAI</v>
      </c>
      <c r="S404" s="7">
        <f t="shared" si="141"/>
        <v>0</v>
      </c>
      <c r="T404" s="11">
        <f t="shared" si="151"/>
        <v>24</v>
      </c>
      <c r="U404" s="11">
        <f t="shared" si="142"/>
        <v>0</v>
      </c>
      <c r="V404" s="11" t="str">
        <f>VLOOKUP(C404,Referencias!$A$2:$B$33,2,1)</f>
        <v>21 - 22</v>
      </c>
      <c r="W404" s="23" t="str">
        <f t="shared" si="154"/>
        <v/>
      </c>
      <c r="X404" s="11">
        <f t="shared" si="143"/>
        <v>0</v>
      </c>
      <c r="Y404" s="11">
        <f t="shared" si="155"/>
        <v>0</v>
      </c>
      <c r="Z404" s="24">
        <f t="shared" si="152"/>
        <v>14.21</v>
      </c>
      <c r="AA404" s="25">
        <f t="shared" si="153"/>
        <v>0</v>
      </c>
      <c r="AB404" s="24">
        <f t="shared" si="144"/>
        <v>0</v>
      </c>
      <c r="AC404" s="24">
        <f t="shared" si="145"/>
        <v>9.3096561641571309</v>
      </c>
      <c r="AD404" s="24">
        <f t="shared" si="146"/>
        <v>11.279352984492242</v>
      </c>
      <c r="AE404" s="24">
        <f t="shared" si="147"/>
        <v>13.373407990620674</v>
      </c>
      <c r="AF404" s="119" t="str">
        <f>VLOOKUP(P404*1,Referencias!$G:$H,2,0)</f>
        <v>qui</v>
      </c>
      <c r="BA404" s="10"/>
      <c r="BF404"/>
      <c r="BG404"/>
      <c r="BS404" s="10"/>
    </row>
    <row r="405" spans="1:71" ht="15" thickBot="1" x14ac:dyDescent="0.35">
      <c r="A405" s="84"/>
      <c r="B405" s="84"/>
      <c r="C405" s="84"/>
      <c r="D405" s="84"/>
      <c r="E405" s="84"/>
      <c r="F405" s="84"/>
      <c r="G405" s="84"/>
      <c r="H405" s="84"/>
      <c r="I405" s="84"/>
      <c r="N405" s="7" t="str">
        <f t="shared" si="148"/>
        <v>#LIH8XYY1M </v>
      </c>
      <c r="O405" s="7">
        <f t="shared" si="140"/>
        <v>0</v>
      </c>
      <c r="P405" s="21">
        <f t="shared" si="149"/>
        <v>43244</v>
      </c>
      <c r="Q405" s="22">
        <f>VLOOKUP(R405,Referencias!$D$1:$E$13,2,0)</f>
        <v>5</v>
      </c>
      <c r="R405" s="7" t="str">
        <f t="shared" si="150"/>
        <v>MAI</v>
      </c>
      <c r="S405" s="7">
        <f t="shared" si="141"/>
        <v>0</v>
      </c>
      <c r="T405" s="11">
        <f t="shared" si="151"/>
        <v>24</v>
      </c>
      <c r="U405" s="11">
        <f t="shared" si="142"/>
        <v>0</v>
      </c>
      <c r="V405" s="11" t="e">
        <f>VLOOKUP(C405,Referencias!$A$2:$B$33,2,1)</f>
        <v>#N/A</v>
      </c>
      <c r="W405" s="23" t="str">
        <f t="shared" si="154"/>
        <v/>
      </c>
      <c r="X405" s="11">
        <f t="shared" si="143"/>
        <v>0</v>
      </c>
      <c r="Y405" s="11">
        <f t="shared" si="155"/>
        <v>0</v>
      </c>
      <c r="Z405" s="24">
        <f t="shared" si="152"/>
        <v>0</v>
      </c>
      <c r="AA405" s="25">
        <f t="shared" si="153"/>
        <v>0</v>
      </c>
      <c r="AB405" s="24">
        <f t="shared" si="144"/>
        <v>0</v>
      </c>
      <c r="AC405" s="24">
        <f t="shared" si="145"/>
        <v>0</v>
      </c>
      <c r="AD405" s="24">
        <f t="shared" si="146"/>
        <v>0</v>
      </c>
      <c r="AE405" s="24">
        <f t="shared" si="147"/>
        <v>0</v>
      </c>
      <c r="AF405" s="119" t="str">
        <f>VLOOKUP(P405*1,Referencias!$G:$H,2,0)</f>
        <v>qui</v>
      </c>
      <c r="BA405" s="10"/>
      <c r="BF405"/>
      <c r="BG405"/>
      <c r="BS405" s="10"/>
    </row>
    <row r="406" spans="1:71" ht="14.4" x14ac:dyDescent="0.3">
      <c r="A406" s="77">
        <v>25</v>
      </c>
      <c r="B406" s="85" t="s">
        <v>177</v>
      </c>
      <c r="C406" s="79">
        <v>0.54652777777777783</v>
      </c>
      <c r="D406" s="86">
        <v>12.97</v>
      </c>
      <c r="E406" s="86" t="s">
        <v>48</v>
      </c>
      <c r="F406" s="86"/>
      <c r="G406" s="87">
        <v>6.11</v>
      </c>
      <c r="H406" s="88">
        <v>270.51</v>
      </c>
      <c r="I406" s="86"/>
      <c r="N406" s="7" t="str">
        <f t="shared" si="148"/>
        <v>#LI4FE12HW </v>
      </c>
      <c r="O406" s="7" t="str">
        <f t="shared" si="140"/>
        <v>#LI4FE12HW </v>
      </c>
      <c r="P406" s="21">
        <f t="shared" si="149"/>
        <v>43245</v>
      </c>
      <c r="Q406" s="22">
        <f>VLOOKUP(R406,Referencias!$D$1:$E$13,2,0)</f>
        <v>5</v>
      </c>
      <c r="R406" s="7" t="str">
        <f t="shared" si="150"/>
        <v>MAI</v>
      </c>
      <c r="S406" s="7" t="str">
        <f t="shared" si="141"/>
        <v>MAI</v>
      </c>
      <c r="T406" s="11">
        <f t="shared" si="151"/>
        <v>25</v>
      </c>
      <c r="U406" s="11">
        <f t="shared" si="142"/>
        <v>25</v>
      </c>
      <c r="V406" s="11" t="str">
        <f>VLOOKUP(C406,Referencias!$A$2:$B$33,2,1)</f>
        <v>13 - 14</v>
      </c>
      <c r="W406" s="23">
        <f t="shared" si="154"/>
        <v>4.0277777777777746E-2</v>
      </c>
      <c r="X406" s="11">
        <f t="shared" si="143"/>
        <v>12.97</v>
      </c>
      <c r="Y406" s="11">
        <f t="shared" si="155"/>
        <v>22.904154921843539</v>
      </c>
      <c r="Z406" s="24">
        <f t="shared" si="152"/>
        <v>6.11</v>
      </c>
      <c r="AA406" s="25">
        <f t="shared" si="153"/>
        <v>6.3206896551724192</v>
      </c>
      <c r="AB406" s="24">
        <f t="shared" si="144"/>
        <v>1</v>
      </c>
      <c r="AC406" s="24">
        <f t="shared" si="145"/>
        <v>4.0029556061224536</v>
      </c>
      <c r="AD406" s="24">
        <f t="shared" si="146"/>
        <v>4.8498836548379733</v>
      </c>
      <c r="AE406" s="24">
        <f t="shared" si="147"/>
        <v>5.7502830980079036</v>
      </c>
      <c r="AF406" s="119" t="str">
        <f>VLOOKUP(P406*1,Referencias!$G:$H,2,0)</f>
        <v>sex</v>
      </c>
      <c r="BA406" s="10"/>
      <c r="BF406"/>
      <c r="BG406"/>
      <c r="BS406" s="10"/>
    </row>
    <row r="407" spans="1:71" ht="14.4" x14ac:dyDescent="0.3">
      <c r="A407" s="77" t="s">
        <v>19</v>
      </c>
      <c r="B407" s="78"/>
      <c r="C407" s="79">
        <v>0.58680555555555558</v>
      </c>
      <c r="D407" s="80"/>
      <c r="E407" s="80"/>
      <c r="F407" s="80"/>
      <c r="G407" s="81"/>
      <c r="H407" s="82"/>
      <c r="I407" s="80"/>
      <c r="N407" s="7" t="str">
        <f t="shared" si="148"/>
        <v>#LI4FE12HW </v>
      </c>
      <c r="O407" s="7">
        <f t="shared" si="140"/>
        <v>0</v>
      </c>
      <c r="P407" s="21">
        <f t="shared" si="149"/>
        <v>43245</v>
      </c>
      <c r="Q407" s="22">
        <f>VLOOKUP(R407,Referencias!$D$1:$E$13,2,0)</f>
        <v>5</v>
      </c>
      <c r="R407" s="7" t="str">
        <f t="shared" si="150"/>
        <v>MAI</v>
      </c>
      <c r="S407" s="7">
        <f t="shared" si="141"/>
        <v>0</v>
      </c>
      <c r="T407" s="11">
        <f t="shared" si="151"/>
        <v>25</v>
      </c>
      <c r="U407" s="11">
        <f t="shared" si="142"/>
        <v>0</v>
      </c>
      <c r="V407" s="11" t="str">
        <f>VLOOKUP(C407,Referencias!$A$2:$B$33,2,1)</f>
        <v>14 - 15</v>
      </c>
      <c r="W407" s="23" t="str">
        <f t="shared" si="154"/>
        <v/>
      </c>
      <c r="X407" s="11">
        <f t="shared" si="143"/>
        <v>0</v>
      </c>
      <c r="Y407" s="11">
        <f t="shared" si="155"/>
        <v>0</v>
      </c>
      <c r="Z407" s="24">
        <f t="shared" si="152"/>
        <v>0</v>
      </c>
      <c r="AA407" s="25">
        <f t="shared" si="153"/>
        <v>0</v>
      </c>
      <c r="AB407" s="24">
        <f t="shared" si="144"/>
        <v>0</v>
      </c>
      <c r="AC407" s="24">
        <f t="shared" si="145"/>
        <v>0</v>
      </c>
      <c r="AD407" s="24">
        <f t="shared" si="146"/>
        <v>0</v>
      </c>
      <c r="AE407" s="24">
        <f t="shared" si="147"/>
        <v>0</v>
      </c>
      <c r="AF407" s="119" t="str">
        <f>VLOOKUP(P407*1,Referencias!$G:$H,2,0)</f>
        <v>sex</v>
      </c>
      <c r="BA407" s="10"/>
      <c r="BF407"/>
      <c r="BG407"/>
      <c r="BS407" s="10"/>
    </row>
    <row r="408" spans="1:71" ht="14.4" x14ac:dyDescent="0.3">
      <c r="A408" s="83"/>
      <c r="B408" s="83"/>
      <c r="C408" s="83"/>
      <c r="D408" s="83"/>
      <c r="E408" s="83"/>
      <c r="F408" s="83"/>
      <c r="G408" s="83"/>
      <c r="H408" s="83"/>
      <c r="I408" s="83"/>
      <c r="N408" s="7" t="str">
        <f t="shared" si="148"/>
        <v>#LI4FE12HW </v>
      </c>
      <c r="O408" s="7">
        <f t="shared" si="140"/>
        <v>0</v>
      </c>
      <c r="P408" s="21">
        <f t="shared" si="149"/>
        <v>43245</v>
      </c>
      <c r="Q408" s="22">
        <f>VLOOKUP(R408,Referencias!$D$1:$E$13,2,0)</f>
        <v>5</v>
      </c>
      <c r="R408" s="7" t="str">
        <f t="shared" si="150"/>
        <v>MAI</v>
      </c>
      <c r="S408" s="7">
        <f t="shared" si="141"/>
        <v>0</v>
      </c>
      <c r="T408" s="11">
        <f t="shared" si="151"/>
        <v>25</v>
      </c>
      <c r="U408" s="11">
        <f t="shared" si="142"/>
        <v>0</v>
      </c>
      <c r="V408" s="11" t="e">
        <f>VLOOKUP(C408,Referencias!$A$2:$B$33,2,1)</f>
        <v>#N/A</v>
      </c>
      <c r="W408" s="23" t="str">
        <f t="shared" si="154"/>
        <v/>
      </c>
      <c r="X408" s="11">
        <f t="shared" si="143"/>
        <v>0</v>
      </c>
      <c r="Y408" s="11">
        <f t="shared" si="155"/>
        <v>0</v>
      </c>
      <c r="Z408" s="24">
        <f t="shared" si="152"/>
        <v>0</v>
      </c>
      <c r="AA408" s="25">
        <f t="shared" si="153"/>
        <v>0</v>
      </c>
      <c r="AB408" s="24">
        <f t="shared" si="144"/>
        <v>0</v>
      </c>
      <c r="AC408" s="24">
        <f t="shared" si="145"/>
        <v>0</v>
      </c>
      <c r="AD408" s="24">
        <f t="shared" si="146"/>
        <v>0</v>
      </c>
      <c r="AE408" s="24">
        <f t="shared" si="147"/>
        <v>0</v>
      </c>
      <c r="AF408" s="119" t="str">
        <f>VLOOKUP(P408*1,Referencias!$G:$H,2,0)</f>
        <v>sex</v>
      </c>
      <c r="BA408" s="10"/>
      <c r="BF408"/>
      <c r="BG408"/>
      <c r="BS408" s="10"/>
    </row>
    <row r="409" spans="1:71" ht="14.4" x14ac:dyDescent="0.3">
      <c r="A409" s="76"/>
      <c r="B409" s="76"/>
      <c r="C409" s="76"/>
      <c r="D409" s="76"/>
      <c r="E409" s="76"/>
      <c r="F409" s="76"/>
      <c r="G409" s="76"/>
      <c r="H409" s="76"/>
      <c r="I409" s="76"/>
      <c r="N409" s="7" t="str">
        <f t="shared" si="148"/>
        <v>#LI4FE12HW </v>
      </c>
      <c r="O409" s="7">
        <f t="shared" si="140"/>
        <v>0</v>
      </c>
      <c r="P409" s="21">
        <f t="shared" si="149"/>
        <v>43245</v>
      </c>
      <c r="Q409" s="22">
        <f>VLOOKUP(R409,Referencias!$D$1:$E$13,2,0)</f>
        <v>5</v>
      </c>
      <c r="R409" s="7" t="str">
        <f t="shared" si="150"/>
        <v>MAI</v>
      </c>
      <c r="S409" s="7">
        <f t="shared" si="141"/>
        <v>0</v>
      </c>
      <c r="T409" s="11">
        <f t="shared" si="151"/>
        <v>25</v>
      </c>
      <c r="U409" s="11">
        <f t="shared" si="142"/>
        <v>0</v>
      </c>
      <c r="V409" s="11" t="e">
        <f>VLOOKUP(C409,Referencias!$A$2:$B$33,2,1)</f>
        <v>#N/A</v>
      </c>
      <c r="W409" s="23" t="str">
        <f t="shared" si="154"/>
        <v/>
      </c>
      <c r="X409" s="11">
        <f t="shared" si="143"/>
        <v>0</v>
      </c>
      <c r="Y409" s="11">
        <f t="shared" si="155"/>
        <v>0</v>
      </c>
      <c r="Z409" s="24">
        <f t="shared" si="152"/>
        <v>0</v>
      </c>
      <c r="AA409" s="25">
        <f t="shared" si="153"/>
        <v>0</v>
      </c>
      <c r="AB409" s="24">
        <f t="shared" si="144"/>
        <v>0</v>
      </c>
      <c r="AC409" s="24">
        <f t="shared" si="145"/>
        <v>0</v>
      </c>
      <c r="AD409" s="24">
        <f t="shared" si="146"/>
        <v>0</v>
      </c>
      <c r="AE409" s="24">
        <f t="shared" si="147"/>
        <v>0</v>
      </c>
      <c r="AF409" s="119" t="str">
        <f>VLOOKUP(P409*1,Referencias!$G:$H,2,0)</f>
        <v>sex</v>
      </c>
      <c r="BA409" s="10"/>
      <c r="BF409"/>
      <c r="BG409"/>
      <c r="BS409" s="10"/>
    </row>
    <row r="410" spans="1:71" ht="14.4" x14ac:dyDescent="0.3">
      <c r="A410" s="77"/>
      <c r="B410" s="78" t="s">
        <v>178</v>
      </c>
      <c r="C410" s="79">
        <v>0.80069444444444438</v>
      </c>
      <c r="D410" s="80">
        <v>10.66</v>
      </c>
      <c r="E410" s="80" t="s">
        <v>29</v>
      </c>
      <c r="F410" s="80"/>
      <c r="G410" s="81">
        <v>5.22</v>
      </c>
      <c r="H410" s="82">
        <v>275.73</v>
      </c>
      <c r="I410" s="80"/>
      <c r="N410" s="7" t="str">
        <f t="shared" si="148"/>
        <v>#LIWYECNVF </v>
      </c>
      <c r="O410" s="7" t="str">
        <f t="shared" si="140"/>
        <v>#LIWYECNVF </v>
      </c>
      <c r="P410" s="21">
        <f t="shared" si="149"/>
        <v>43245</v>
      </c>
      <c r="Q410" s="22">
        <f>VLOOKUP(R410,Referencias!$D$1:$E$13,2,0)</f>
        <v>5</v>
      </c>
      <c r="R410" s="7" t="str">
        <f t="shared" si="150"/>
        <v>MAI</v>
      </c>
      <c r="S410" s="7">
        <f t="shared" si="141"/>
        <v>0</v>
      </c>
      <c r="T410" s="11">
        <f t="shared" si="151"/>
        <v>25</v>
      </c>
      <c r="U410" s="11">
        <f t="shared" si="142"/>
        <v>0</v>
      </c>
      <c r="V410" s="11" t="str">
        <f>VLOOKUP(C410,Referencias!$A$2:$B$33,2,1)</f>
        <v>19 - 20</v>
      </c>
      <c r="W410" s="23">
        <f t="shared" si="154"/>
        <v>3.6111111111111094E-2</v>
      </c>
      <c r="X410" s="11">
        <f t="shared" si="143"/>
        <v>10.66</v>
      </c>
      <c r="Y410" s="11">
        <f t="shared" si="155"/>
        <v>18.824848995131237</v>
      </c>
      <c r="Z410" s="24">
        <f t="shared" si="152"/>
        <v>5.22</v>
      </c>
      <c r="AA410" s="25">
        <f t="shared" si="153"/>
        <v>6.0230769230769257</v>
      </c>
      <c r="AB410" s="24">
        <f t="shared" si="144"/>
        <v>1</v>
      </c>
      <c r="AC410" s="24">
        <f t="shared" si="145"/>
        <v>3.4198736929556803</v>
      </c>
      <c r="AD410" s="24">
        <f t="shared" si="146"/>
        <v>4.1434357902216394</v>
      </c>
      <c r="AE410" s="24">
        <f t="shared" si="147"/>
        <v>4.9126804863504505</v>
      </c>
      <c r="AF410" s="119" t="str">
        <f>VLOOKUP(P410*1,Referencias!$G:$H,2,0)</f>
        <v>sex</v>
      </c>
      <c r="BA410" s="10"/>
      <c r="BF410"/>
      <c r="BG410"/>
      <c r="BS410" s="10"/>
    </row>
    <row r="411" spans="1:71" ht="14.4" x14ac:dyDescent="0.3">
      <c r="A411" s="77"/>
      <c r="B411" s="78"/>
      <c r="C411" s="79">
        <v>0.83680555555555547</v>
      </c>
      <c r="D411" s="80"/>
      <c r="E411" s="80"/>
      <c r="F411" s="80"/>
      <c r="G411" s="81"/>
      <c r="H411" s="82"/>
      <c r="I411" s="80"/>
      <c r="N411" s="7" t="str">
        <f t="shared" si="148"/>
        <v>#LIWYECNVF </v>
      </c>
      <c r="O411" s="7">
        <f t="shared" si="140"/>
        <v>0</v>
      </c>
      <c r="P411" s="21">
        <f t="shared" si="149"/>
        <v>43245</v>
      </c>
      <c r="Q411" s="22">
        <f>VLOOKUP(R411,Referencias!$D$1:$E$13,2,0)</f>
        <v>5</v>
      </c>
      <c r="R411" s="7" t="str">
        <f t="shared" si="150"/>
        <v>MAI</v>
      </c>
      <c r="S411" s="7">
        <f t="shared" si="141"/>
        <v>0</v>
      </c>
      <c r="T411" s="11">
        <f t="shared" si="151"/>
        <v>25</v>
      </c>
      <c r="U411" s="11">
        <f t="shared" si="142"/>
        <v>0</v>
      </c>
      <c r="V411" s="11" t="str">
        <f>VLOOKUP(C411,Referencias!$A$2:$B$33,2,1)</f>
        <v>20 - 21</v>
      </c>
      <c r="W411" s="23" t="str">
        <f t="shared" si="154"/>
        <v/>
      </c>
      <c r="X411" s="11">
        <f t="shared" si="143"/>
        <v>0</v>
      </c>
      <c r="Y411" s="11">
        <f t="shared" si="155"/>
        <v>0</v>
      </c>
      <c r="Z411" s="24">
        <f t="shared" si="152"/>
        <v>0</v>
      </c>
      <c r="AA411" s="25">
        <f t="shared" si="153"/>
        <v>0</v>
      </c>
      <c r="AB411" s="24">
        <f t="shared" si="144"/>
        <v>0</v>
      </c>
      <c r="AC411" s="24">
        <f t="shared" si="145"/>
        <v>0</v>
      </c>
      <c r="AD411" s="24">
        <f t="shared" si="146"/>
        <v>0</v>
      </c>
      <c r="AE411" s="24">
        <f t="shared" si="147"/>
        <v>0</v>
      </c>
      <c r="AF411" s="119" t="str">
        <f>VLOOKUP(P411*1,Referencias!$G:$H,2,0)</f>
        <v>sex</v>
      </c>
      <c r="BA411" s="10"/>
      <c r="BF411"/>
      <c r="BG411"/>
      <c r="BS411" s="10"/>
    </row>
    <row r="412" spans="1:71" ht="14.4" x14ac:dyDescent="0.3">
      <c r="A412" s="83"/>
      <c r="B412" s="83"/>
      <c r="C412" s="83"/>
      <c r="D412" s="83"/>
      <c r="E412" s="83"/>
      <c r="F412" s="83"/>
      <c r="G412" s="83"/>
      <c r="H412" s="83"/>
      <c r="I412" s="83"/>
      <c r="N412" s="7" t="str">
        <f t="shared" si="148"/>
        <v>#LIWYECNVF </v>
      </c>
      <c r="O412" s="7">
        <f t="shared" si="140"/>
        <v>0</v>
      </c>
      <c r="P412" s="21">
        <f t="shared" si="149"/>
        <v>43245</v>
      </c>
      <c r="Q412" s="22">
        <f>VLOOKUP(R412,Referencias!$D$1:$E$13,2,0)</f>
        <v>5</v>
      </c>
      <c r="R412" s="7" t="str">
        <f t="shared" si="150"/>
        <v>MAI</v>
      </c>
      <c r="S412" s="7">
        <f t="shared" si="141"/>
        <v>0</v>
      </c>
      <c r="T412" s="11">
        <f t="shared" ref="T412:T424" si="156">IF(U412&lt;&gt;0,U412,T411)</f>
        <v>25</v>
      </c>
      <c r="U412" s="11">
        <f t="shared" si="142"/>
        <v>0</v>
      </c>
      <c r="V412" s="11" t="e">
        <f>VLOOKUP(C412,Referencias!$A$2:$B$33,2,1)</f>
        <v>#N/A</v>
      </c>
      <c r="W412" s="23" t="str">
        <f t="shared" si="154"/>
        <v/>
      </c>
      <c r="X412" s="11">
        <f t="shared" si="143"/>
        <v>0</v>
      </c>
      <c r="Y412" s="11">
        <f t="shared" ref="Y412:Y424" si="157">X412*$AK$2</f>
        <v>0</v>
      </c>
      <c r="Z412" s="24">
        <f t="shared" si="152"/>
        <v>0</v>
      </c>
      <c r="AA412" s="25">
        <f t="shared" si="153"/>
        <v>0</v>
      </c>
      <c r="AB412" s="24">
        <f t="shared" si="144"/>
        <v>0</v>
      </c>
      <c r="AC412" s="24">
        <f t="shared" si="145"/>
        <v>0</v>
      </c>
      <c r="AD412" s="24">
        <f t="shared" si="146"/>
        <v>0</v>
      </c>
      <c r="AE412" s="24">
        <f t="shared" si="147"/>
        <v>0</v>
      </c>
      <c r="AF412" s="119" t="str">
        <f>VLOOKUP(P412*1,Referencias!$G:$H,2,0)</f>
        <v>sex</v>
      </c>
      <c r="BA412" s="10"/>
      <c r="BF412"/>
      <c r="BG412"/>
      <c r="BS412" s="10"/>
    </row>
    <row r="413" spans="1:71" ht="14.4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N413" s="7" t="str">
        <f t="shared" si="148"/>
        <v>#LIWYECNVF </v>
      </c>
      <c r="O413" s="7">
        <f t="shared" si="140"/>
        <v>0</v>
      </c>
      <c r="P413" s="21">
        <f t="shared" si="149"/>
        <v>43245</v>
      </c>
      <c r="Q413" s="22">
        <f>VLOOKUP(R413,Referencias!$D$1:$E$13,2,0)</f>
        <v>5</v>
      </c>
      <c r="R413" s="7" t="str">
        <f t="shared" si="150"/>
        <v>MAI</v>
      </c>
      <c r="S413" s="7">
        <f t="shared" si="141"/>
        <v>0</v>
      </c>
      <c r="T413" s="11">
        <f t="shared" si="156"/>
        <v>25</v>
      </c>
      <c r="U413" s="11">
        <f t="shared" si="142"/>
        <v>0</v>
      </c>
      <c r="V413" s="11" t="e">
        <f>VLOOKUP(C413,Referencias!$A$2:$B$33,2,1)</f>
        <v>#N/A</v>
      </c>
      <c r="W413" s="23" t="str">
        <f t="shared" si="154"/>
        <v/>
      </c>
      <c r="X413" s="11">
        <f t="shared" si="143"/>
        <v>0</v>
      </c>
      <c r="Y413" s="11">
        <f t="shared" si="157"/>
        <v>0</v>
      </c>
      <c r="Z413" s="24">
        <f t="shared" si="152"/>
        <v>0</v>
      </c>
      <c r="AA413" s="25">
        <f t="shared" si="153"/>
        <v>0</v>
      </c>
      <c r="AB413" s="24">
        <f t="shared" si="144"/>
        <v>0</v>
      </c>
      <c r="AC413" s="24">
        <f t="shared" si="145"/>
        <v>0</v>
      </c>
      <c r="AD413" s="24">
        <f t="shared" si="146"/>
        <v>0</v>
      </c>
      <c r="AE413" s="24">
        <f t="shared" si="147"/>
        <v>0</v>
      </c>
      <c r="AF413" s="119" t="str">
        <f>VLOOKUP(P413*1,Referencias!$G:$H,2,0)</f>
        <v>sex</v>
      </c>
      <c r="BA413" s="10"/>
      <c r="BF413"/>
      <c r="BG413"/>
      <c r="BS413" s="10"/>
    </row>
    <row r="414" spans="1:71" ht="14.4" x14ac:dyDescent="0.3">
      <c r="A414" s="77"/>
      <c r="B414" s="78" t="s">
        <v>179</v>
      </c>
      <c r="C414" s="79">
        <v>0.8520833333333333</v>
      </c>
      <c r="D414" s="80">
        <v>6.32</v>
      </c>
      <c r="E414" s="80" t="s">
        <v>44</v>
      </c>
      <c r="F414" s="80"/>
      <c r="G414" s="81">
        <v>3.71</v>
      </c>
      <c r="H414" s="82">
        <v>279.44</v>
      </c>
      <c r="I414" s="80"/>
      <c r="N414" s="7" t="str">
        <f t="shared" si="148"/>
        <v>#LIAMY9A3G </v>
      </c>
      <c r="O414" s="7" t="str">
        <f t="shared" si="140"/>
        <v>#LIAMY9A3G </v>
      </c>
      <c r="P414" s="21">
        <f t="shared" si="149"/>
        <v>43245</v>
      </c>
      <c r="Q414" s="22">
        <f>VLOOKUP(R414,Referencias!$D$1:$E$13,2,0)</f>
        <v>5</v>
      </c>
      <c r="R414" s="7" t="str">
        <f t="shared" si="150"/>
        <v>MAI</v>
      </c>
      <c r="S414" s="7">
        <f t="shared" si="141"/>
        <v>0</v>
      </c>
      <c r="T414" s="11">
        <f t="shared" si="156"/>
        <v>25</v>
      </c>
      <c r="U414" s="11">
        <f t="shared" si="142"/>
        <v>0</v>
      </c>
      <c r="V414" s="11" t="str">
        <f>VLOOKUP(C414,Referencias!$A$2:$B$33,2,1)</f>
        <v>20 - 21</v>
      </c>
      <c r="W414" s="23">
        <f t="shared" si="154"/>
        <v>2.0138888888888928E-2</v>
      </c>
      <c r="X414" s="11">
        <f t="shared" si="143"/>
        <v>6.32</v>
      </c>
      <c r="Y414" s="11">
        <f t="shared" si="157"/>
        <v>11.160698466156605</v>
      </c>
      <c r="Z414" s="24">
        <f t="shared" si="152"/>
        <v>3.71</v>
      </c>
      <c r="AA414" s="25">
        <f t="shared" si="153"/>
        <v>7.6758620689655022</v>
      </c>
      <c r="AB414" s="24">
        <f t="shared" si="144"/>
        <v>1</v>
      </c>
      <c r="AC414" s="24">
        <f t="shared" si="145"/>
        <v>2.4305998852232902</v>
      </c>
      <c r="AD414" s="24">
        <f t="shared" si="146"/>
        <v>2.9448557053107822</v>
      </c>
      <c r="AE414" s="24">
        <f t="shared" si="147"/>
        <v>3.4915794261226387</v>
      </c>
      <c r="AF414" s="119" t="str">
        <f>VLOOKUP(P414*1,Referencias!$G:$H,2,0)</f>
        <v>sex</v>
      </c>
      <c r="BA414" s="10"/>
      <c r="BF414"/>
      <c r="BG414"/>
      <c r="BS414" s="10"/>
    </row>
    <row r="415" spans="1:71" ht="14.4" x14ac:dyDescent="0.3">
      <c r="A415" s="77"/>
      <c r="B415" s="78"/>
      <c r="C415" s="79">
        <v>0.87222222222222223</v>
      </c>
      <c r="D415" s="80"/>
      <c r="E415" s="80"/>
      <c r="F415" s="80"/>
      <c r="G415" s="81"/>
      <c r="H415" s="82"/>
      <c r="I415" s="80"/>
      <c r="N415" s="7" t="str">
        <f t="shared" si="148"/>
        <v>#LIAMY9A3G </v>
      </c>
      <c r="O415" s="7">
        <f t="shared" si="140"/>
        <v>0</v>
      </c>
      <c r="P415" s="21">
        <f t="shared" si="149"/>
        <v>43245</v>
      </c>
      <c r="Q415" s="22">
        <f>VLOOKUP(R415,Referencias!$D$1:$E$13,2,0)</f>
        <v>5</v>
      </c>
      <c r="R415" s="7" t="str">
        <f t="shared" si="150"/>
        <v>MAI</v>
      </c>
      <c r="S415" s="7">
        <f t="shared" si="141"/>
        <v>0</v>
      </c>
      <c r="T415" s="11">
        <f t="shared" si="156"/>
        <v>25</v>
      </c>
      <c r="U415" s="11">
        <f t="shared" si="142"/>
        <v>0</v>
      </c>
      <c r="V415" s="11" t="str">
        <f>VLOOKUP(C415,Referencias!$A$2:$B$33,2,1)</f>
        <v>20 - 21</v>
      </c>
      <c r="W415" s="23" t="str">
        <f t="shared" si="154"/>
        <v/>
      </c>
      <c r="X415" s="11">
        <f t="shared" si="143"/>
        <v>0</v>
      </c>
      <c r="Y415" s="11">
        <f t="shared" si="157"/>
        <v>0</v>
      </c>
      <c r="Z415" s="24">
        <f t="shared" si="152"/>
        <v>0</v>
      </c>
      <c r="AA415" s="25">
        <f t="shared" si="153"/>
        <v>0</v>
      </c>
      <c r="AB415" s="24">
        <f t="shared" si="144"/>
        <v>0</v>
      </c>
      <c r="AC415" s="24">
        <f t="shared" si="145"/>
        <v>0</v>
      </c>
      <c r="AD415" s="24">
        <f t="shared" si="146"/>
        <v>0</v>
      </c>
      <c r="AE415" s="24">
        <f t="shared" si="147"/>
        <v>0</v>
      </c>
      <c r="AF415" s="119" t="str">
        <f>VLOOKUP(P415*1,Referencias!$G:$H,2,0)</f>
        <v>sex</v>
      </c>
      <c r="BA415" s="10"/>
      <c r="BF415"/>
      <c r="BG415"/>
      <c r="BS415" s="10"/>
    </row>
    <row r="416" spans="1:71" ht="14.4" x14ac:dyDescent="0.3">
      <c r="A416" s="83"/>
      <c r="B416" s="83"/>
      <c r="C416" s="83"/>
      <c r="D416" s="83"/>
      <c r="E416" s="83"/>
      <c r="F416" s="83"/>
      <c r="G416" s="83"/>
      <c r="H416" s="83"/>
      <c r="I416" s="83"/>
      <c r="N416" s="7" t="str">
        <f t="shared" si="148"/>
        <v>#LIAMY9A3G </v>
      </c>
      <c r="O416" s="7">
        <f t="shared" si="140"/>
        <v>0</v>
      </c>
      <c r="P416" s="21">
        <f t="shared" si="149"/>
        <v>43245</v>
      </c>
      <c r="Q416" s="22">
        <f>VLOOKUP(R416,Referencias!$D$1:$E$13,2,0)</f>
        <v>5</v>
      </c>
      <c r="R416" s="7" t="str">
        <f t="shared" si="150"/>
        <v>MAI</v>
      </c>
      <c r="S416" s="7">
        <f t="shared" si="141"/>
        <v>0</v>
      </c>
      <c r="T416" s="11">
        <f t="shared" si="156"/>
        <v>25</v>
      </c>
      <c r="U416" s="11">
        <f t="shared" si="142"/>
        <v>0</v>
      </c>
      <c r="V416" s="11" t="e">
        <f>VLOOKUP(C416,Referencias!$A$2:$B$33,2,1)</f>
        <v>#N/A</v>
      </c>
      <c r="W416" s="23" t="str">
        <f t="shared" si="154"/>
        <v/>
      </c>
      <c r="X416" s="11">
        <f t="shared" si="143"/>
        <v>0</v>
      </c>
      <c r="Y416" s="11">
        <f t="shared" si="157"/>
        <v>0</v>
      </c>
      <c r="Z416" s="24">
        <f t="shared" si="152"/>
        <v>0</v>
      </c>
      <c r="AA416" s="25">
        <f t="shared" si="153"/>
        <v>0</v>
      </c>
      <c r="AB416" s="24">
        <f t="shared" si="144"/>
        <v>0</v>
      </c>
      <c r="AC416" s="24">
        <f t="shared" si="145"/>
        <v>0</v>
      </c>
      <c r="AD416" s="24">
        <f t="shared" si="146"/>
        <v>0</v>
      </c>
      <c r="AE416" s="24">
        <f t="shared" si="147"/>
        <v>0</v>
      </c>
      <c r="AF416" s="119" t="str">
        <f>VLOOKUP(P416*1,Referencias!$G:$H,2,0)</f>
        <v>sex</v>
      </c>
      <c r="BA416" s="10"/>
      <c r="BF416"/>
      <c r="BG416"/>
      <c r="BS416" s="10"/>
    </row>
    <row r="417" spans="1:71" ht="14.4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N417" s="7" t="str">
        <f t="shared" si="148"/>
        <v>#LIAMY9A3G </v>
      </c>
      <c r="O417" s="7">
        <f t="shared" si="140"/>
        <v>0</v>
      </c>
      <c r="P417" s="21">
        <f t="shared" si="149"/>
        <v>43245</v>
      </c>
      <c r="Q417" s="22">
        <f>VLOOKUP(R417,Referencias!$D$1:$E$13,2,0)</f>
        <v>5</v>
      </c>
      <c r="R417" s="7" t="str">
        <f t="shared" si="150"/>
        <v>MAI</v>
      </c>
      <c r="S417" s="7">
        <f t="shared" si="141"/>
        <v>0</v>
      </c>
      <c r="T417" s="11">
        <f t="shared" si="156"/>
        <v>25</v>
      </c>
      <c r="U417" s="11">
        <f t="shared" si="142"/>
        <v>0</v>
      </c>
      <c r="V417" s="11" t="e">
        <f>VLOOKUP(C417,Referencias!$A$2:$B$33,2,1)</f>
        <v>#N/A</v>
      </c>
      <c r="W417" s="23" t="str">
        <f t="shared" si="154"/>
        <v/>
      </c>
      <c r="X417" s="11">
        <f t="shared" si="143"/>
        <v>0</v>
      </c>
      <c r="Y417" s="11">
        <f t="shared" si="157"/>
        <v>0</v>
      </c>
      <c r="Z417" s="24">
        <f t="shared" si="152"/>
        <v>0</v>
      </c>
      <c r="AA417" s="25">
        <f t="shared" si="153"/>
        <v>0</v>
      </c>
      <c r="AB417" s="24">
        <f t="shared" si="144"/>
        <v>0</v>
      </c>
      <c r="AC417" s="24">
        <f t="shared" si="145"/>
        <v>0</v>
      </c>
      <c r="AD417" s="24">
        <f t="shared" si="146"/>
        <v>0</v>
      </c>
      <c r="AE417" s="24">
        <f t="shared" si="147"/>
        <v>0</v>
      </c>
      <c r="AF417" s="119" t="str">
        <f>VLOOKUP(P417*1,Referencias!$G:$H,2,0)</f>
        <v>sex</v>
      </c>
      <c r="BA417" s="10"/>
      <c r="BF417"/>
      <c r="BG417"/>
      <c r="BS417" s="10"/>
    </row>
    <row r="418" spans="1:71" ht="14.4" x14ac:dyDescent="0.3">
      <c r="A418" s="77"/>
      <c r="B418" s="78" t="s">
        <v>180</v>
      </c>
      <c r="C418" s="79">
        <v>0.88194444444444453</v>
      </c>
      <c r="D418" s="80">
        <v>7.65</v>
      </c>
      <c r="E418" s="80" t="s">
        <v>77</v>
      </c>
      <c r="F418" s="80"/>
      <c r="G418" s="81">
        <v>4.83</v>
      </c>
      <c r="H418" s="82">
        <v>284.27</v>
      </c>
      <c r="I418" s="80"/>
      <c r="N418" s="7" t="str">
        <f t="shared" si="148"/>
        <v>#LIKV7EF39 </v>
      </c>
      <c r="O418" s="7" t="str">
        <f t="shared" si="140"/>
        <v>#LIKV7EF39 </v>
      </c>
      <c r="P418" s="21">
        <f t="shared" si="149"/>
        <v>43245</v>
      </c>
      <c r="Q418" s="22">
        <f>VLOOKUP(R418,Referencias!$D$1:$E$13,2,0)</f>
        <v>5</v>
      </c>
      <c r="R418" s="7" t="str">
        <f t="shared" si="150"/>
        <v>MAI</v>
      </c>
      <c r="S418" s="7">
        <f t="shared" si="141"/>
        <v>0</v>
      </c>
      <c r="T418" s="11">
        <f t="shared" si="156"/>
        <v>25</v>
      </c>
      <c r="U418" s="11">
        <f t="shared" si="142"/>
        <v>0</v>
      </c>
      <c r="V418" s="11" t="str">
        <f>VLOOKUP(C418,Referencias!$A$2:$B$33,2,1)</f>
        <v>21 - 22</v>
      </c>
      <c r="W418" s="23">
        <f t="shared" si="154"/>
        <v>1.9444444444444375E-2</v>
      </c>
      <c r="X418" s="11">
        <f t="shared" si="143"/>
        <v>7.65</v>
      </c>
      <c r="Y418" s="11">
        <f t="shared" si="157"/>
        <v>13.509389757293992</v>
      </c>
      <c r="Z418" s="24">
        <f t="shared" si="152"/>
        <v>4.83</v>
      </c>
      <c r="AA418" s="25">
        <f t="shared" si="153"/>
        <v>10.350000000000037</v>
      </c>
      <c r="AB418" s="24">
        <f t="shared" si="144"/>
        <v>1</v>
      </c>
      <c r="AC418" s="24">
        <f t="shared" si="145"/>
        <v>3.1643658883095664</v>
      </c>
      <c r="AD418" s="24">
        <f t="shared" si="146"/>
        <v>3.8338687484234715</v>
      </c>
      <c r="AE418" s="24">
        <f t="shared" si="147"/>
        <v>4.5456411396690957</v>
      </c>
      <c r="AF418" s="119" t="str">
        <f>VLOOKUP(P418*1,Referencias!$G:$H,2,0)</f>
        <v>sex</v>
      </c>
      <c r="BA418" s="10"/>
      <c r="BF418"/>
      <c r="BG418"/>
      <c r="BS418" s="10"/>
    </row>
    <row r="419" spans="1:71" ht="14.4" x14ac:dyDescent="0.3">
      <c r="A419" s="77"/>
      <c r="B419" s="78"/>
      <c r="C419" s="79">
        <v>0.90138888888888891</v>
      </c>
      <c r="D419" s="80"/>
      <c r="E419" s="80"/>
      <c r="F419" s="80"/>
      <c r="G419" s="81"/>
      <c r="H419" s="82"/>
      <c r="I419" s="80"/>
      <c r="N419" s="7" t="str">
        <f t="shared" si="148"/>
        <v>#LIKV7EF39 </v>
      </c>
      <c r="O419" s="7">
        <f t="shared" si="140"/>
        <v>0</v>
      </c>
      <c r="P419" s="21">
        <f t="shared" si="149"/>
        <v>43245</v>
      </c>
      <c r="Q419" s="22">
        <f>VLOOKUP(R419,Referencias!$D$1:$E$13,2,0)</f>
        <v>5</v>
      </c>
      <c r="R419" s="7" t="str">
        <f t="shared" si="150"/>
        <v>MAI</v>
      </c>
      <c r="S419" s="7">
        <f t="shared" si="141"/>
        <v>0</v>
      </c>
      <c r="T419" s="11">
        <f t="shared" si="156"/>
        <v>25</v>
      </c>
      <c r="U419" s="11">
        <f t="shared" si="142"/>
        <v>0</v>
      </c>
      <c r="V419" s="11" t="str">
        <f>VLOOKUP(C419,Referencias!$A$2:$B$33,2,1)</f>
        <v>21 - 22</v>
      </c>
      <c r="W419" s="23" t="str">
        <f t="shared" si="154"/>
        <v/>
      </c>
      <c r="X419" s="11">
        <f t="shared" si="143"/>
        <v>0</v>
      </c>
      <c r="Y419" s="11">
        <f t="shared" si="157"/>
        <v>0</v>
      </c>
      <c r="Z419" s="24">
        <f t="shared" si="152"/>
        <v>0</v>
      </c>
      <c r="AA419" s="25">
        <f t="shared" si="153"/>
        <v>0</v>
      </c>
      <c r="AB419" s="24">
        <f t="shared" si="144"/>
        <v>0</v>
      </c>
      <c r="AC419" s="24">
        <f t="shared" si="145"/>
        <v>0</v>
      </c>
      <c r="AD419" s="24">
        <f t="shared" si="146"/>
        <v>0</v>
      </c>
      <c r="AE419" s="24">
        <f t="shared" si="147"/>
        <v>0</v>
      </c>
      <c r="AF419" s="119" t="str">
        <f>VLOOKUP(P419*1,Referencias!$G:$H,2,0)</f>
        <v>sex</v>
      </c>
      <c r="BA419" s="10"/>
      <c r="BF419"/>
      <c r="BG419"/>
      <c r="BS419" s="10"/>
    </row>
    <row r="420" spans="1:71" ht="14.4" x14ac:dyDescent="0.3">
      <c r="A420" s="83"/>
      <c r="B420" s="83"/>
      <c r="C420" s="83"/>
      <c r="D420" s="83"/>
      <c r="E420" s="83"/>
      <c r="F420" s="83"/>
      <c r="G420" s="83"/>
      <c r="H420" s="83"/>
      <c r="I420" s="83"/>
      <c r="N420" s="7" t="str">
        <f t="shared" si="148"/>
        <v>#LIKV7EF39 </v>
      </c>
      <c r="O420" s="7">
        <f t="shared" si="140"/>
        <v>0</v>
      </c>
      <c r="P420" s="21">
        <f t="shared" si="149"/>
        <v>43245</v>
      </c>
      <c r="Q420" s="22">
        <f>VLOOKUP(R420,Referencias!$D$1:$E$13,2,0)</f>
        <v>5</v>
      </c>
      <c r="R420" s="7" t="str">
        <f t="shared" si="150"/>
        <v>MAI</v>
      </c>
      <c r="S420" s="7">
        <f t="shared" si="141"/>
        <v>0</v>
      </c>
      <c r="T420" s="11">
        <f t="shared" si="156"/>
        <v>25</v>
      </c>
      <c r="U420" s="11">
        <f t="shared" si="142"/>
        <v>0</v>
      </c>
      <c r="V420" s="11" t="e">
        <f>VLOOKUP(C420,Referencias!$A$2:$B$33,2,1)</f>
        <v>#N/A</v>
      </c>
      <c r="W420" s="23" t="str">
        <f t="shared" si="154"/>
        <v/>
      </c>
      <c r="X420" s="11">
        <f t="shared" si="143"/>
        <v>0</v>
      </c>
      <c r="Y420" s="11">
        <f t="shared" si="157"/>
        <v>0</v>
      </c>
      <c r="Z420" s="24">
        <f t="shared" si="152"/>
        <v>0</v>
      </c>
      <c r="AA420" s="25">
        <f t="shared" si="153"/>
        <v>0</v>
      </c>
      <c r="AB420" s="24">
        <f t="shared" si="144"/>
        <v>0</v>
      </c>
      <c r="AC420" s="24">
        <f t="shared" si="145"/>
        <v>0</v>
      </c>
      <c r="AD420" s="24">
        <f t="shared" si="146"/>
        <v>0</v>
      </c>
      <c r="AE420" s="24">
        <f t="shared" si="147"/>
        <v>0</v>
      </c>
      <c r="AF420" s="119" t="str">
        <f>VLOOKUP(P420*1,Referencias!$G:$H,2,0)</f>
        <v>sex</v>
      </c>
      <c r="BA420" s="10"/>
      <c r="BF420"/>
      <c r="BG420"/>
      <c r="BS420" s="10"/>
    </row>
    <row r="421" spans="1:71" ht="14.4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N421" s="7" t="str">
        <f t="shared" si="148"/>
        <v>#LIKV7EF39 </v>
      </c>
      <c r="O421" s="7">
        <f t="shared" si="140"/>
        <v>0</v>
      </c>
      <c r="P421" s="21">
        <f t="shared" si="149"/>
        <v>43245</v>
      </c>
      <c r="Q421" s="22">
        <f>VLOOKUP(R421,Referencias!$D$1:$E$13,2,0)</f>
        <v>5</v>
      </c>
      <c r="R421" s="7" t="str">
        <f t="shared" si="150"/>
        <v>MAI</v>
      </c>
      <c r="S421" s="7">
        <f t="shared" si="141"/>
        <v>0</v>
      </c>
      <c r="T421" s="11">
        <f t="shared" si="156"/>
        <v>25</v>
      </c>
      <c r="U421" s="11">
        <f t="shared" si="142"/>
        <v>0</v>
      </c>
      <c r="V421" s="11" t="e">
        <f>VLOOKUP(C421,Referencias!$A$2:$B$33,2,1)</f>
        <v>#N/A</v>
      </c>
      <c r="W421" s="23" t="str">
        <f t="shared" si="154"/>
        <v/>
      </c>
      <c r="X421" s="11">
        <f t="shared" si="143"/>
        <v>0</v>
      </c>
      <c r="Y421" s="11">
        <f t="shared" si="157"/>
        <v>0</v>
      </c>
      <c r="Z421" s="24">
        <f t="shared" si="152"/>
        <v>0</v>
      </c>
      <c r="AA421" s="25">
        <f t="shared" si="153"/>
        <v>0</v>
      </c>
      <c r="AB421" s="24">
        <f t="shared" si="144"/>
        <v>0</v>
      </c>
      <c r="AC421" s="24">
        <f t="shared" si="145"/>
        <v>0</v>
      </c>
      <c r="AD421" s="24">
        <f t="shared" si="146"/>
        <v>0</v>
      </c>
      <c r="AE421" s="24">
        <f t="shared" si="147"/>
        <v>0</v>
      </c>
      <c r="AF421" s="119" t="str">
        <f>VLOOKUP(P421*1,Referencias!$G:$H,2,0)</f>
        <v>sex</v>
      </c>
      <c r="BA421" s="10"/>
      <c r="BF421"/>
      <c r="BG421"/>
      <c r="BS421" s="10"/>
    </row>
    <row r="422" spans="1:71" ht="14.4" x14ac:dyDescent="0.3">
      <c r="A422" s="77"/>
      <c r="B422" s="78" t="s">
        <v>181</v>
      </c>
      <c r="C422" s="79">
        <v>0.90277777777777779</v>
      </c>
      <c r="D422" s="80">
        <v>6.9</v>
      </c>
      <c r="E422" s="80" t="s">
        <v>17</v>
      </c>
      <c r="F422" s="80"/>
      <c r="G422" s="81">
        <v>3.91</v>
      </c>
      <c r="H422" s="82">
        <v>288.18</v>
      </c>
      <c r="I422" s="80"/>
      <c r="N422" s="7" t="str">
        <f t="shared" si="148"/>
        <v>#LIRWEWA6P </v>
      </c>
      <c r="O422" s="7" t="str">
        <f t="shared" si="140"/>
        <v>#LIRWEWA6P </v>
      </c>
      <c r="P422" s="21">
        <f t="shared" si="149"/>
        <v>43245</v>
      </c>
      <c r="Q422" s="22">
        <f>VLOOKUP(R422,Referencias!$D$1:$E$13,2,0)</f>
        <v>5</v>
      </c>
      <c r="R422" s="7" t="str">
        <f t="shared" si="150"/>
        <v>MAI</v>
      </c>
      <c r="S422" s="7">
        <f t="shared" si="141"/>
        <v>0</v>
      </c>
      <c r="T422" s="11">
        <f t="shared" si="156"/>
        <v>25</v>
      </c>
      <c r="U422" s="11">
        <f t="shared" si="142"/>
        <v>0</v>
      </c>
      <c r="V422" s="11" t="str">
        <f>VLOOKUP(C422,Referencias!$A$2:$B$33,2,1)</f>
        <v>21 - 22</v>
      </c>
      <c r="W422" s="23">
        <f t="shared" si="154"/>
        <v>2.3611111111111138E-2</v>
      </c>
      <c r="X422" s="11">
        <f t="shared" si="143"/>
        <v>6.9</v>
      </c>
      <c r="Y422" s="11">
        <f t="shared" si="157"/>
        <v>12.184939781088699</v>
      </c>
      <c r="Z422" s="24">
        <f t="shared" si="152"/>
        <v>3.91</v>
      </c>
      <c r="AA422" s="25">
        <f t="shared" si="153"/>
        <v>6.8999999999999924</v>
      </c>
      <c r="AB422" s="24">
        <f t="shared" si="144"/>
        <v>1</v>
      </c>
      <c r="AC422" s="24">
        <f t="shared" si="145"/>
        <v>2.561629528631554</v>
      </c>
      <c r="AD422" s="24">
        <f t="shared" si="146"/>
        <v>3.1036080344380483</v>
      </c>
      <c r="AE422" s="24">
        <f t="shared" si="147"/>
        <v>3.6798047321130776</v>
      </c>
      <c r="AF422" s="119" t="str">
        <f>VLOOKUP(P422*1,Referencias!$G:$H,2,0)</f>
        <v>sex</v>
      </c>
      <c r="BA422" s="10"/>
      <c r="BF422"/>
      <c r="BG422"/>
      <c r="BS422" s="10"/>
    </row>
    <row r="423" spans="1:71" ht="14.4" x14ac:dyDescent="0.3">
      <c r="A423" s="77"/>
      <c r="B423" s="78"/>
      <c r="C423" s="79">
        <v>0.92638888888888893</v>
      </c>
      <c r="D423" s="80"/>
      <c r="E423" s="80"/>
      <c r="F423" s="80"/>
      <c r="G423" s="81"/>
      <c r="H423" s="82"/>
      <c r="I423" s="80"/>
      <c r="N423" s="7" t="str">
        <f t="shared" si="148"/>
        <v>#LIRWEWA6P </v>
      </c>
      <c r="O423" s="7">
        <f t="shared" si="140"/>
        <v>0</v>
      </c>
      <c r="P423" s="21">
        <f t="shared" si="149"/>
        <v>43245</v>
      </c>
      <c r="Q423" s="22">
        <f>VLOOKUP(R423,Referencias!$D$1:$E$13,2,0)</f>
        <v>5</v>
      </c>
      <c r="R423" s="7" t="str">
        <f t="shared" si="150"/>
        <v>MAI</v>
      </c>
      <c r="S423" s="7">
        <f t="shared" si="141"/>
        <v>0</v>
      </c>
      <c r="T423" s="11">
        <f t="shared" si="156"/>
        <v>25</v>
      </c>
      <c r="U423" s="11">
        <f t="shared" si="142"/>
        <v>0</v>
      </c>
      <c r="V423" s="11" t="str">
        <f>VLOOKUP(C423,Referencias!$A$2:$B$33,2,1)</f>
        <v>22 - 23</v>
      </c>
      <c r="W423" s="23" t="str">
        <f t="shared" si="154"/>
        <v/>
      </c>
      <c r="X423" s="11">
        <f t="shared" si="143"/>
        <v>0</v>
      </c>
      <c r="Y423" s="11">
        <f t="shared" si="157"/>
        <v>0</v>
      </c>
      <c r="Z423" s="24">
        <f t="shared" si="152"/>
        <v>0</v>
      </c>
      <c r="AA423" s="25">
        <f t="shared" si="153"/>
        <v>0</v>
      </c>
      <c r="AB423" s="24">
        <f t="shared" si="144"/>
        <v>0</v>
      </c>
      <c r="AC423" s="24">
        <f t="shared" si="145"/>
        <v>0</v>
      </c>
      <c r="AD423" s="24">
        <f t="shared" si="146"/>
        <v>0</v>
      </c>
      <c r="AE423" s="24">
        <f t="shared" si="147"/>
        <v>0</v>
      </c>
      <c r="AF423" s="119" t="str">
        <f>VLOOKUP(P423*1,Referencias!$G:$H,2,0)</f>
        <v>sex</v>
      </c>
      <c r="BA423" s="10"/>
      <c r="BF423"/>
      <c r="BG423"/>
      <c r="BS423" s="10"/>
    </row>
    <row r="424" spans="1:71" ht="14.4" x14ac:dyDescent="0.3">
      <c r="A424" s="83"/>
      <c r="B424" s="83"/>
      <c r="C424" s="83"/>
      <c r="D424" s="83"/>
      <c r="E424" s="83"/>
      <c r="F424" s="83"/>
      <c r="G424" s="83"/>
      <c r="H424" s="83"/>
      <c r="I424" s="83"/>
      <c r="N424" s="7" t="str">
        <f t="shared" si="148"/>
        <v>#LIRWEWA6P </v>
      </c>
      <c r="O424" s="7">
        <f t="shared" si="140"/>
        <v>0</v>
      </c>
      <c r="P424" s="21">
        <f t="shared" si="149"/>
        <v>43245</v>
      </c>
      <c r="Q424" s="22">
        <f>VLOOKUP(R424,Referencias!$D$1:$E$13,2,0)</f>
        <v>5</v>
      </c>
      <c r="R424" s="7" t="str">
        <f t="shared" si="150"/>
        <v>MAI</v>
      </c>
      <c r="S424" s="7">
        <f t="shared" si="141"/>
        <v>0</v>
      </c>
      <c r="T424" s="11">
        <f t="shared" si="156"/>
        <v>25</v>
      </c>
      <c r="U424" s="11">
        <f t="shared" si="142"/>
        <v>0</v>
      </c>
      <c r="V424" s="11" t="e">
        <f>VLOOKUP(C424,Referencias!$A$2:$B$33,2,1)</f>
        <v>#N/A</v>
      </c>
      <c r="W424" s="23" t="str">
        <f t="shared" si="154"/>
        <v/>
      </c>
      <c r="X424" s="11">
        <f t="shared" si="143"/>
        <v>0</v>
      </c>
      <c r="Y424" s="11">
        <f t="shared" si="157"/>
        <v>0</v>
      </c>
      <c r="Z424" s="24">
        <f t="shared" si="152"/>
        <v>0</v>
      </c>
      <c r="AA424" s="25">
        <f t="shared" si="153"/>
        <v>0</v>
      </c>
      <c r="AB424" s="24">
        <f t="shared" si="144"/>
        <v>0</v>
      </c>
      <c r="AC424" s="24">
        <f t="shared" si="145"/>
        <v>0</v>
      </c>
      <c r="AD424" s="24">
        <f t="shared" si="146"/>
        <v>0</v>
      </c>
      <c r="AE424" s="24">
        <f t="shared" si="147"/>
        <v>0</v>
      </c>
      <c r="AF424" s="119" t="str">
        <f>VLOOKUP(P424*1,Referencias!$G:$H,2,0)</f>
        <v>sex</v>
      </c>
      <c r="BA424" s="10"/>
      <c r="BF424"/>
      <c r="BG424"/>
      <c r="BS424" s="10"/>
    </row>
    <row r="425" spans="1:71" ht="14.4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N425" s="7" t="str">
        <f t="shared" si="148"/>
        <v>#LIRWEWA6P </v>
      </c>
      <c r="O425" s="7">
        <f t="shared" si="140"/>
        <v>0</v>
      </c>
      <c r="P425" s="21">
        <f t="shared" si="149"/>
        <v>43245</v>
      </c>
      <c r="Q425" s="22">
        <f>VLOOKUP(R425,Referencias!$D$1:$E$13,2,0)</f>
        <v>5</v>
      </c>
      <c r="R425" s="7" t="str">
        <f t="shared" si="150"/>
        <v>MAI</v>
      </c>
      <c r="S425" s="7">
        <f t="shared" si="141"/>
        <v>0</v>
      </c>
      <c r="T425" s="11">
        <f t="shared" ref="T425:T434" si="158">IF(U425&lt;&gt;0,U425,T424)</f>
        <v>25</v>
      </c>
      <c r="U425" s="11">
        <f t="shared" si="142"/>
        <v>0</v>
      </c>
      <c r="V425" s="11" t="e">
        <f>VLOOKUP(C425,Referencias!$A$2:$B$33,2,1)</f>
        <v>#N/A</v>
      </c>
      <c r="W425" s="23" t="str">
        <f t="shared" si="154"/>
        <v/>
      </c>
      <c r="X425" s="11">
        <f t="shared" si="143"/>
        <v>0</v>
      </c>
      <c r="Y425" s="11">
        <f t="shared" ref="Y425:Y434" si="159">X425*$AK$2</f>
        <v>0</v>
      </c>
      <c r="Z425" s="24">
        <f t="shared" si="152"/>
        <v>0</v>
      </c>
      <c r="AA425" s="25">
        <f t="shared" si="153"/>
        <v>0</v>
      </c>
      <c r="AB425" s="24">
        <f t="shared" si="144"/>
        <v>0</v>
      </c>
      <c r="AC425" s="24">
        <f t="shared" si="145"/>
        <v>0</v>
      </c>
      <c r="AD425" s="24">
        <f t="shared" si="146"/>
        <v>0</v>
      </c>
      <c r="AE425" s="24">
        <f t="shared" si="147"/>
        <v>0</v>
      </c>
      <c r="AF425" s="119" t="str">
        <f>VLOOKUP(P425*1,Referencias!$G:$H,2,0)</f>
        <v>sex</v>
      </c>
      <c r="BA425" s="10"/>
      <c r="BF425"/>
      <c r="BG425"/>
      <c r="BS425" s="10"/>
    </row>
    <row r="426" spans="1:71" ht="14.4" x14ac:dyDescent="0.3">
      <c r="A426" s="77"/>
      <c r="B426" s="78" t="s">
        <v>182</v>
      </c>
      <c r="C426" s="79">
        <v>0.93333333333333324</v>
      </c>
      <c r="D426" s="80">
        <v>7.49</v>
      </c>
      <c r="E426" s="80" t="s">
        <v>24</v>
      </c>
      <c r="F426" s="80"/>
      <c r="G426" s="81">
        <v>4.25</v>
      </c>
      <c r="H426" s="82">
        <v>292.43</v>
      </c>
      <c r="I426" s="76"/>
      <c r="N426" s="7" t="str">
        <f t="shared" si="148"/>
        <v>#LILAV3WQT </v>
      </c>
      <c r="O426" s="7" t="str">
        <f t="shared" si="140"/>
        <v>#LILAV3WQT </v>
      </c>
      <c r="P426" s="21">
        <f t="shared" si="149"/>
        <v>43245</v>
      </c>
      <c r="Q426" s="22">
        <f>VLOOKUP(R426,Referencias!$D$1:$E$13,2,0)</f>
        <v>5</v>
      </c>
      <c r="R426" s="7" t="str">
        <f t="shared" si="150"/>
        <v>MAI</v>
      </c>
      <c r="S426" s="7">
        <f t="shared" si="141"/>
        <v>0</v>
      </c>
      <c r="T426" s="11">
        <f t="shared" si="158"/>
        <v>25</v>
      </c>
      <c r="U426" s="11">
        <f t="shared" si="142"/>
        <v>0</v>
      </c>
      <c r="V426" s="11" t="str">
        <f>VLOOKUP(C426,Referencias!$A$2:$B$33,2,1)</f>
        <v>22 - 23</v>
      </c>
      <c r="W426" s="23">
        <f t="shared" si="154"/>
        <v>1.6666666666666829E-2</v>
      </c>
      <c r="X426" s="11">
        <f t="shared" si="143"/>
        <v>7.49</v>
      </c>
      <c r="Y426" s="11">
        <f t="shared" si="159"/>
        <v>13.226840429036862</v>
      </c>
      <c r="Z426" s="24">
        <f t="shared" si="152"/>
        <v>4.25</v>
      </c>
      <c r="AA426" s="25">
        <f t="shared" si="153"/>
        <v>10.624999999999897</v>
      </c>
      <c r="AB426" s="24">
        <f t="shared" si="144"/>
        <v>1</v>
      </c>
      <c r="AC426" s="24">
        <f t="shared" si="145"/>
        <v>2.7843799224256021</v>
      </c>
      <c r="AD426" s="24">
        <f t="shared" si="146"/>
        <v>3.3734869939544003</v>
      </c>
      <c r="AE426" s="24">
        <f t="shared" si="147"/>
        <v>3.999787752296823</v>
      </c>
      <c r="AF426" s="119" t="str">
        <f>VLOOKUP(P426*1,Referencias!$G:$H,2,0)</f>
        <v>sex</v>
      </c>
      <c r="BA426" s="10"/>
      <c r="BF426"/>
      <c r="BG426"/>
      <c r="BS426" s="10"/>
    </row>
    <row r="427" spans="1:71" ht="14.4" x14ac:dyDescent="0.3">
      <c r="A427" s="77"/>
      <c r="B427" s="78"/>
      <c r="C427" s="79">
        <v>0.95000000000000007</v>
      </c>
      <c r="D427" s="80"/>
      <c r="E427" s="80"/>
      <c r="F427" s="80"/>
      <c r="G427" s="81"/>
      <c r="H427" s="82"/>
      <c r="I427" s="76"/>
      <c r="N427" s="7" t="str">
        <f t="shared" si="148"/>
        <v>#LILAV3WQT </v>
      </c>
      <c r="O427" s="7">
        <f t="shared" si="140"/>
        <v>0</v>
      </c>
      <c r="P427" s="21">
        <f t="shared" si="149"/>
        <v>43245</v>
      </c>
      <c r="Q427" s="22">
        <f>VLOOKUP(R427,Referencias!$D$1:$E$13,2,0)</f>
        <v>5</v>
      </c>
      <c r="R427" s="7" t="str">
        <f t="shared" si="150"/>
        <v>MAI</v>
      </c>
      <c r="S427" s="7">
        <f t="shared" si="141"/>
        <v>0</v>
      </c>
      <c r="T427" s="11">
        <f t="shared" si="158"/>
        <v>25</v>
      </c>
      <c r="U427" s="11">
        <f t="shared" si="142"/>
        <v>0</v>
      </c>
      <c r="V427" s="11" t="str">
        <f>VLOOKUP(C427,Referencias!$A$2:$B$33,2,1)</f>
        <v>22 - 23</v>
      </c>
      <c r="W427" s="23" t="str">
        <f t="shared" si="154"/>
        <v/>
      </c>
      <c r="X427" s="11">
        <f t="shared" si="143"/>
        <v>0</v>
      </c>
      <c r="Y427" s="11">
        <f t="shared" si="159"/>
        <v>0</v>
      </c>
      <c r="Z427" s="24">
        <f t="shared" si="152"/>
        <v>0</v>
      </c>
      <c r="AA427" s="25">
        <f t="shared" si="153"/>
        <v>0</v>
      </c>
      <c r="AB427" s="24">
        <f t="shared" si="144"/>
        <v>0</v>
      </c>
      <c r="AC427" s="24">
        <f t="shared" si="145"/>
        <v>0</v>
      </c>
      <c r="AD427" s="24">
        <f t="shared" si="146"/>
        <v>0</v>
      </c>
      <c r="AE427" s="24">
        <f t="shared" si="147"/>
        <v>0</v>
      </c>
      <c r="AF427" s="119" t="str">
        <f>VLOOKUP(P427*1,Referencias!$G:$H,2,0)</f>
        <v>sex</v>
      </c>
      <c r="BA427" s="10"/>
      <c r="BF427"/>
      <c r="BG427"/>
      <c r="BS427" s="10"/>
    </row>
    <row r="428" spans="1:71" ht="14.4" x14ac:dyDescent="0.3">
      <c r="N428" s="7" t="str">
        <f t="shared" si="148"/>
        <v>#LILAV3WQT </v>
      </c>
      <c r="O428" s="7">
        <f t="shared" si="140"/>
        <v>0</v>
      </c>
      <c r="P428" s="21">
        <f t="shared" si="149"/>
        <v>43245</v>
      </c>
      <c r="Q428" s="22">
        <f>VLOOKUP(R428,Referencias!$D$1:$E$13,2,0)</f>
        <v>5</v>
      </c>
      <c r="R428" s="7" t="str">
        <f t="shared" si="150"/>
        <v>MAI</v>
      </c>
      <c r="S428" s="7">
        <f t="shared" si="141"/>
        <v>0</v>
      </c>
      <c r="T428" s="11">
        <f t="shared" si="158"/>
        <v>25</v>
      </c>
      <c r="U428" s="11">
        <f t="shared" si="142"/>
        <v>0</v>
      </c>
      <c r="V428" s="11" t="e">
        <f>VLOOKUP(C428,Referencias!$A$2:$B$33,2,1)</f>
        <v>#N/A</v>
      </c>
      <c r="W428" s="23" t="str">
        <f t="shared" si="154"/>
        <v/>
      </c>
      <c r="X428" s="11">
        <f t="shared" si="143"/>
        <v>0</v>
      </c>
      <c r="Y428" s="11">
        <f t="shared" si="159"/>
        <v>0</v>
      </c>
      <c r="Z428" s="24">
        <f t="shared" si="152"/>
        <v>0</v>
      </c>
      <c r="AA428" s="25">
        <f t="shared" si="153"/>
        <v>0</v>
      </c>
      <c r="AB428" s="24">
        <f t="shared" si="144"/>
        <v>0</v>
      </c>
      <c r="AC428" s="24">
        <f t="shared" si="145"/>
        <v>0</v>
      </c>
      <c r="AD428" s="24">
        <f t="shared" si="146"/>
        <v>0</v>
      </c>
      <c r="AE428" s="24">
        <f t="shared" si="147"/>
        <v>0</v>
      </c>
      <c r="AF428" s="119" t="str">
        <f>VLOOKUP(P428*1,Referencias!$G:$H,2,0)</f>
        <v>sex</v>
      </c>
      <c r="BA428" s="10"/>
      <c r="BF428"/>
      <c r="BG428"/>
      <c r="BS428" s="10"/>
    </row>
    <row r="429" spans="1:71" ht="14.4" x14ac:dyDescent="0.3">
      <c r="A429" s="77">
        <v>26</v>
      </c>
      <c r="B429" s="78" t="s">
        <v>183</v>
      </c>
      <c r="C429" s="79">
        <v>0.84027777777777779</v>
      </c>
      <c r="D429" s="80">
        <v>7.39</v>
      </c>
      <c r="E429" s="80" t="s">
        <v>44</v>
      </c>
      <c r="F429" s="81">
        <v>1.22</v>
      </c>
      <c r="G429" s="81">
        <v>5.31</v>
      </c>
      <c r="H429" s="82">
        <v>297.74</v>
      </c>
      <c r="I429" s="80"/>
      <c r="N429" s="7" t="str">
        <f t="shared" si="148"/>
        <v>#LINSSATP1 </v>
      </c>
      <c r="O429" s="7" t="str">
        <f t="shared" si="140"/>
        <v>#LINSSATP1 </v>
      </c>
      <c r="P429" s="21">
        <f t="shared" si="149"/>
        <v>43246</v>
      </c>
      <c r="Q429" s="22">
        <f>VLOOKUP(R429,Referencias!$D$1:$E$13,2,0)</f>
        <v>5</v>
      </c>
      <c r="R429" s="7" t="str">
        <f t="shared" si="150"/>
        <v>MAI</v>
      </c>
      <c r="S429" s="7" t="str">
        <f t="shared" si="141"/>
        <v>MAI</v>
      </c>
      <c r="T429" s="11">
        <f t="shared" si="158"/>
        <v>26</v>
      </c>
      <c r="U429" s="11">
        <f t="shared" si="142"/>
        <v>26</v>
      </c>
      <c r="V429" s="11" t="str">
        <f>VLOOKUP(C429,Referencias!$A$2:$B$33,2,1)</f>
        <v>20 - 21</v>
      </c>
      <c r="W429" s="23">
        <f t="shared" si="154"/>
        <v>6.5277777777777768E-2</v>
      </c>
      <c r="X429" s="11">
        <f t="shared" si="143"/>
        <v>7.39</v>
      </c>
      <c r="Y429" s="11">
        <f t="shared" si="159"/>
        <v>13.050247098876156</v>
      </c>
      <c r="Z429" s="24">
        <f t="shared" si="152"/>
        <v>5.31</v>
      </c>
      <c r="AA429" s="25">
        <f t="shared" si="153"/>
        <v>3.3893617021276596</v>
      </c>
      <c r="AB429" s="24">
        <f t="shared" si="144"/>
        <v>1</v>
      </c>
      <c r="AC429" s="24">
        <f t="shared" si="145"/>
        <v>3.4788370324893987</v>
      </c>
      <c r="AD429" s="24">
        <f t="shared" si="146"/>
        <v>4.2148743383289089</v>
      </c>
      <c r="AE429" s="24">
        <f t="shared" si="147"/>
        <v>4.9973818740461482</v>
      </c>
      <c r="AF429" s="119" t="str">
        <f>VLOOKUP(P429*1,Referencias!$G:$H,2,0)</f>
        <v>sáb</v>
      </c>
      <c r="BA429" s="10"/>
      <c r="BF429"/>
      <c r="BG429"/>
      <c r="BS429" s="10"/>
    </row>
    <row r="430" spans="1:71" ht="14.4" x14ac:dyDescent="0.3">
      <c r="A430" s="77" t="s">
        <v>19</v>
      </c>
      <c r="B430" s="78"/>
      <c r="C430" s="79">
        <v>0.90555555555555556</v>
      </c>
      <c r="D430" s="80"/>
      <c r="E430" s="80"/>
      <c r="F430" s="80" t="s">
        <v>132</v>
      </c>
      <c r="G430" s="81"/>
      <c r="H430" s="82"/>
      <c r="I430" s="80"/>
      <c r="N430" s="7" t="str">
        <f t="shared" si="148"/>
        <v>#LINSSATP1 </v>
      </c>
      <c r="O430" s="7">
        <f t="shared" si="140"/>
        <v>0</v>
      </c>
      <c r="P430" s="21">
        <f t="shared" si="149"/>
        <v>43246</v>
      </c>
      <c r="Q430" s="22">
        <f>VLOOKUP(R430,Referencias!$D$1:$E$13,2,0)</f>
        <v>5</v>
      </c>
      <c r="R430" s="7" t="str">
        <f t="shared" si="150"/>
        <v>MAI</v>
      </c>
      <c r="S430" s="7">
        <f t="shared" si="141"/>
        <v>0</v>
      </c>
      <c r="T430" s="11">
        <f t="shared" si="158"/>
        <v>26</v>
      </c>
      <c r="U430" s="11">
        <f t="shared" si="142"/>
        <v>0</v>
      </c>
      <c r="V430" s="11" t="str">
        <f>VLOOKUP(C430,Referencias!$A$2:$B$33,2,1)</f>
        <v>21 - 22</v>
      </c>
      <c r="W430" s="23" t="str">
        <f t="shared" si="154"/>
        <v/>
      </c>
      <c r="X430" s="11">
        <f t="shared" si="143"/>
        <v>0</v>
      </c>
      <c r="Y430" s="11">
        <f t="shared" si="159"/>
        <v>0</v>
      </c>
      <c r="Z430" s="24">
        <f t="shared" si="152"/>
        <v>0</v>
      </c>
      <c r="AA430" s="25">
        <f t="shared" si="153"/>
        <v>0</v>
      </c>
      <c r="AB430" s="24">
        <f t="shared" si="144"/>
        <v>0</v>
      </c>
      <c r="AC430" s="24">
        <f t="shared" si="145"/>
        <v>0</v>
      </c>
      <c r="AD430" s="24">
        <f t="shared" si="146"/>
        <v>0</v>
      </c>
      <c r="AE430" s="24">
        <f t="shared" si="147"/>
        <v>0</v>
      </c>
      <c r="AF430" s="119" t="str">
        <f>VLOOKUP(P430*1,Referencias!$G:$H,2,0)</f>
        <v>sáb</v>
      </c>
      <c r="BA430" s="10"/>
      <c r="BF430"/>
      <c r="BG430"/>
      <c r="BS430" s="10"/>
    </row>
    <row r="431" spans="1:71" ht="14.4" x14ac:dyDescent="0.3">
      <c r="A431" s="83"/>
      <c r="B431" s="83"/>
      <c r="C431" s="83"/>
      <c r="D431" s="83"/>
      <c r="E431" s="83"/>
      <c r="F431" s="83"/>
      <c r="G431" s="83"/>
      <c r="H431" s="83"/>
      <c r="I431" s="83"/>
      <c r="N431" s="7" t="str">
        <f t="shared" si="148"/>
        <v>#LINSSATP1 </v>
      </c>
      <c r="O431" s="7">
        <f t="shared" si="140"/>
        <v>0</v>
      </c>
      <c r="P431" s="21">
        <f t="shared" si="149"/>
        <v>43246</v>
      </c>
      <c r="Q431" s="22">
        <f>VLOOKUP(R431,Referencias!$D$1:$E$13,2,0)</f>
        <v>5</v>
      </c>
      <c r="R431" s="7" t="str">
        <f t="shared" si="150"/>
        <v>MAI</v>
      </c>
      <c r="S431" s="7">
        <f t="shared" si="141"/>
        <v>0</v>
      </c>
      <c r="T431" s="11">
        <f t="shared" si="158"/>
        <v>26</v>
      </c>
      <c r="U431" s="11">
        <f t="shared" si="142"/>
        <v>0</v>
      </c>
      <c r="V431" s="11" t="e">
        <f>VLOOKUP(C431,Referencias!$A$2:$B$33,2,1)</f>
        <v>#N/A</v>
      </c>
      <c r="W431" s="23" t="str">
        <f t="shared" si="154"/>
        <v/>
      </c>
      <c r="X431" s="11">
        <f t="shared" si="143"/>
        <v>0</v>
      </c>
      <c r="Y431" s="11">
        <f t="shared" si="159"/>
        <v>0</v>
      </c>
      <c r="Z431" s="24">
        <f t="shared" si="152"/>
        <v>0</v>
      </c>
      <c r="AA431" s="25">
        <f t="shared" si="153"/>
        <v>0</v>
      </c>
      <c r="AB431" s="24">
        <f t="shared" si="144"/>
        <v>0</v>
      </c>
      <c r="AC431" s="24">
        <f t="shared" si="145"/>
        <v>0</v>
      </c>
      <c r="AD431" s="24">
        <f t="shared" si="146"/>
        <v>0</v>
      </c>
      <c r="AE431" s="24">
        <f t="shared" si="147"/>
        <v>0</v>
      </c>
      <c r="AF431" s="119" t="str">
        <f>VLOOKUP(P431*1,Referencias!$G:$H,2,0)</f>
        <v>sáb</v>
      </c>
      <c r="BA431" s="10"/>
      <c r="BF431"/>
      <c r="BG431"/>
      <c r="BS431" s="10"/>
    </row>
    <row r="432" spans="1:71" ht="14.4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N432" s="7" t="str">
        <f t="shared" si="148"/>
        <v>#LINSSATP1 </v>
      </c>
      <c r="O432" s="7">
        <f t="shared" si="140"/>
        <v>0</v>
      </c>
      <c r="P432" s="21">
        <f t="shared" si="149"/>
        <v>43246</v>
      </c>
      <c r="Q432" s="22">
        <f>VLOOKUP(R432,Referencias!$D$1:$E$13,2,0)</f>
        <v>5</v>
      </c>
      <c r="R432" s="7" t="str">
        <f t="shared" si="150"/>
        <v>MAI</v>
      </c>
      <c r="S432" s="7">
        <f t="shared" si="141"/>
        <v>0</v>
      </c>
      <c r="T432" s="11">
        <f t="shared" si="158"/>
        <v>26</v>
      </c>
      <c r="U432" s="11">
        <f t="shared" si="142"/>
        <v>0</v>
      </c>
      <c r="V432" s="11" t="e">
        <f>VLOOKUP(C432,Referencias!$A$2:$B$33,2,1)</f>
        <v>#N/A</v>
      </c>
      <c r="W432" s="23" t="str">
        <f>IF(X432&gt;0,C433-C432,"")</f>
        <v/>
      </c>
      <c r="X432" s="11">
        <f t="shared" si="143"/>
        <v>0</v>
      </c>
      <c r="Y432" s="11">
        <f t="shared" si="159"/>
        <v>0</v>
      </c>
      <c r="Z432" s="24">
        <f t="shared" si="152"/>
        <v>0</v>
      </c>
      <c r="AA432" s="25">
        <f t="shared" si="153"/>
        <v>0</v>
      </c>
      <c r="AB432" s="24">
        <f t="shared" si="144"/>
        <v>0</v>
      </c>
      <c r="AC432" s="24">
        <f t="shared" si="145"/>
        <v>0</v>
      </c>
      <c r="AD432" s="24">
        <f t="shared" si="146"/>
        <v>0</v>
      </c>
      <c r="AE432" s="24">
        <f t="shared" si="147"/>
        <v>0</v>
      </c>
      <c r="AF432" s="119" t="str">
        <f>VLOOKUP(P432*1,Referencias!$G:$H,2,0)</f>
        <v>sáb</v>
      </c>
      <c r="BA432" s="10"/>
      <c r="BF432"/>
      <c r="BG432"/>
      <c r="BS432" s="10"/>
    </row>
    <row r="433" spans="1:71" ht="14.4" x14ac:dyDescent="0.3">
      <c r="A433" s="77"/>
      <c r="B433" s="78" t="s">
        <v>184</v>
      </c>
      <c r="C433" s="94">
        <v>0.5</v>
      </c>
      <c r="D433" s="80">
        <v>7.45</v>
      </c>
      <c r="E433" s="80" t="s">
        <v>59</v>
      </c>
      <c r="F433" s="80"/>
      <c r="G433" s="81">
        <v>0</v>
      </c>
      <c r="H433" s="82">
        <v>297.74</v>
      </c>
      <c r="I433" s="80"/>
      <c r="N433" s="7" t="str">
        <f t="shared" si="148"/>
        <v>#LIU12Y8G1 </v>
      </c>
      <c r="O433" s="7" t="str">
        <f t="shared" si="140"/>
        <v>#LIU12Y8G1 </v>
      </c>
      <c r="P433" s="21">
        <f t="shared" si="149"/>
        <v>43246</v>
      </c>
      <c r="Q433" s="22">
        <f>VLOOKUP(R433,Referencias!$D$1:$E$13,2,0)</f>
        <v>5</v>
      </c>
      <c r="R433" s="7" t="str">
        <f t="shared" si="150"/>
        <v>MAI</v>
      </c>
      <c r="S433" s="7" t="str">
        <f t="shared" si="141"/>
        <v>Ganhos garantidos</v>
      </c>
      <c r="T433" s="11">
        <f t="shared" si="158"/>
        <v>26</v>
      </c>
      <c r="U433" s="11">
        <f t="shared" si="142"/>
        <v>0</v>
      </c>
      <c r="V433" s="11" t="str">
        <f>VLOOKUP(C433,Referencias!$A$2:$B$33,2,1)</f>
        <v>12 - 13</v>
      </c>
      <c r="W433" s="23">
        <f>IF(X433&gt;0,C434-C433,"")</f>
        <v>3.3333333333333326E-2</v>
      </c>
      <c r="X433" s="11">
        <f t="shared" si="143"/>
        <v>7.45</v>
      </c>
      <c r="Y433" s="11">
        <f t="shared" si="159"/>
        <v>13.156203096972581</v>
      </c>
      <c r="Z433" s="24">
        <f t="shared" si="152"/>
        <v>0</v>
      </c>
      <c r="AA433" s="25">
        <f t="shared" si="153"/>
        <v>0</v>
      </c>
      <c r="AB433" s="24">
        <f t="shared" si="144"/>
        <v>1</v>
      </c>
      <c r="AC433" s="24">
        <f t="shared" si="145"/>
        <v>0</v>
      </c>
      <c r="AD433" s="24">
        <f t="shared" si="146"/>
        <v>0</v>
      </c>
      <c r="AE433" s="24">
        <f t="shared" si="147"/>
        <v>0</v>
      </c>
      <c r="AF433" s="119" t="str">
        <f>VLOOKUP(P433*1,Referencias!$G:$H,2,0)</f>
        <v>sáb</v>
      </c>
      <c r="BA433" s="10"/>
      <c r="BF433"/>
      <c r="BG433"/>
      <c r="BS433" s="10"/>
    </row>
    <row r="434" spans="1:71" ht="14.4" x14ac:dyDescent="0.3">
      <c r="A434" s="90" t="s">
        <v>41</v>
      </c>
      <c r="B434" s="90"/>
      <c r="C434" s="94">
        <v>0.53333333333333333</v>
      </c>
      <c r="D434" s="90"/>
      <c r="E434" s="90"/>
      <c r="F434" s="90"/>
      <c r="G434" s="92">
        <v>3.51</v>
      </c>
      <c r="H434" s="93">
        <v>301.25</v>
      </c>
      <c r="I434" s="90"/>
      <c r="N434" s="7" t="str">
        <f t="shared" si="148"/>
        <v>#LIU12Y8G1 </v>
      </c>
      <c r="O434" s="7">
        <f t="shared" si="140"/>
        <v>0</v>
      </c>
      <c r="P434" s="21">
        <f t="shared" si="149"/>
        <v>43246</v>
      </c>
      <c r="Q434" s="22">
        <f>VLOOKUP(R434,Referencias!$D$1:$E$13,2,0)</f>
        <v>5</v>
      </c>
      <c r="R434" s="7" t="str">
        <f t="shared" si="150"/>
        <v>MAI</v>
      </c>
      <c r="S434" s="7">
        <f t="shared" si="141"/>
        <v>0</v>
      </c>
      <c r="T434" s="11">
        <f t="shared" si="158"/>
        <v>26</v>
      </c>
      <c r="U434" s="11">
        <f t="shared" si="142"/>
        <v>0</v>
      </c>
      <c r="V434" s="11" t="str">
        <f>VLOOKUP(C434,Referencias!$A$2:$B$33,2,1)</f>
        <v>12 - 13</v>
      </c>
      <c r="W434" s="23" t="str">
        <f>IF(X434&gt;0,C435-C434,"")</f>
        <v/>
      </c>
      <c r="X434" s="11">
        <f t="shared" si="143"/>
        <v>0</v>
      </c>
      <c r="Y434" s="11">
        <f t="shared" si="159"/>
        <v>0</v>
      </c>
      <c r="Z434" s="24">
        <f t="shared" si="152"/>
        <v>3.51</v>
      </c>
      <c r="AA434" s="25">
        <f t="shared" si="153"/>
        <v>0</v>
      </c>
      <c r="AB434" s="24">
        <f t="shared" si="144"/>
        <v>0</v>
      </c>
      <c r="AC434" s="24">
        <f t="shared" si="145"/>
        <v>2.2995702418150263</v>
      </c>
      <c r="AD434" s="24">
        <f t="shared" si="146"/>
        <v>2.7861033761835161</v>
      </c>
      <c r="AE434" s="24">
        <f t="shared" si="147"/>
        <v>3.3033541201321999</v>
      </c>
      <c r="AF434" s="119" t="str">
        <f>VLOOKUP(P434*1,Referencias!$G:$H,2,0)</f>
        <v>sáb</v>
      </c>
      <c r="BA434" s="10"/>
      <c r="BF434"/>
      <c r="BG434"/>
      <c r="BS434" s="10"/>
    </row>
    <row r="435" spans="1:71" ht="14.4" x14ac:dyDescent="0.3">
      <c r="N435" s="7" t="str">
        <f t="shared" si="148"/>
        <v>#LIU12Y8G1 </v>
      </c>
      <c r="O435" s="7">
        <f t="shared" si="140"/>
        <v>0</v>
      </c>
      <c r="P435" s="21">
        <f t="shared" si="149"/>
        <v>43246</v>
      </c>
      <c r="Q435" s="22">
        <f>VLOOKUP(R435,Referencias!$D$1:$E$13,2,0)</f>
        <v>5</v>
      </c>
      <c r="R435" s="7" t="str">
        <f t="shared" si="150"/>
        <v>MAI</v>
      </c>
      <c r="S435" s="7">
        <f t="shared" si="141"/>
        <v>0</v>
      </c>
      <c r="T435" s="11">
        <f t="shared" ref="T435:T492" si="160">IF(U435&lt;&gt;0,U435,T434)</f>
        <v>26</v>
      </c>
      <c r="U435" s="11">
        <f t="shared" si="142"/>
        <v>0</v>
      </c>
      <c r="V435" s="11" t="e">
        <f>VLOOKUP(C435,Referencias!$A$2:$B$33,2,1)</f>
        <v>#N/A</v>
      </c>
      <c r="W435" s="23" t="str">
        <f t="shared" si="154"/>
        <v/>
      </c>
      <c r="X435" s="11">
        <f t="shared" si="143"/>
        <v>0</v>
      </c>
      <c r="Y435" s="11">
        <f t="shared" ref="Y435:Y492" si="161">X435*$AK$2</f>
        <v>0</v>
      </c>
      <c r="Z435" s="24">
        <f t="shared" si="152"/>
        <v>0</v>
      </c>
      <c r="AA435" s="25">
        <f t="shared" si="153"/>
        <v>0</v>
      </c>
      <c r="AB435" s="24">
        <f t="shared" si="144"/>
        <v>0</v>
      </c>
      <c r="AC435" s="24">
        <f t="shared" si="145"/>
        <v>0</v>
      </c>
      <c r="AD435" s="24">
        <f t="shared" si="146"/>
        <v>0</v>
      </c>
      <c r="AE435" s="24">
        <f t="shared" si="147"/>
        <v>0</v>
      </c>
      <c r="AF435" s="119" t="str">
        <f>VLOOKUP(P435*1,Referencias!$G:$H,2,0)</f>
        <v>sáb</v>
      </c>
      <c r="BA435" s="10"/>
      <c r="BF435"/>
      <c r="BG435"/>
      <c r="BS435" s="10"/>
    </row>
    <row r="436" spans="1:71" ht="14.4" x14ac:dyDescent="0.3">
      <c r="A436" s="95">
        <v>27</v>
      </c>
      <c r="B436" s="96" t="s">
        <v>189</v>
      </c>
      <c r="C436" s="94">
        <v>0.41875000000000001</v>
      </c>
      <c r="D436" s="97">
        <v>6.09</v>
      </c>
      <c r="E436" s="97" t="s">
        <v>72</v>
      </c>
      <c r="F436" s="97"/>
      <c r="G436" s="98">
        <v>3.88</v>
      </c>
      <c r="H436" s="99">
        <v>305.13</v>
      </c>
      <c r="I436" s="95" t="s">
        <v>336</v>
      </c>
      <c r="N436" s="7" t="str">
        <f t="shared" si="148"/>
        <v>#LIKY1C3AE </v>
      </c>
      <c r="O436" s="7" t="str">
        <f t="shared" si="140"/>
        <v>#LIKY1C3AE </v>
      </c>
      <c r="P436" s="21">
        <f t="shared" si="149"/>
        <v>43247</v>
      </c>
      <c r="Q436" s="22">
        <f>VLOOKUP(R436,Referencias!$D$1:$E$13,2,0)</f>
        <v>5</v>
      </c>
      <c r="R436" s="7" t="str">
        <f t="shared" si="150"/>
        <v>MAI</v>
      </c>
      <c r="S436" s="7" t="str">
        <f t="shared" si="141"/>
        <v>MAI</v>
      </c>
      <c r="T436" s="11">
        <f t="shared" si="160"/>
        <v>27</v>
      </c>
      <c r="U436" s="11">
        <f t="shared" si="142"/>
        <v>27</v>
      </c>
      <c r="V436" s="11" t="str">
        <f>VLOOKUP(C436,Referencias!$A$2:$B$33,2,1)</f>
        <v>10 - 11</v>
      </c>
      <c r="W436" s="23">
        <f t="shared" si="154"/>
        <v>4.9999999999999989E-2</v>
      </c>
      <c r="X436" s="11">
        <f t="shared" si="143"/>
        <v>6.09</v>
      </c>
      <c r="Y436" s="11">
        <f t="shared" si="161"/>
        <v>10.754533806786981</v>
      </c>
      <c r="Z436" s="24">
        <f t="shared" si="152"/>
        <v>3.88</v>
      </c>
      <c r="AA436" s="25">
        <f t="shared" si="153"/>
        <v>3.2333333333333338</v>
      </c>
      <c r="AB436" s="24">
        <f t="shared" si="144"/>
        <v>1</v>
      </c>
      <c r="AC436" s="24">
        <f t="shared" si="145"/>
        <v>2.541975082120314</v>
      </c>
      <c r="AD436" s="24">
        <f t="shared" si="146"/>
        <v>3.0797951850689582</v>
      </c>
      <c r="AE436" s="24">
        <f t="shared" si="147"/>
        <v>3.6515709362145117</v>
      </c>
      <c r="AF436" s="119" t="str">
        <f>VLOOKUP(P436*1,Referencias!$G:$H,2,0)</f>
        <v>dom</v>
      </c>
      <c r="BA436" s="10"/>
      <c r="BF436"/>
      <c r="BG436"/>
      <c r="BS436" s="10"/>
    </row>
    <row r="437" spans="1:71" ht="14.4" x14ac:dyDescent="0.3">
      <c r="A437" s="95" t="s">
        <v>19</v>
      </c>
      <c r="B437" s="96"/>
      <c r="C437" s="94">
        <v>0.46875</v>
      </c>
      <c r="D437" s="97"/>
      <c r="E437" s="97"/>
      <c r="F437" s="97"/>
      <c r="G437" s="98"/>
      <c r="H437" s="99"/>
      <c r="I437" s="95" t="s">
        <v>337</v>
      </c>
      <c r="N437" s="7" t="str">
        <f t="shared" si="148"/>
        <v>#LIKY1C3AE </v>
      </c>
      <c r="O437" s="7">
        <f t="shared" si="140"/>
        <v>0</v>
      </c>
      <c r="P437" s="21">
        <f t="shared" si="149"/>
        <v>43247</v>
      </c>
      <c r="Q437" s="22">
        <f>VLOOKUP(R437,Referencias!$D$1:$E$13,2,0)</f>
        <v>5</v>
      </c>
      <c r="R437" s="7" t="str">
        <f t="shared" si="150"/>
        <v>MAI</v>
      </c>
      <c r="S437" s="7">
        <f t="shared" si="141"/>
        <v>0</v>
      </c>
      <c r="T437" s="11">
        <f t="shared" si="160"/>
        <v>27</v>
      </c>
      <c r="U437" s="11">
        <f t="shared" si="142"/>
        <v>0</v>
      </c>
      <c r="V437" s="11" t="str">
        <f>VLOOKUP(C437,Referencias!$A$2:$B$33,2,1)</f>
        <v>11 - 12</v>
      </c>
      <c r="W437" s="23" t="str">
        <f t="shared" si="154"/>
        <v/>
      </c>
      <c r="X437" s="11">
        <f t="shared" si="143"/>
        <v>0</v>
      </c>
      <c r="Y437" s="11">
        <f t="shared" si="161"/>
        <v>0</v>
      </c>
      <c r="Z437" s="24">
        <f t="shared" si="152"/>
        <v>0</v>
      </c>
      <c r="AA437" s="25">
        <f t="shared" si="153"/>
        <v>0</v>
      </c>
      <c r="AB437" s="24">
        <f t="shared" si="144"/>
        <v>0</v>
      </c>
      <c r="AC437" s="24">
        <f t="shared" si="145"/>
        <v>0</v>
      </c>
      <c r="AD437" s="24">
        <f t="shared" si="146"/>
        <v>0</v>
      </c>
      <c r="AE437" s="24">
        <f t="shared" si="147"/>
        <v>0</v>
      </c>
      <c r="AF437" s="119" t="str">
        <f>VLOOKUP(P437*1,Referencias!$G:$H,2,0)</f>
        <v>dom</v>
      </c>
      <c r="BA437" s="10"/>
      <c r="BF437"/>
      <c r="BG437"/>
      <c r="BS437" s="10"/>
    </row>
    <row r="438" spans="1:71" ht="14.4" x14ac:dyDescent="0.3">
      <c r="A438" s="100"/>
      <c r="B438" s="100"/>
      <c r="C438" s="100"/>
      <c r="D438" s="100"/>
      <c r="E438" s="100"/>
      <c r="F438" s="100"/>
      <c r="G438" s="100"/>
      <c r="H438" s="100"/>
      <c r="I438" s="100"/>
      <c r="N438" s="7" t="str">
        <f t="shared" si="148"/>
        <v>#LIKY1C3AE </v>
      </c>
      <c r="O438" s="7">
        <f t="shared" si="140"/>
        <v>0</v>
      </c>
      <c r="P438" s="21">
        <f t="shared" si="149"/>
        <v>43247</v>
      </c>
      <c r="Q438" s="22">
        <f>VLOOKUP(R438,Referencias!$D$1:$E$13,2,0)</f>
        <v>5</v>
      </c>
      <c r="R438" s="7" t="str">
        <f t="shared" si="150"/>
        <v>MAI</v>
      </c>
      <c r="S438" s="7">
        <f t="shared" si="141"/>
        <v>0</v>
      </c>
      <c r="T438" s="11">
        <f t="shared" si="160"/>
        <v>27</v>
      </c>
      <c r="U438" s="11">
        <f t="shared" si="142"/>
        <v>0</v>
      </c>
      <c r="V438" s="11" t="e">
        <f>VLOOKUP(C438,Referencias!$A$2:$B$33,2,1)</f>
        <v>#N/A</v>
      </c>
      <c r="W438" s="23" t="str">
        <f t="shared" si="154"/>
        <v/>
      </c>
      <c r="X438" s="11">
        <f t="shared" si="143"/>
        <v>0</v>
      </c>
      <c r="Y438" s="11">
        <f t="shared" si="161"/>
        <v>0</v>
      </c>
      <c r="Z438" s="24">
        <f t="shared" si="152"/>
        <v>0</v>
      </c>
      <c r="AA438" s="25">
        <f t="shared" si="153"/>
        <v>0</v>
      </c>
      <c r="AB438" s="24">
        <f t="shared" si="144"/>
        <v>0</v>
      </c>
      <c r="AC438" s="24">
        <f t="shared" si="145"/>
        <v>0</v>
      </c>
      <c r="AD438" s="24">
        <f t="shared" si="146"/>
        <v>0</v>
      </c>
      <c r="AE438" s="24">
        <f t="shared" si="147"/>
        <v>0</v>
      </c>
      <c r="AF438" s="119" t="str">
        <f>VLOOKUP(P438*1,Referencias!$G:$H,2,0)</f>
        <v>dom</v>
      </c>
      <c r="BA438" s="10"/>
      <c r="BF438"/>
      <c r="BG438"/>
      <c r="BS438" s="10"/>
    </row>
    <row r="439" spans="1:71" ht="14.4" x14ac:dyDescent="0.3">
      <c r="N439" s="7" t="str">
        <f t="shared" si="148"/>
        <v>#LIKY1C3AE </v>
      </c>
      <c r="O439" s="7">
        <f t="shared" si="140"/>
        <v>0</v>
      </c>
      <c r="P439" s="21">
        <f t="shared" si="149"/>
        <v>43247</v>
      </c>
      <c r="Q439" s="22">
        <f>VLOOKUP(R439,Referencias!$D$1:$E$13,2,0)</f>
        <v>5</v>
      </c>
      <c r="R439" s="7" t="str">
        <f t="shared" si="150"/>
        <v>MAI</v>
      </c>
      <c r="S439" s="7">
        <f t="shared" si="141"/>
        <v>0</v>
      </c>
      <c r="T439" s="11">
        <f t="shared" si="160"/>
        <v>27</v>
      </c>
      <c r="U439" s="11">
        <f t="shared" si="142"/>
        <v>0</v>
      </c>
      <c r="V439" s="11" t="e">
        <f>VLOOKUP(C439,Referencias!$A$2:$B$33,2,1)</f>
        <v>#N/A</v>
      </c>
      <c r="W439" s="23" t="str">
        <f t="shared" si="154"/>
        <v/>
      </c>
      <c r="X439" s="11">
        <f t="shared" si="143"/>
        <v>0</v>
      </c>
      <c r="Y439" s="11">
        <f t="shared" si="161"/>
        <v>0</v>
      </c>
      <c r="Z439" s="24">
        <f t="shared" si="152"/>
        <v>0</v>
      </c>
      <c r="AA439" s="25">
        <f t="shared" si="153"/>
        <v>0</v>
      </c>
      <c r="AB439" s="24">
        <f t="shared" si="144"/>
        <v>0</v>
      </c>
      <c r="AC439" s="24">
        <f t="shared" si="145"/>
        <v>0</v>
      </c>
      <c r="AD439" s="24">
        <f t="shared" si="146"/>
        <v>0</v>
      </c>
      <c r="AE439" s="24">
        <f t="shared" si="147"/>
        <v>0</v>
      </c>
      <c r="AF439" s="119" t="str">
        <f>VLOOKUP(P439*1,Referencias!$G:$H,2,0)</f>
        <v>dom</v>
      </c>
      <c r="BA439" s="10"/>
      <c r="BF439"/>
      <c r="BG439"/>
      <c r="BS439" s="10"/>
    </row>
    <row r="440" spans="1:71" ht="14.4" x14ac:dyDescent="0.3">
      <c r="A440" s="95"/>
      <c r="B440" s="96" t="s">
        <v>190</v>
      </c>
      <c r="C440" s="94">
        <v>0.46875</v>
      </c>
      <c r="D440" s="97">
        <v>4.3</v>
      </c>
      <c r="E440" s="97" t="s">
        <v>17</v>
      </c>
      <c r="F440" s="97"/>
      <c r="G440" s="98">
        <v>3</v>
      </c>
      <c r="H440" s="99">
        <v>308.13</v>
      </c>
      <c r="I440" s="97"/>
      <c r="N440" s="7" t="str">
        <f t="shared" si="148"/>
        <v>#LIPRSPYB9 </v>
      </c>
      <c r="O440" s="7" t="str">
        <f t="shared" si="140"/>
        <v>#LIPRSPYB9 </v>
      </c>
      <c r="P440" s="21">
        <f t="shared" si="149"/>
        <v>43247</v>
      </c>
      <c r="Q440" s="22">
        <f>VLOOKUP(R440,Referencias!$D$1:$E$13,2,0)</f>
        <v>5</v>
      </c>
      <c r="R440" s="7" t="str">
        <f t="shared" si="150"/>
        <v>MAI</v>
      </c>
      <c r="S440" s="7">
        <f t="shared" si="141"/>
        <v>0</v>
      </c>
      <c r="T440" s="11">
        <f t="shared" si="160"/>
        <v>27</v>
      </c>
      <c r="U440" s="11">
        <f t="shared" si="142"/>
        <v>0</v>
      </c>
      <c r="V440" s="11" t="str">
        <f>VLOOKUP(C440,Referencias!$A$2:$B$33,2,1)</f>
        <v>11 - 12</v>
      </c>
      <c r="W440" s="23">
        <f t="shared" si="154"/>
        <v>2.0138888888888873E-2</v>
      </c>
      <c r="X440" s="11">
        <f t="shared" si="143"/>
        <v>4.3</v>
      </c>
      <c r="Y440" s="11">
        <f t="shared" si="161"/>
        <v>7.5935131969103482</v>
      </c>
      <c r="Z440" s="24">
        <f t="shared" si="152"/>
        <v>3</v>
      </c>
      <c r="AA440" s="25">
        <f t="shared" si="153"/>
        <v>6.2068965517241432</v>
      </c>
      <c r="AB440" s="24">
        <f t="shared" si="144"/>
        <v>1</v>
      </c>
      <c r="AC440" s="24">
        <f t="shared" si="145"/>
        <v>1.9654446511239543</v>
      </c>
      <c r="AD440" s="24">
        <f t="shared" si="146"/>
        <v>2.3812849369089886</v>
      </c>
      <c r="AE440" s="24">
        <f t="shared" si="147"/>
        <v>2.823379589856581</v>
      </c>
      <c r="AF440" s="119" t="str">
        <f>VLOOKUP(P440*1,Referencias!$G:$H,2,0)</f>
        <v>dom</v>
      </c>
      <c r="BA440" s="10"/>
      <c r="BF440"/>
      <c r="BG440"/>
      <c r="BS440" s="10"/>
    </row>
    <row r="441" spans="1:71" ht="14.4" x14ac:dyDescent="0.3">
      <c r="A441" s="95"/>
      <c r="B441" s="96"/>
      <c r="C441" s="94">
        <v>0.48888888888888887</v>
      </c>
      <c r="D441" s="97"/>
      <c r="E441" s="97"/>
      <c r="F441" s="97"/>
      <c r="G441" s="98"/>
      <c r="H441" s="99"/>
      <c r="I441" s="97"/>
      <c r="N441" s="7" t="str">
        <f t="shared" si="148"/>
        <v>#LIPRSPYB9 </v>
      </c>
      <c r="O441" s="7">
        <f t="shared" si="140"/>
        <v>0</v>
      </c>
      <c r="P441" s="21">
        <f t="shared" si="149"/>
        <v>43247</v>
      </c>
      <c r="Q441" s="22">
        <f>VLOOKUP(R441,Referencias!$D$1:$E$13,2,0)</f>
        <v>5</v>
      </c>
      <c r="R441" s="7" t="str">
        <f t="shared" si="150"/>
        <v>MAI</v>
      </c>
      <c r="S441" s="7">
        <f t="shared" si="141"/>
        <v>0</v>
      </c>
      <c r="T441" s="11">
        <f t="shared" si="160"/>
        <v>27</v>
      </c>
      <c r="U441" s="11">
        <f t="shared" si="142"/>
        <v>0</v>
      </c>
      <c r="V441" s="11" t="str">
        <f>VLOOKUP(C441,Referencias!$A$2:$B$33,2,1)</f>
        <v>11 - 12</v>
      </c>
      <c r="W441" s="23" t="str">
        <f t="shared" si="154"/>
        <v/>
      </c>
      <c r="X441" s="11">
        <f t="shared" si="143"/>
        <v>0</v>
      </c>
      <c r="Y441" s="11">
        <f t="shared" si="161"/>
        <v>0</v>
      </c>
      <c r="Z441" s="24">
        <f t="shared" si="152"/>
        <v>0</v>
      </c>
      <c r="AA441" s="25">
        <f t="shared" si="153"/>
        <v>0</v>
      </c>
      <c r="AB441" s="24">
        <f t="shared" si="144"/>
        <v>0</v>
      </c>
      <c r="AC441" s="24">
        <f t="shared" si="145"/>
        <v>0</v>
      </c>
      <c r="AD441" s="24">
        <f t="shared" si="146"/>
        <v>0</v>
      </c>
      <c r="AE441" s="24">
        <f t="shared" si="147"/>
        <v>0</v>
      </c>
      <c r="AF441" s="119" t="str">
        <f>VLOOKUP(P441*1,Referencias!$G:$H,2,0)</f>
        <v>dom</v>
      </c>
      <c r="BA441" s="10"/>
      <c r="BF441"/>
      <c r="BG441"/>
      <c r="BS441" s="10"/>
    </row>
    <row r="442" spans="1:71" ht="14.4" x14ac:dyDescent="0.3">
      <c r="A442" s="100"/>
      <c r="B442" s="100"/>
      <c r="C442" s="100"/>
      <c r="D442" s="100"/>
      <c r="E442" s="100"/>
      <c r="F442" s="100"/>
      <c r="G442" s="100"/>
      <c r="H442" s="100"/>
      <c r="I442" s="100"/>
      <c r="N442" s="7" t="str">
        <f t="shared" si="148"/>
        <v>#LIPRSPYB9 </v>
      </c>
      <c r="O442" s="7">
        <f t="shared" si="140"/>
        <v>0</v>
      </c>
      <c r="P442" s="21">
        <f t="shared" si="149"/>
        <v>43247</v>
      </c>
      <c r="Q442" s="22">
        <f>VLOOKUP(R442,Referencias!$D$1:$E$13,2,0)</f>
        <v>5</v>
      </c>
      <c r="R442" s="7" t="str">
        <f t="shared" si="150"/>
        <v>MAI</v>
      </c>
      <c r="S442" s="7">
        <f t="shared" si="141"/>
        <v>0</v>
      </c>
      <c r="T442" s="11">
        <f t="shared" si="160"/>
        <v>27</v>
      </c>
      <c r="U442" s="11">
        <f t="shared" si="142"/>
        <v>0</v>
      </c>
      <c r="V442" s="11" t="e">
        <f>VLOOKUP(C442,Referencias!$A$2:$B$33,2,1)</f>
        <v>#N/A</v>
      </c>
      <c r="W442" s="23" t="str">
        <f t="shared" si="154"/>
        <v/>
      </c>
      <c r="X442" s="11">
        <f t="shared" si="143"/>
        <v>0</v>
      </c>
      <c r="Y442" s="11">
        <f t="shared" si="161"/>
        <v>0</v>
      </c>
      <c r="Z442" s="24">
        <f t="shared" si="152"/>
        <v>0</v>
      </c>
      <c r="AA442" s="25">
        <f t="shared" si="153"/>
        <v>0</v>
      </c>
      <c r="AB442" s="24">
        <f t="shared" si="144"/>
        <v>0</v>
      </c>
      <c r="AC442" s="24">
        <f t="shared" si="145"/>
        <v>0</v>
      </c>
      <c r="AD442" s="24">
        <f t="shared" si="146"/>
        <v>0</v>
      </c>
      <c r="AE442" s="24">
        <f t="shared" si="147"/>
        <v>0</v>
      </c>
      <c r="AF442" s="119" t="str">
        <f>VLOOKUP(P442*1,Referencias!$G:$H,2,0)</f>
        <v>dom</v>
      </c>
      <c r="BA442" s="10"/>
      <c r="BF442"/>
      <c r="BG442"/>
      <c r="BS442" s="10"/>
    </row>
    <row r="443" spans="1:71" ht="14.4" x14ac:dyDescent="0.3">
      <c r="N443" s="7" t="str">
        <f t="shared" si="148"/>
        <v>#LIPRSPYB9 </v>
      </c>
      <c r="O443" s="7">
        <f t="shared" si="140"/>
        <v>0</v>
      </c>
      <c r="P443" s="21">
        <f t="shared" si="149"/>
        <v>43247</v>
      </c>
      <c r="Q443" s="22">
        <f>VLOOKUP(R443,Referencias!$D$1:$E$13,2,0)</f>
        <v>5</v>
      </c>
      <c r="R443" s="7" t="str">
        <f t="shared" si="150"/>
        <v>MAI</v>
      </c>
      <c r="S443" s="7">
        <f t="shared" si="141"/>
        <v>0</v>
      </c>
      <c r="T443" s="11">
        <f t="shared" si="160"/>
        <v>27</v>
      </c>
      <c r="U443" s="11">
        <f t="shared" si="142"/>
        <v>0</v>
      </c>
      <c r="V443" s="11" t="e">
        <f>VLOOKUP(C443,Referencias!$A$2:$B$33,2,1)</f>
        <v>#N/A</v>
      </c>
      <c r="W443" s="23" t="str">
        <f t="shared" si="154"/>
        <v/>
      </c>
      <c r="X443" s="11">
        <f t="shared" si="143"/>
        <v>0</v>
      </c>
      <c r="Y443" s="11">
        <f t="shared" si="161"/>
        <v>0</v>
      </c>
      <c r="Z443" s="24">
        <f t="shared" si="152"/>
        <v>0</v>
      </c>
      <c r="AA443" s="25">
        <f t="shared" si="153"/>
        <v>0</v>
      </c>
      <c r="AB443" s="24">
        <f t="shared" si="144"/>
        <v>0</v>
      </c>
      <c r="AC443" s="24">
        <f t="shared" si="145"/>
        <v>0</v>
      </c>
      <c r="AD443" s="24">
        <f t="shared" si="146"/>
        <v>0</v>
      </c>
      <c r="AE443" s="24">
        <f t="shared" si="147"/>
        <v>0</v>
      </c>
      <c r="AF443" s="119" t="str">
        <f>VLOOKUP(P443*1,Referencias!$G:$H,2,0)</f>
        <v>dom</v>
      </c>
      <c r="BA443" s="10"/>
      <c r="BF443"/>
      <c r="BG443"/>
      <c r="BS443" s="10"/>
    </row>
    <row r="444" spans="1:71" ht="14.4" x14ac:dyDescent="0.3">
      <c r="A444" s="95"/>
      <c r="B444" s="96" t="s">
        <v>191</v>
      </c>
      <c r="C444" s="94">
        <v>0.48958333333333331</v>
      </c>
      <c r="D444" s="97">
        <v>17.600000000000001</v>
      </c>
      <c r="E444" s="97" t="s">
        <v>29</v>
      </c>
      <c r="F444" s="97"/>
      <c r="G444" s="98">
        <v>7.66</v>
      </c>
      <c r="H444" s="99">
        <v>315.79000000000002</v>
      </c>
      <c r="I444" s="95" t="s">
        <v>334</v>
      </c>
      <c r="N444" s="7" t="str">
        <f t="shared" si="148"/>
        <v>#LI19ULHEH </v>
      </c>
      <c r="O444" s="7" t="str">
        <f t="shared" si="140"/>
        <v>#LI19ULHEH </v>
      </c>
      <c r="P444" s="21">
        <f t="shared" si="149"/>
        <v>43247</v>
      </c>
      <c r="Q444" s="22">
        <f>VLOOKUP(R444,Referencias!$D$1:$E$13,2,0)</f>
        <v>5</v>
      </c>
      <c r="R444" s="7" t="str">
        <f t="shared" si="150"/>
        <v>MAI</v>
      </c>
      <c r="S444" s="7">
        <f t="shared" si="141"/>
        <v>0</v>
      </c>
      <c r="T444" s="11">
        <f t="shared" si="160"/>
        <v>27</v>
      </c>
      <c r="U444" s="11">
        <f t="shared" si="142"/>
        <v>0</v>
      </c>
      <c r="V444" s="11" t="str">
        <f>VLOOKUP(C444,Referencias!$A$2:$B$33,2,1)</f>
        <v>11 - 12</v>
      </c>
      <c r="W444" s="23">
        <f t="shared" si="154"/>
        <v>4.0277777777777801E-2</v>
      </c>
      <c r="X444" s="11">
        <f t="shared" si="143"/>
        <v>17.600000000000001</v>
      </c>
      <c r="Y444" s="11">
        <f t="shared" si="161"/>
        <v>31.080426108284218</v>
      </c>
      <c r="Z444" s="24">
        <f t="shared" si="152"/>
        <v>7.66</v>
      </c>
      <c r="AA444" s="25">
        <f t="shared" si="153"/>
        <v>7.9241379310344788</v>
      </c>
      <c r="AB444" s="24">
        <f t="shared" si="144"/>
        <v>1</v>
      </c>
      <c r="AC444" s="24">
        <f t="shared" si="145"/>
        <v>5.0184353425364963</v>
      </c>
      <c r="AD444" s="24">
        <f t="shared" si="146"/>
        <v>6.0802142055742836</v>
      </c>
      <c r="AE444" s="24">
        <f t="shared" si="147"/>
        <v>7.2090292194338037</v>
      </c>
      <c r="AF444" s="119" t="str">
        <f>VLOOKUP(P444*1,Referencias!$G:$H,2,0)</f>
        <v>dom</v>
      </c>
      <c r="BA444" s="10"/>
      <c r="BF444"/>
      <c r="BG444"/>
      <c r="BS444" s="10"/>
    </row>
    <row r="445" spans="1:71" ht="14.4" x14ac:dyDescent="0.3">
      <c r="A445" s="95"/>
      <c r="B445" s="96"/>
      <c r="C445" s="94">
        <v>0.52986111111111112</v>
      </c>
      <c r="D445" s="97"/>
      <c r="E445" s="97"/>
      <c r="F445" s="97"/>
      <c r="G445" s="98"/>
      <c r="H445" s="99"/>
      <c r="I445" s="95"/>
      <c r="N445" s="7" t="str">
        <f t="shared" si="148"/>
        <v>#LI19ULHEH </v>
      </c>
      <c r="O445" s="7">
        <f t="shared" si="140"/>
        <v>0</v>
      </c>
      <c r="P445" s="21">
        <f t="shared" si="149"/>
        <v>43247</v>
      </c>
      <c r="Q445" s="22">
        <f>VLOOKUP(R445,Referencias!$D$1:$E$13,2,0)</f>
        <v>5</v>
      </c>
      <c r="R445" s="7" t="str">
        <f t="shared" si="150"/>
        <v>MAI</v>
      </c>
      <c r="S445" s="7">
        <f t="shared" si="141"/>
        <v>0</v>
      </c>
      <c r="T445" s="11">
        <f t="shared" si="160"/>
        <v>27</v>
      </c>
      <c r="U445" s="11">
        <f t="shared" si="142"/>
        <v>0</v>
      </c>
      <c r="V445" s="11" t="str">
        <f>VLOOKUP(C445,Referencias!$A$2:$B$33,2,1)</f>
        <v>12 - 13</v>
      </c>
      <c r="W445" s="23" t="str">
        <f t="shared" si="154"/>
        <v/>
      </c>
      <c r="X445" s="11">
        <f t="shared" si="143"/>
        <v>0</v>
      </c>
      <c r="Y445" s="11">
        <f t="shared" si="161"/>
        <v>0</v>
      </c>
      <c r="Z445" s="24">
        <f t="shared" si="152"/>
        <v>0</v>
      </c>
      <c r="AA445" s="25">
        <f t="shared" si="153"/>
        <v>0</v>
      </c>
      <c r="AB445" s="24">
        <f t="shared" si="144"/>
        <v>0</v>
      </c>
      <c r="AC445" s="24">
        <f t="shared" si="145"/>
        <v>0</v>
      </c>
      <c r="AD445" s="24">
        <f t="shared" si="146"/>
        <v>0</v>
      </c>
      <c r="AE445" s="24">
        <f t="shared" si="147"/>
        <v>0</v>
      </c>
      <c r="AF445" s="119" t="str">
        <f>VLOOKUP(P445*1,Referencias!$G:$H,2,0)</f>
        <v>dom</v>
      </c>
      <c r="BA445" s="10"/>
      <c r="BF445"/>
      <c r="BG445"/>
      <c r="BS445" s="10"/>
    </row>
    <row r="446" spans="1:71" ht="14.4" x14ac:dyDescent="0.3">
      <c r="A446" s="100"/>
      <c r="B446" s="100"/>
      <c r="C446" s="100"/>
      <c r="D446" s="100"/>
      <c r="E446" s="100"/>
      <c r="F446" s="100"/>
      <c r="G446" s="100"/>
      <c r="H446" s="100"/>
      <c r="I446" s="100"/>
      <c r="N446" s="7" t="str">
        <f t="shared" si="148"/>
        <v>#LI19ULHEH </v>
      </c>
      <c r="O446" s="7">
        <f t="shared" si="140"/>
        <v>0</v>
      </c>
      <c r="P446" s="21">
        <f t="shared" si="149"/>
        <v>43247</v>
      </c>
      <c r="Q446" s="22">
        <f>VLOOKUP(R446,Referencias!$D$1:$E$13,2,0)</f>
        <v>5</v>
      </c>
      <c r="R446" s="7" t="str">
        <f t="shared" si="150"/>
        <v>MAI</v>
      </c>
      <c r="S446" s="7">
        <f t="shared" si="141"/>
        <v>0</v>
      </c>
      <c r="T446" s="11">
        <f t="shared" si="160"/>
        <v>27</v>
      </c>
      <c r="U446" s="11">
        <f t="shared" si="142"/>
        <v>0</v>
      </c>
      <c r="V446" s="11" t="e">
        <f>VLOOKUP(C446,Referencias!$A$2:$B$33,2,1)</f>
        <v>#N/A</v>
      </c>
      <c r="W446" s="23" t="str">
        <f t="shared" si="154"/>
        <v/>
      </c>
      <c r="X446" s="11">
        <f t="shared" si="143"/>
        <v>0</v>
      </c>
      <c r="Y446" s="11">
        <f t="shared" si="161"/>
        <v>0</v>
      </c>
      <c r="Z446" s="24">
        <f t="shared" si="152"/>
        <v>0</v>
      </c>
      <c r="AA446" s="25">
        <f t="shared" si="153"/>
        <v>0</v>
      </c>
      <c r="AB446" s="24">
        <f t="shared" si="144"/>
        <v>0</v>
      </c>
      <c r="AC446" s="24">
        <f t="shared" si="145"/>
        <v>0</v>
      </c>
      <c r="AD446" s="24">
        <f t="shared" si="146"/>
        <v>0</v>
      </c>
      <c r="AE446" s="24">
        <f t="shared" si="147"/>
        <v>0</v>
      </c>
      <c r="AF446" s="119" t="str">
        <f>VLOOKUP(P446*1,Referencias!$G:$H,2,0)</f>
        <v>dom</v>
      </c>
      <c r="BA446" s="10"/>
      <c r="BF446"/>
      <c r="BG446"/>
      <c r="BS446" s="10"/>
    </row>
    <row r="447" spans="1:71" ht="14.4" x14ac:dyDescent="0.3">
      <c r="N447" s="7" t="str">
        <f t="shared" si="148"/>
        <v>#LI19ULHEH </v>
      </c>
      <c r="O447" s="7">
        <f t="shared" si="140"/>
        <v>0</v>
      </c>
      <c r="P447" s="21">
        <f t="shared" si="149"/>
        <v>43247</v>
      </c>
      <c r="Q447" s="22">
        <f>VLOOKUP(R447,Referencias!$D$1:$E$13,2,0)</f>
        <v>5</v>
      </c>
      <c r="R447" s="7" t="str">
        <f t="shared" si="150"/>
        <v>MAI</v>
      </c>
      <c r="S447" s="7">
        <f t="shared" si="141"/>
        <v>0</v>
      </c>
      <c r="T447" s="11">
        <f t="shared" si="160"/>
        <v>27</v>
      </c>
      <c r="U447" s="11">
        <f t="shared" si="142"/>
        <v>0</v>
      </c>
      <c r="V447" s="11" t="e">
        <f>VLOOKUP(C447,Referencias!$A$2:$B$33,2,1)</f>
        <v>#N/A</v>
      </c>
      <c r="W447" s="23" t="str">
        <f t="shared" si="154"/>
        <v/>
      </c>
      <c r="X447" s="11">
        <f t="shared" si="143"/>
        <v>0</v>
      </c>
      <c r="Y447" s="11">
        <f t="shared" si="161"/>
        <v>0</v>
      </c>
      <c r="Z447" s="24">
        <f t="shared" si="152"/>
        <v>0</v>
      </c>
      <c r="AA447" s="25">
        <f t="shared" si="153"/>
        <v>0</v>
      </c>
      <c r="AB447" s="24">
        <f t="shared" si="144"/>
        <v>0</v>
      </c>
      <c r="AC447" s="24">
        <f t="shared" si="145"/>
        <v>0</v>
      </c>
      <c r="AD447" s="24">
        <f t="shared" si="146"/>
        <v>0</v>
      </c>
      <c r="AE447" s="24">
        <f t="shared" si="147"/>
        <v>0</v>
      </c>
      <c r="AF447" s="119" t="str">
        <f>VLOOKUP(P447*1,Referencias!$G:$H,2,0)</f>
        <v>dom</v>
      </c>
      <c r="BA447" s="10"/>
      <c r="BF447"/>
      <c r="BG447"/>
      <c r="BS447" s="10"/>
    </row>
    <row r="448" spans="1:71" ht="14.4" x14ac:dyDescent="0.3">
      <c r="A448" s="95"/>
      <c r="B448" s="96" t="s">
        <v>192</v>
      </c>
      <c r="C448" s="94">
        <v>0.53611111111111109</v>
      </c>
      <c r="D448" s="97">
        <v>6.26</v>
      </c>
      <c r="E448" s="97" t="s">
        <v>17</v>
      </c>
      <c r="F448" s="97"/>
      <c r="G448" s="98">
        <v>3.68</v>
      </c>
      <c r="H448" s="99">
        <v>319.47000000000003</v>
      </c>
      <c r="I448" s="97"/>
      <c r="N448" s="7" t="str">
        <f t="shared" si="148"/>
        <v>#LIX4SVWE1 </v>
      </c>
      <c r="O448" s="7" t="str">
        <f t="shared" si="140"/>
        <v>#LIX4SVWE1 </v>
      </c>
      <c r="P448" s="21">
        <f t="shared" si="149"/>
        <v>43247</v>
      </c>
      <c r="Q448" s="22">
        <f>VLOOKUP(R448,Referencias!$D$1:$E$13,2,0)</f>
        <v>5</v>
      </c>
      <c r="R448" s="7" t="str">
        <f t="shared" si="150"/>
        <v>MAI</v>
      </c>
      <c r="S448" s="7">
        <f t="shared" si="141"/>
        <v>0</v>
      </c>
      <c r="T448" s="11">
        <f t="shared" si="160"/>
        <v>27</v>
      </c>
      <c r="U448" s="11">
        <f t="shared" si="142"/>
        <v>0</v>
      </c>
      <c r="V448" s="11" t="str">
        <f>VLOOKUP(C448,Referencias!$A$2:$B$33,2,1)</f>
        <v>12 - 13</v>
      </c>
      <c r="W448" s="23">
        <f t="shared" si="154"/>
        <v>1.6666666666666718E-2</v>
      </c>
      <c r="X448" s="11">
        <f t="shared" si="143"/>
        <v>6.26</v>
      </c>
      <c r="Y448" s="11">
        <f t="shared" si="161"/>
        <v>11.054742468060182</v>
      </c>
      <c r="Z448" s="24">
        <f t="shared" si="152"/>
        <v>3.68</v>
      </c>
      <c r="AA448" s="25">
        <f t="shared" si="153"/>
        <v>9.1999999999999726</v>
      </c>
      <c r="AB448" s="24">
        <f t="shared" si="144"/>
        <v>1</v>
      </c>
      <c r="AC448" s="24">
        <f t="shared" si="145"/>
        <v>2.4109454387120506</v>
      </c>
      <c r="AD448" s="24">
        <f t="shared" si="146"/>
        <v>2.9210428559416926</v>
      </c>
      <c r="AE448" s="24">
        <f t="shared" si="147"/>
        <v>3.4633456302240728</v>
      </c>
      <c r="AF448" s="119" t="str">
        <f>VLOOKUP(P448*1,Referencias!$G:$H,2,0)</f>
        <v>dom</v>
      </c>
      <c r="BA448" s="10"/>
      <c r="BF448"/>
      <c r="BG448"/>
      <c r="BS448" s="10"/>
    </row>
    <row r="449" spans="1:71" ht="14.4" x14ac:dyDescent="0.3">
      <c r="A449" s="95"/>
      <c r="B449" s="96"/>
      <c r="C449" s="94">
        <v>0.55277777777777781</v>
      </c>
      <c r="D449" s="97"/>
      <c r="E449" s="97"/>
      <c r="F449" s="97"/>
      <c r="G449" s="98"/>
      <c r="H449" s="99"/>
      <c r="I449" s="97"/>
      <c r="J449" s="10">
        <v>34</v>
      </c>
      <c r="N449" s="7" t="str">
        <f t="shared" si="148"/>
        <v>#LIX4SVWE1 </v>
      </c>
      <c r="O449" s="7">
        <f t="shared" si="140"/>
        <v>0</v>
      </c>
      <c r="P449" s="21">
        <f t="shared" si="149"/>
        <v>43247</v>
      </c>
      <c r="Q449" s="22">
        <f>VLOOKUP(R449,Referencias!$D$1:$E$13,2,0)</f>
        <v>5</v>
      </c>
      <c r="R449" s="7" t="str">
        <f t="shared" si="150"/>
        <v>MAI</v>
      </c>
      <c r="S449" s="7">
        <f t="shared" si="141"/>
        <v>0</v>
      </c>
      <c r="T449" s="11">
        <f t="shared" si="160"/>
        <v>27</v>
      </c>
      <c r="U449" s="11">
        <f t="shared" si="142"/>
        <v>0</v>
      </c>
      <c r="V449" s="11" t="str">
        <f>VLOOKUP(C449,Referencias!$A$2:$B$33,2,1)</f>
        <v>13 - 14</v>
      </c>
      <c r="W449" s="23" t="str">
        <f t="shared" si="154"/>
        <v/>
      </c>
      <c r="X449" s="11">
        <f t="shared" si="143"/>
        <v>0</v>
      </c>
      <c r="Y449" s="11">
        <f t="shared" si="161"/>
        <v>0</v>
      </c>
      <c r="Z449" s="24">
        <f t="shared" si="152"/>
        <v>0</v>
      </c>
      <c r="AA449" s="25">
        <f t="shared" si="153"/>
        <v>0</v>
      </c>
      <c r="AB449" s="24">
        <f t="shared" si="144"/>
        <v>0</v>
      </c>
      <c r="AC449" s="24">
        <f t="shared" si="145"/>
        <v>0</v>
      </c>
      <c r="AD449" s="24">
        <f t="shared" si="146"/>
        <v>0</v>
      </c>
      <c r="AE449" s="24">
        <f t="shared" si="147"/>
        <v>0</v>
      </c>
      <c r="AF449" s="119" t="str">
        <f>VLOOKUP(P449*1,Referencias!$G:$H,2,0)</f>
        <v>dom</v>
      </c>
      <c r="BA449" s="10"/>
      <c r="BF449"/>
      <c r="BG449"/>
      <c r="BS449" s="10"/>
    </row>
    <row r="450" spans="1:71" ht="14.4" x14ac:dyDescent="0.3">
      <c r="A450" s="100"/>
      <c r="B450" s="100"/>
      <c r="C450" s="100"/>
      <c r="D450" s="100"/>
      <c r="E450" s="100"/>
      <c r="F450" s="100"/>
      <c r="G450" s="100"/>
      <c r="H450" s="100"/>
      <c r="I450" s="100"/>
      <c r="N450" s="7" t="str">
        <f t="shared" si="148"/>
        <v>#LIX4SVWE1 </v>
      </c>
      <c r="O450" s="7">
        <f t="shared" ref="O450:O513" si="162">IF(X450&gt;0,B450,0)</f>
        <v>0</v>
      </c>
      <c r="P450" s="21">
        <f t="shared" si="149"/>
        <v>43247</v>
      </c>
      <c r="Q450" s="22">
        <f>VLOOKUP(R450,Referencias!$D$1:$E$13,2,0)</f>
        <v>5</v>
      </c>
      <c r="R450" s="7" t="str">
        <f t="shared" si="150"/>
        <v>MAI</v>
      </c>
      <c r="S450" s="7">
        <f t="shared" ref="S450:S513" si="163">IF(X450&gt;0,A451,0)</f>
        <v>0</v>
      </c>
      <c r="T450" s="11">
        <f t="shared" si="160"/>
        <v>27</v>
      </c>
      <c r="U450" s="11">
        <f t="shared" ref="U450:U513" si="164">IF(X450&gt;0,A450,0)</f>
        <v>0</v>
      </c>
      <c r="V450" s="11" t="e">
        <f>VLOOKUP(C450,Referencias!$A$2:$B$33,2,1)</f>
        <v>#N/A</v>
      </c>
      <c r="W450" s="23" t="str">
        <f t="shared" si="154"/>
        <v/>
      </c>
      <c r="X450" s="11">
        <f t="shared" ref="X450:X513" si="165">D450*1</f>
        <v>0</v>
      </c>
      <c r="Y450" s="11">
        <f t="shared" si="161"/>
        <v>0</v>
      </c>
      <c r="Z450" s="24">
        <f t="shared" si="152"/>
        <v>0</v>
      </c>
      <c r="AA450" s="25">
        <f t="shared" si="153"/>
        <v>0</v>
      </c>
      <c r="AB450" s="24">
        <f t="shared" ref="AB450:AB513" si="166">IF(O450&gt;0,1,0)</f>
        <v>0</v>
      </c>
      <c r="AC450" s="24">
        <f t="shared" ref="AC450:AC513" si="167">Z450*$AL$14</f>
        <v>0</v>
      </c>
      <c r="AD450" s="24">
        <f t="shared" ref="AD450:AD513" si="168">Z450*$AN$14</f>
        <v>0</v>
      </c>
      <c r="AE450" s="24">
        <f t="shared" ref="AE450:AE513" si="169">Z450*$AL$26</f>
        <v>0</v>
      </c>
      <c r="AF450" s="119" t="str">
        <f>VLOOKUP(P450*1,Referencias!$G:$H,2,0)</f>
        <v>dom</v>
      </c>
      <c r="BA450" s="10"/>
      <c r="BF450"/>
      <c r="BG450"/>
      <c r="BS450" s="10"/>
    </row>
    <row r="451" spans="1:71" ht="14.4" x14ac:dyDescent="0.3">
      <c r="N451" s="7" t="str">
        <f t="shared" ref="N451:N492" si="170">IF(O451&lt;&gt;0,O451,N450)</f>
        <v>#LIX4SVWE1 </v>
      </c>
      <c r="O451" s="7">
        <f t="shared" si="162"/>
        <v>0</v>
      </c>
      <c r="P451" s="21">
        <f t="shared" ref="P451:P514" si="171">(T451&amp;"/"&amp;Q451&amp;"/2018")*1</f>
        <v>43247</v>
      </c>
      <c r="Q451" s="22">
        <f>VLOOKUP(R451,Referencias!$D$1:$E$13,2,0)</f>
        <v>5</v>
      </c>
      <c r="R451" s="7" t="str">
        <f t="shared" ref="R451:R514" si="172">IF(S451="ganhos garantidos",R450,IF(S451&lt;&gt;0,S451,R450))</f>
        <v>MAI</v>
      </c>
      <c r="S451" s="7">
        <f t="shared" si="163"/>
        <v>0</v>
      </c>
      <c r="T451" s="11">
        <f t="shared" si="160"/>
        <v>27</v>
      </c>
      <c r="U451" s="11">
        <f t="shared" si="164"/>
        <v>0</v>
      </c>
      <c r="V451" s="11" t="e">
        <f>VLOOKUP(C451,Referencias!$A$2:$B$33,2,1)</f>
        <v>#N/A</v>
      </c>
      <c r="W451" s="23" t="str">
        <f t="shared" si="154"/>
        <v/>
      </c>
      <c r="X451" s="11">
        <f t="shared" si="165"/>
        <v>0</v>
      </c>
      <c r="Y451" s="11">
        <f t="shared" si="161"/>
        <v>0</v>
      </c>
      <c r="Z451" s="24">
        <f t="shared" ref="Z451:Z514" si="173">IF(A451="Ganhos Garantidos",G451,IF(X451&gt;0,G451*1,0))</f>
        <v>0</v>
      </c>
      <c r="AA451" s="25">
        <f t="shared" ref="AA451:AA492" si="174">IFERROR(Z451/(86400*(W451)/360/10),0)</f>
        <v>0</v>
      </c>
      <c r="AB451" s="24">
        <f t="shared" si="166"/>
        <v>0</v>
      </c>
      <c r="AC451" s="24">
        <f t="shared" si="167"/>
        <v>0</v>
      </c>
      <c r="AD451" s="24">
        <f t="shared" si="168"/>
        <v>0</v>
      </c>
      <c r="AE451" s="24">
        <f t="shared" si="169"/>
        <v>0</v>
      </c>
      <c r="AF451" s="119" t="str">
        <f>VLOOKUP(P451*1,Referencias!$G:$H,2,0)</f>
        <v>dom</v>
      </c>
      <c r="BA451" s="10"/>
      <c r="BF451"/>
      <c r="BG451"/>
      <c r="BS451" s="10"/>
    </row>
    <row r="452" spans="1:71" ht="14.4" x14ac:dyDescent="0.3">
      <c r="A452" s="95"/>
      <c r="B452" s="96" t="s">
        <v>193</v>
      </c>
      <c r="C452" s="94">
        <v>0.55277777777777781</v>
      </c>
      <c r="D452" s="97">
        <v>7.36</v>
      </c>
      <c r="E452" s="97" t="s">
        <v>48</v>
      </c>
      <c r="F452" s="98">
        <v>1.25</v>
      </c>
      <c r="G452" s="98">
        <v>5.42</v>
      </c>
      <c r="H452" s="99">
        <v>324.89</v>
      </c>
      <c r="I452" s="97"/>
      <c r="N452" s="7" t="str">
        <f t="shared" si="170"/>
        <v>#LIEEVPFYE </v>
      </c>
      <c r="O452" s="7" t="str">
        <f t="shared" si="162"/>
        <v>#LIEEVPFYE </v>
      </c>
      <c r="P452" s="21">
        <f t="shared" si="171"/>
        <v>43247</v>
      </c>
      <c r="Q452" s="22">
        <f>VLOOKUP(R452,Referencias!$D$1:$E$13,2,0)</f>
        <v>5</v>
      </c>
      <c r="R452" s="7" t="str">
        <f t="shared" si="172"/>
        <v>MAI</v>
      </c>
      <c r="S452" s="7">
        <f t="shared" si="163"/>
        <v>0</v>
      </c>
      <c r="T452" s="11">
        <f t="shared" si="160"/>
        <v>27</v>
      </c>
      <c r="U452" s="11">
        <f t="shared" si="164"/>
        <v>0</v>
      </c>
      <c r="V452" s="11" t="str">
        <f>VLOOKUP(C452,Referencias!$A$2:$B$33,2,1)</f>
        <v>13 - 14</v>
      </c>
      <c r="W452" s="23">
        <f t="shared" ref="W452:W515" si="175">IF(X452&gt;0,C453-C452,"")</f>
        <v>2.6388888888888906E-2</v>
      </c>
      <c r="X452" s="11">
        <f t="shared" si="165"/>
        <v>7.36</v>
      </c>
      <c r="Y452" s="11">
        <f t="shared" si="161"/>
        <v>12.997269099827946</v>
      </c>
      <c r="Z452" s="24">
        <f t="shared" si="173"/>
        <v>5.42</v>
      </c>
      <c r="AA452" s="25">
        <f t="shared" si="174"/>
        <v>8.5578947368420994</v>
      </c>
      <c r="AB452" s="24">
        <f t="shared" si="166"/>
        <v>1</v>
      </c>
      <c r="AC452" s="24">
        <f t="shared" si="167"/>
        <v>3.5509033363639442</v>
      </c>
      <c r="AD452" s="24">
        <f t="shared" si="168"/>
        <v>4.302188119348906</v>
      </c>
      <c r="AE452" s="24">
        <f t="shared" si="169"/>
        <v>5.1009057923408898</v>
      </c>
      <c r="AF452" s="119" t="str">
        <f>VLOOKUP(P452*1,Referencias!$G:$H,2,0)</f>
        <v>dom</v>
      </c>
      <c r="BA452" s="10"/>
      <c r="BF452"/>
      <c r="BG452"/>
      <c r="BS452" s="10"/>
    </row>
    <row r="453" spans="1:71" ht="14.4" x14ac:dyDescent="0.3">
      <c r="A453" s="95"/>
      <c r="B453" s="96"/>
      <c r="C453" s="94">
        <v>0.57916666666666672</v>
      </c>
      <c r="D453" s="97"/>
      <c r="E453" s="97"/>
      <c r="F453" s="97" t="s">
        <v>194</v>
      </c>
      <c r="G453" s="98"/>
      <c r="H453" s="99"/>
      <c r="I453" s="97"/>
      <c r="N453" s="7" t="str">
        <f t="shared" si="170"/>
        <v>#LIEEVPFYE </v>
      </c>
      <c r="O453" s="7">
        <f t="shared" si="162"/>
        <v>0</v>
      </c>
      <c r="P453" s="21">
        <f t="shared" si="171"/>
        <v>43247</v>
      </c>
      <c r="Q453" s="22">
        <f>VLOOKUP(R453,Referencias!$D$1:$E$13,2,0)</f>
        <v>5</v>
      </c>
      <c r="R453" s="7" t="str">
        <f t="shared" si="172"/>
        <v>MAI</v>
      </c>
      <c r="S453" s="7">
        <f t="shared" si="163"/>
        <v>0</v>
      </c>
      <c r="T453" s="11">
        <f t="shared" si="160"/>
        <v>27</v>
      </c>
      <c r="U453" s="11">
        <f t="shared" si="164"/>
        <v>0</v>
      </c>
      <c r="V453" s="11" t="str">
        <f>VLOOKUP(C453,Referencias!$A$2:$B$33,2,1)</f>
        <v>13 - 14</v>
      </c>
      <c r="W453" s="23" t="str">
        <f t="shared" si="175"/>
        <v/>
      </c>
      <c r="X453" s="11">
        <f t="shared" si="165"/>
        <v>0</v>
      </c>
      <c r="Y453" s="11">
        <f t="shared" si="161"/>
        <v>0</v>
      </c>
      <c r="Z453" s="24">
        <f t="shared" si="173"/>
        <v>0</v>
      </c>
      <c r="AA453" s="25">
        <f t="shared" si="174"/>
        <v>0</v>
      </c>
      <c r="AB453" s="24">
        <f t="shared" si="166"/>
        <v>0</v>
      </c>
      <c r="AC453" s="24">
        <f t="shared" si="167"/>
        <v>0</v>
      </c>
      <c r="AD453" s="24">
        <f t="shared" si="168"/>
        <v>0</v>
      </c>
      <c r="AE453" s="24">
        <f t="shared" si="169"/>
        <v>0</v>
      </c>
      <c r="AF453" s="119" t="str">
        <f>VLOOKUP(P453*1,Referencias!$G:$H,2,0)</f>
        <v>dom</v>
      </c>
      <c r="BA453" s="10"/>
      <c r="BF453"/>
      <c r="BG453"/>
      <c r="BS453" s="10"/>
    </row>
    <row r="454" spans="1:71" ht="14.4" x14ac:dyDescent="0.3">
      <c r="A454" s="100"/>
      <c r="B454" s="100"/>
      <c r="C454" s="100"/>
      <c r="D454" s="100"/>
      <c r="E454" s="100"/>
      <c r="F454" s="100"/>
      <c r="G454" s="100"/>
      <c r="H454" s="100"/>
      <c r="I454" s="100"/>
      <c r="N454" s="7" t="str">
        <f t="shared" si="170"/>
        <v>#LIEEVPFYE </v>
      </c>
      <c r="O454" s="7">
        <f t="shared" si="162"/>
        <v>0</v>
      </c>
      <c r="P454" s="21">
        <f t="shared" si="171"/>
        <v>43247</v>
      </c>
      <c r="Q454" s="22">
        <f>VLOOKUP(R454,Referencias!$D$1:$E$13,2,0)</f>
        <v>5</v>
      </c>
      <c r="R454" s="7" t="str">
        <f t="shared" si="172"/>
        <v>MAI</v>
      </c>
      <c r="S454" s="7">
        <f t="shared" si="163"/>
        <v>0</v>
      </c>
      <c r="T454" s="11">
        <f t="shared" si="160"/>
        <v>27</v>
      </c>
      <c r="U454" s="11">
        <f t="shared" si="164"/>
        <v>0</v>
      </c>
      <c r="V454" s="11" t="e">
        <f>VLOOKUP(C454,Referencias!$A$2:$B$33,2,1)</f>
        <v>#N/A</v>
      </c>
      <c r="W454" s="23" t="str">
        <f t="shared" si="175"/>
        <v/>
      </c>
      <c r="X454" s="11">
        <f t="shared" si="165"/>
        <v>0</v>
      </c>
      <c r="Y454" s="11">
        <f t="shared" si="161"/>
        <v>0</v>
      </c>
      <c r="Z454" s="24">
        <f t="shared" si="173"/>
        <v>0</v>
      </c>
      <c r="AA454" s="25">
        <f t="shared" si="174"/>
        <v>0</v>
      </c>
      <c r="AB454" s="24">
        <f t="shared" si="166"/>
        <v>0</v>
      </c>
      <c r="AC454" s="24">
        <f t="shared" si="167"/>
        <v>0</v>
      </c>
      <c r="AD454" s="24">
        <f t="shared" si="168"/>
        <v>0</v>
      </c>
      <c r="AE454" s="24">
        <f t="shared" si="169"/>
        <v>0</v>
      </c>
      <c r="AF454" s="119" t="str">
        <f>VLOOKUP(P454*1,Referencias!$G:$H,2,0)</f>
        <v>dom</v>
      </c>
      <c r="BA454" s="10"/>
      <c r="BF454"/>
      <c r="BG454"/>
      <c r="BS454" s="10"/>
    </row>
    <row r="455" spans="1:71" ht="14.4" x14ac:dyDescent="0.3">
      <c r="N455" s="7" t="str">
        <f t="shared" si="170"/>
        <v>#LIEEVPFYE </v>
      </c>
      <c r="O455" s="7">
        <f t="shared" si="162"/>
        <v>0</v>
      </c>
      <c r="P455" s="21">
        <f t="shared" si="171"/>
        <v>43247</v>
      </c>
      <c r="Q455" s="22">
        <f>VLOOKUP(R455,Referencias!$D$1:$E$13,2,0)</f>
        <v>5</v>
      </c>
      <c r="R455" s="7" t="str">
        <f t="shared" si="172"/>
        <v>MAI</v>
      </c>
      <c r="S455" s="7">
        <f t="shared" si="163"/>
        <v>0</v>
      </c>
      <c r="T455" s="11">
        <f t="shared" si="160"/>
        <v>27</v>
      </c>
      <c r="U455" s="11">
        <f t="shared" si="164"/>
        <v>0</v>
      </c>
      <c r="V455" s="11" t="e">
        <f>VLOOKUP(C455,Referencias!$A$2:$B$33,2,1)</f>
        <v>#N/A</v>
      </c>
      <c r="W455" s="23" t="str">
        <f t="shared" si="175"/>
        <v/>
      </c>
      <c r="X455" s="11">
        <f t="shared" si="165"/>
        <v>0</v>
      </c>
      <c r="Y455" s="11">
        <f t="shared" si="161"/>
        <v>0</v>
      </c>
      <c r="Z455" s="24">
        <f t="shared" si="173"/>
        <v>0</v>
      </c>
      <c r="AA455" s="25">
        <f t="shared" si="174"/>
        <v>0</v>
      </c>
      <c r="AB455" s="24">
        <f t="shared" si="166"/>
        <v>0</v>
      </c>
      <c r="AC455" s="24">
        <f t="shared" si="167"/>
        <v>0</v>
      </c>
      <c r="AD455" s="24">
        <f t="shared" si="168"/>
        <v>0</v>
      </c>
      <c r="AE455" s="24">
        <f t="shared" si="169"/>
        <v>0</v>
      </c>
      <c r="AF455" s="119" t="str">
        <f>VLOOKUP(P455*1,Referencias!$G:$H,2,0)</f>
        <v>dom</v>
      </c>
      <c r="BA455" s="10"/>
      <c r="BF455"/>
      <c r="BG455"/>
      <c r="BS455" s="10"/>
    </row>
    <row r="456" spans="1:71" ht="14.4" x14ac:dyDescent="0.3">
      <c r="A456" s="95"/>
      <c r="B456" s="96" t="s">
        <v>195</v>
      </c>
      <c r="C456" s="94">
        <v>0.57916666666666672</v>
      </c>
      <c r="D456" s="97">
        <v>8.2899999999999991</v>
      </c>
      <c r="E456" s="97" t="s">
        <v>17</v>
      </c>
      <c r="F456" s="98">
        <v>1.32</v>
      </c>
      <c r="G456" s="98">
        <v>5.72</v>
      </c>
      <c r="H456" s="99">
        <v>330.61</v>
      </c>
      <c r="I456" s="97"/>
      <c r="N456" s="7" t="str">
        <f t="shared" si="170"/>
        <v>#LIKFG45X3 </v>
      </c>
      <c r="O456" s="7" t="str">
        <f t="shared" si="162"/>
        <v>#LIKFG45X3 </v>
      </c>
      <c r="P456" s="21">
        <f t="shared" si="171"/>
        <v>43247</v>
      </c>
      <c r="Q456" s="22">
        <f>VLOOKUP(R456,Referencias!$D$1:$E$13,2,0)</f>
        <v>5</v>
      </c>
      <c r="R456" s="7" t="str">
        <f t="shared" si="172"/>
        <v>MAI</v>
      </c>
      <c r="S456" s="7">
        <f t="shared" si="163"/>
        <v>0</v>
      </c>
      <c r="T456" s="11">
        <f t="shared" si="160"/>
        <v>27</v>
      </c>
      <c r="U456" s="11">
        <f t="shared" si="164"/>
        <v>0</v>
      </c>
      <c r="V456" s="11" t="str">
        <f>VLOOKUP(C456,Referencias!$A$2:$B$33,2,1)</f>
        <v>13 - 14</v>
      </c>
      <c r="W456" s="23">
        <f t="shared" si="175"/>
        <v>2.4999999999999911E-2</v>
      </c>
      <c r="X456" s="11">
        <f t="shared" si="165"/>
        <v>8.2899999999999991</v>
      </c>
      <c r="Y456" s="11">
        <f t="shared" si="161"/>
        <v>14.639587070322508</v>
      </c>
      <c r="Z456" s="24">
        <f t="shared" si="173"/>
        <v>5.72</v>
      </c>
      <c r="AA456" s="25">
        <f t="shared" si="174"/>
        <v>9.533333333333367</v>
      </c>
      <c r="AB456" s="24">
        <f t="shared" si="166"/>
        <v>1</v>
      </c>
      <c r="AC456" s="24">
        <f t="shared" si="167"/>
        <v>3.7474478014763393</v>
      </c>
      <c r="AD456" s="24">
        <f t="shared" si="168"/>
        <v>4.5403166130398045</v>
      </c>
      <c r="AE456" s="24">
        <f t="shared" si="169"/>
        <v>5.3832437513265479</v>
      </c>
      <c r="AF456" s="119" t="str">
        <f>VLOOKUP(P456*1,Referencias!$G:$H,2,0)</f>
        <v>dom</v>
      </c>
      <c r="BA456" s="10"/>
      <c r="BF456"/>
      <c r="BG456"/>
      <c r="BS456" s="10"/>
    </row>
    <row r="457" spans="1:71" ht="14.4" x14ac:dyDescent="0.3">
      <c r="A457" s="95"/>
      <c r="B457" s="96"/>
      <c r="C457" s="94">
        <v>0.60416666666666663</v>
      </c>
      <c r="D457" s="97"/>
      <c r="E457" s="97"/>
      <c r="F457" s="97" t="s">
        <v>194</v>
      </c>
      <c r="G457" s="98"/>
      <c r="H457" s="99"/>
      <c r="I457" s="97"/>
      <c r="N457" s="7" t="str">
        <f t="shared" si="170"/>
        <v>#LIKFG45X3 </v>
      </c>
      <c r="O457" s="7">
        <f t="shared" si="162"/>
        <v>0</v>
      </c>
      <c r="P457" s="21">
        <f t="shared" si="171"/>
        <v>43247</v>
      </c>
      <c r="Q457" s="22">
        <f>VLOOKUP(R457,Referencias!$D$1:$E$13,2,0)</f>
        <v>5</v>
      </c>
      <c r="R457" s="7" t="str">
        <f t="shared" si="172"/>
        <v>MAI</v>
      </c>
      <c r="S457" s="7">
        <f t="shared" si="163"/>
        <v>0</v>
      </c>
      <c r="T457" s="11">
        <f t="shared" si="160"/>
        <v>27</v>
      </c>
      <c r="U457" s="11">
        <f t="shared" si="164"/>
        <v>0</v>
      </c>
      <c r="V457" s="11" t="str">
        <f>VLOOKUP(C457,Referencias!$A$2:$B$33,2,1)</f>
        <v>14 - 15</v>
      </c>
      <c r="W457" s="23" t="str">
        <f t="shared" si="175"/>
        <v/>
      </c>
      <c r="X457" s="11">
        <f t="shared" si="165"/>
        <v>0</v>
      </c>
      <c r="Y457" s="11">
        <f t="shared" si="161"/>
        <v>0</v>
      </c>
      <c r="Z457" s="24">
        <f t="shared" si="173"/>
        <v>0</v>
      </c>
      <c r="AA457" s="25">
        <f t="shared" si="174"/>
        <v>0</v>
      </c>
      <c r="AB457" s="24">
        <f t="shared" si="166"/>
        <v>0</v>
      </c>
      <c r="AC457" s="24">
        <f t="shared" si="167"/>
        <v>0</v>
      </c>
      <c r="AD457" s="24">
        <f t="shared" si="168"/>
        <v>0</v>
      </c>
      <c r="AE457" s="24">
        <f t="shared" si="169"/>
        <v>0</v>
      </c>
      <c r="AF457" s="119" t="str">
        <f>VLOOKUP(P457*1,Referencias!$G:$H,2,0)</f>
        <v>dom</v>
      </c>
      <c r="BA457" s="10"/>
      <c r="BF457"/>
      <c r="BG457"/>
      <c r="BS457" s="10"/>
    </row>
    <row r="458" spans="1:71" ht="14.4" x14ac:dyDescent="0.3">
      <c r="A458" s="100"/>
      <c r="B458" s="100"/>
      <c r="C458" s="100"/>
      <c r="D458" s="100"/>
      <c r="E458" s="100"/>
      <c r="F458" s="100"/>
      <c r="G458" s="100"/>
      <c r="H458" s="100"/>
      <c r="I458" s="100"/>
      <c r="N458" s="7" t="str">
        <f t="shared" si="170"/>
        <v>#LIKFG45X3 </v>
      </c>
      <c r="O458" s="7">
        <f t="shared" si="162"/>
        <v>0</v>
      </c>
      <c r="P458" s="21">
        <f t="shared" si="171"/>
        <v>43247</v>
      </c>
      <c r="Q458" s="22">
        <f>VLOOKUP(R458,Referencias!$D$1:$E$13,2,0)</f>
        <v>5</v>
      </c>
      <c r="R458" s="7" t="str">
        <f t="shared" si="172"/>
        <v>MAI</v>
      </c>
      <c r="S458" s="7">
        <f t="shared" si="163"/>
        <v>0</v>
      </c>
      <c r="T458" s="11">
        <f t="shared" si="160"/>
        <v>27</v>
      </c>
      <c r="U458" s="11">
        <f t="shared" si="164"/>
        <v>0</v>
      </c>
      <c r="V458" s="11" t="e">
        <f>VLOOKUP(C458,Referencias!$A$2:$B$33,2,1)</f>
        <v>#N/A</v>
      </c>
      <c r="W458" s="23" t="str">
        <f t="shared" si="175"/>
        <v/>
      </c>
      <c r="X458" s="11">
        <f t="shared" si="165"/>
        <v>0</v>
      </c>
      <c r="Y458" s="11">
        <f t="shared" si="161"/>
        <v>0</v>
      </c>
      <c r="Z458" s="24">
        <f t="shared" si="173"/>
        <v>0</v>
      </c>
      <c r="AA458" s="25">
        <f t="shared" si="174"/>
        <v>0</v>
      </c>
      <c r="AB458" s="24">
        <f t="shared" si="166"/>
        <v>0</v>
      </c>
      <c r="AC458" s="24">
        <f t="shared" si="167"/>
        <v>0</v>
      </c>
      <c r="AD458" s="24">
        <f t="shared" si="168"/>
        <v>0</v>
      </c>
      <c r="AE458" s="24">
        <f t="shared" si="169"/>
        <v>0</v>
      </c>
      <c r="AF458" s="119" t="str">
        <f>VLOOKUP(P458*1,Referencias!$G:$H,2,0)</f>
        <v>dom</v>
      </c>
      <c r="BA458" s="10"/>
      <c r="BF458"/>
      <c r="BG458"/>
      <c r="BS458" s="10"/>
    </row>
    <row r="459" spans="1:71" ht="14.4" x14ac:dyDescent="0.3">
      <c r="N459" s="7" t="str">
        <f t="shared" si="170"/>
        <v>#LIKFG45X3 </v>
      </c>
      <c r="O459" s="7">
        <f t="shared" si="162"/>
        <v>0</v>
      </c>
      <c r="P459" s="21">
        <f t="shared" si="171"/>
        <v>43247</v>
      </c>
      <c r="Q459" s="22">
        <f>VLOOKUP(R459,Referencias!$D$1:$E$13,2,0)</f>
        <v>5</v>
      </c>
      <c r="R459" s="7" t="str">
        <f t="shared" si="172"/>
        <v>MAI</v>
      </c>
      <c r="S459" s="7">
        <f t="shared" si="163"/>
        <v>0</v>
      </c>
      <c r="T459" s="11">
        <f t="shared" si="160"/>
        <v>27</v>
      </c>
      <c r="U459" s="11">
        <f t="shared" si="164"/>
        <v>0</v>
      </c>
      <c r="V459" s="11" t="e">
        <f>VLOOKUP(C459,Referencias!$A$2:$B$33,2,1)</f>
        <v>#N/A</v>
      </c>
      <c r="W459" s="23" t="str">
        <f t="shared" si="175"/>
        <v/>
      </c>
      <c r="X459" s="11">
        <f t="shared" si="165"/>
        <v>0</v>
      </c>
      <c r="Y459" s="11">
        <f t="shared" si="161"/>
        <v>0</v>
      </c>
      <c r="Z459" s="24">
        <f t="shared" si="173"/>
        <v>0</v>
      </c>
      <c r="AA459" s="25">
        <f t="shared" si="174"/>
        <v>0</v>
      </c>
      <c r="AB459" s="24">
        <f t="shared" si="166"/>
        <v>0</v>
      </c>
      <c r="AC459" s="24">
        <f t="shared" si="167"/>
        <v>0</v>
      </c>
      <c r="AD459" s="24">
        <f t="shared" si="168"/>
        <v>0</v>
      </c>
      <c r="AE459" s="24">
        <f t="shared" si="169"/>
        <v>0</v>
      </c>
      <c r="AF459" s="119" t="str">
        <f>VLOOKUP(P459*1,Referencias!$G:$H,2,0)</f>
        <v>dom</v>
      </c>
      <c r="BA459" s="10"/>
      <c r="BF459"/>
      <c r="BG459"/>
      <c r="BS459" s="10"/>
    </row>
    <row r="460" spans="1:71" ht="14.4" x14ac:dyDescent="0.3">
      <c r="A460" s="95"/>
      <c r="B460" s="96" t="s">
        <v>196</v>
      </c>
      <c r="C460" s="94">
        <v>0.6069444444444444</v>
      </c>
      <c r="D460" s="97">
        <v>4.7300000000000004</v>
      </c>
      <c r="E460" s="97" t="s">
        <v>44</v>
      </c>
      <c r="F460" s="97"/>
      <c r="G460" s="98">
        <v>3.15</v>
      </c>
      <c r="H460" s="99">
        <v>333.76</v>
      </c>
      <c r="I460" s="97"/>
      <c r="N460" s="7" t="str">
        <f t="shared" si="170"/>
        <v>#LIS8RLC5K </v>
      </c>
      <c r="O460" s="7" t="str">
        <f t="shared" si="162"/>
        <v>#LIS8RLC5K </v>
      </c>
      <c r="P460" s="21">
        <f t="shared" si="171"/>
        <v>43247</v>
      </c>
      <c r="Q460" s="22">
        <f>VLOOKUP(R460,Referencias!$D$1:$E$13,2,0)</f>
        <v>5</v>
      </c>
      <c r="R460" s="7" t="str">
        <f t="shared" si="172"/>
        <v>MAI</v>
      </c>
      <c r="S460" s="7">
        <f t="shared" si="163"/>
        <v>0</v>
      </c>
      <c r="T460" s="11">
        <f t="shared" si="160"/>
        <v>27</v>
      </c>
      <c r="U460" s="11">
        <f t="shared" si="164"/>
        <v>0</v>
      </c>
      <c r="V460" s="11" t="str">
        <f>VLOOKUP(C460,Referencias!$A$2:$B$33,2,1)</f>
        <v>14 - 15</v>
      </c>
      <c r="W460" s="23">
        <f t="shared" si="175"/>
        <v>1.6666666666666718E-2</v>
      </c>
      <c r="X460" s="11">
        <f t="shared" si="165"/>
        <v>4.7300000000000004</v>
      </c>
      <c r="Y460" s="11">
        <f t="shared" si="161"/>
        <v>8.3528645166013842</v>
      </c>
      <c r="Z460" s="24">
        <f t="shared" si="173"/>
        <v>3.15</v>
      </c>
      <c r="AA460" s="25">
        <f t="shared" si="174"/>
        <v>7.8749999999999751</v>
      </c>
      <c r="AB460" s="24">
        <f t="shared" si="166"/>
        <v>1</v>
      </c>
      <c r="AC460" s="24">
        <f t="shared" si="167"/>
        <v>2.063716883680152</v>
      </c>
      <c r="AD460" s="24">
        <f t="shared" si="168"/>
        <v>2.5003491837544378</v>
      </c>
      <c r="AE460" s="24">
        <f t="shared" si="169"/>
        <v>2.96454856934941</v>
      </c>
      <c r="AF460" s="119" t="str">
        <f>VLOOKUP(P460*1,Referencias!$G:$H,2,0)</f>
        <v>dom</v>
      </c>
      <c r="BA460" s="10"/>
      <c r="BF460"/>
      <c r="BG460"/>
      <c r="BS460" s="10"/>
    </row>
    <row r="461" spans="1:71" ht="14.4" x14ac:dyDescent="0.3">
      <c r="A461" s="95"/>
      <c r="B461" s="96"/>
      <c r="C461" s="94">
        <v>0.62361111111111112</v>
      </c>
      <c r="D461" s="97"/>
      <c r="E461" s="97"/>
      <c r="F461" s="97"/>
      <c r="G461" s="98"/>
      <c r="H461" s="99"/>
      <c r="I461" s="97"/>
      <c r="N461" s="7" t="str">
        <f t="shared" si="170"/>
        <v>#LIS8RLC5K </v>
      </c>
      <c r="O461" s="7">
        <f t="shared" si="162"/>
        <v>0</v>
      </c>
      <c r="P461" s="21">
        <f t="shared" si="171"/>
        <v>43247</v>
      </c>
      <c r="Q461" s="22">
        <f>VLOOKUP(R461,Referencias!$D$1:$E$13,2,0)</f>
        <v>5</v>
      </c>
      <c r="R461" s="7" t="str">
        <f t="shared" si="172"/>
        <v>MAI</v>
      </c>
      <c r="S461" s="7">
        <f t="shared" si="163"/>
        <v>0</v>
      </c>
      <c r="T461" s="11">
        <f t="shared" si="160"/>
        <v>27</v>
      </c>
      <c r="U461" s="11">
        <f t="shared" si="164"/>
        <v>0</v>
      </c>
      <c r="V461" s="11" t="str">
        <f>VLOOKUP(C461,Referencias!$A$2:$B$33,2,1)</f>
        <v>14 - 15</v>
      </c>
      <c r="W461" s="23" t="str">
        <f t="shared" si="175"/>
        <v/>
      </c>
      <c r="X461" s="11">
        <f t="shared" si="165"/>
        <v>0</v>
      </c>
      <c r="Y461" s="11">
        <f t="shared" si="161"/>
        <v>0</v>
      </c>
      <c r="Z461" s="24">
        <f t="shared" si="173"/>
        <v>0</v>
      </c>
      <c r="AA461" s="25">
        <f t="shared" si="174"/>
        <v>0</v>
      </c>
      <c r="AB461" s="24">
        <f t="shared" si="166"/>
        <v>0</v>
      </c>
      <c r="AC461" s="24">
        <f t="shared" si="167"/>
        <v>0</v>
      </c>
      <c r="AD461" s="24">
        <f t="shared" si="168"/>
        <v>0</v>
      </c>
      <c r="AE461" s="24">
        <f t="shared" si="169"/>
        <v>0</v>
      </c>
      <c r="AF461" s="119" t="str">
        <f>VLOOKUP(P461*1,Referencias!$G:$H,2,0)</f>
        <v>dom</v>
      </c>
      <c r="BA461" s="10"/>
      <c r="BF461"/>
      <c r="BG461"/>
      <c r="BS461" s="10"/>
    </row>
    <row r="462" spans="1:71" ht="14.4" x14ac:dyDescent="0.3">
      <c r="A462" s="100"/>
      <c r="B462" s="100"/>
      <c r="C462" s="100"/>
      <c r="D462" s="100"/>
      <c r="E462" s="100"/>
      <c r="F462" s="100"/>
      <c r="G462" s="100"/>
      <c r="H462" s="100"/>
      <c r="I462" s="100"/>
      <c r="N462" s="7" t="str">
        <f t="shared" si="170"/>
        <v>#LIS8RLC5K </v>
      </c>
      <c r="O462" s="7">
        <f t="shared" si="162"/>
        <v>0</v>
      </c>
      <c r="P462" s="21">
        <f t="shared" si="171"/>
        <v>43247</v>
      </c>
      <c r="Q462" s="22">
        <f>VLOOKUP(R462,Referencias!$D$1:$E$13,2,0)</f>
        <v>5</v>
      </c>
      <c r="R462" s="7" t="str">
        <f t="shared" si="172"/>
        <v>MAI</v>
      </c>
      <c r="S462" s="7">
        <f t="shared" si="163"/>
        <v>0</v>
      </c>
      <c r="T462" s="11">
        <f t="shared" si="160"/>
        <v>27</v>
      </c>
      <c r="U462" s="11">
        <f t="shared" si="164"/>
        <v>0</v>
      </c>
      <c r="V462" s="11" t="e">
        <f>VLOOKUP(C462,Referencias!$A$2:$B$33,2,1)</f>
        <v>#N/A</v>
      </c>
      <c r="W462" s="23" t="str">
        <f t="shared" si="175"/>
        <v/>
      </c>
      <c r="X462" s="11">
        <f t="shared" si="165"/>
        <v>0</v>
      </c>
      <c r="Y462" s="11">
        <f t="shared" si="161"/>
        <v>0</v>
      </c>
      <c r="Z462" s="24">
        <f t="shared" si="173"/>
        <v>0</v>
      </c>
      <c r="AA462" s="25">
        <f t="shared" si="174"/>
        <v>0</v>
      </c>
      <c r="AB462" s="24">
        <f t="shared" si="166"/>
        <v>0</v>
      </c>
      <c r="AC462" s="24">
        <f t="shared" si="167"/>
        <v>0</v>
      </c>
      <c r="AD462" s="24">
        <f t="shared" si="168"/>
        <v>0</v>
      </c>
      <c r="AE462" s="24">
        <f t="shared" si="169"/>
        <v>0</v>
      </c>
      <c r="AF462" s="119" t="str">
        <f>VLOOKUP(P462*1,Referencias!$G:$H,2,0)</f>
        <v>dom</v>
      </c>
      <c r="BA462" s="10"/>
      <c r="BF462"/>
      <c r="BG462"/>
      <c r="BS462" s="10"/>
    </row>
    <row r="463" spans="1:71" ht="14.4" x14ac:dyDescent="0.3">
      <c r="N463" s="7" t="str">
        <f t="shared" si="170"/>
        <v>#LIS8RLC5K </v>
      </c>
      <c r="O463" s="7">
        <f t="shared" si="162"/>
        <v>0</v>
      </c>
      <c r="P463" s="21">
        <f t="shared" si="171"/>
        <v>43247</v>
      </c>
      <c r="Q463" s="22">
        <f>VLOOKUP(R463,Referencias!$D$1:$E$13,2,0)</f>
        <v>5</v>
      </c>
      <c r="R463" s="7" t="str">
        <f t="shared" si="172"/>
        <v>MAI</v>
      </c>
      <c r="S463" s="7">
        <f t="shared" si="163"/>
        <v>0</v>
      </c>
      <c r="T463" s="11">
        <f t="shared" si="160"/>
        <v>27</v>
      </c>
      <c r="U463" s="11">
        <f t="shared" si="164"/>
        <v>0</v>
      </c>
      <c r="V463" s="11" t="e">
        <f>VLOOKUP(C463,Referencias!$A$2:$B$33,2,1)</f>
        <v>#N/A</v>
      </c>
      <c r="W463" s="23" t="str">
        <f t="shared" si="175"/>
        <v/>
      </c>
      <c r="X463" s="11">
        <f t="shared" si="165"/>
        <v>0</v>
      </c>
      <c r="Y463" s="11">
        <f t="shared" si="161"/>
        <v>0</v>
      </c>
      <c r="Z463" s="24">
        <f t="shared" si="173"/>
        <v>0</v>
      </c>
      <c r="AA463" s="25">
        <f t="shared" si="174"/>
        <v>0</v>
      </c>
      <c r="AB463" s="24">
        <f t="shared" si="166"/>
        <v>0</v>
      </c>
      <c r="AC463" s="24">
        <f t="shared" si="167"/>
        <v>0</v>
      </c>
      <c r="AD463" s="24">
        <f t="shared" si="168"/>
        <v>0</v>
      </c>
      <c r="AE463" s="24">
        <f t="shared" si="169"/>
        <v>0</v>
      </c>
      <c r="AF463" s="119" t="str">
        <f>VLOOKUP(P463*1,Referencias!$G:$H,2,0)</f>
        <v>dom</v>
      </c>
      <c r="BA463" s="10"/>
      <c r="BF463"/>
      <c r="BG463"/>
      <c r="BS463" s="10"/>
    </row>
    <row r="464" spans="1:71" ht="14.4" x14ac:dyDescent="0.3">
      <c r="A464" s="95"/>
      <c r="B464" s="96" t="s">
        <v>197</v>
      </c>
      <c r="C464" s="94">
        <v>0.62986111111111109</v>
      </c>
      <c r="D464" s="97">
        <v>8.82</v>
      </c>
      <c r="E464" s="97" t="s">
        <v>74</v>
      </c>
      <c r="F464" s="97"/>
      <c r="G464" s="98">
        <v>5.04</v>
      </c>
      <c r="H464" s="99">
        <v>338.8</v>
      </c>
      <c r="I464" s="97"/>
      <c r="N464" s="7" t="str">
        <f t="shared" si="170"/>
        <v>#LIDP1NDVP </v>
      </c>
      <c r="O464" s="7" t="str">
        <f t="shared" si="162"/>
        <v>#LIDP1NDVP </v>
      </c>
      <c r="P464" s="21">
        <f t="shared" si="171"/>
        <v>43247</v>
      </c>
      <c r="Q464" s="22">
        <f>VLOOKUP(R464,Referencias!$D$1:$E$13,2,0)</f>
        <v>5</v>
      </c>
      <c r="R464" s="7" t="str">
        <f t="shared" si="172"/>
        <v>MAI</v>
      </c>
      <c r="S464" s="7">
        <f t="shared" si="163"/>
        <v>0</v>
      </c>
      <c r="T464" s="11">
        <f t="shared" si="160"/>
        <v>27</v>
      </c>
      <c r="U464" s="11">
        <f t="shared" si="164"/>
        <v>0</v>
      </c>
      <c r="V464" s="11" t="str">
        <f>VLOOKUP(C464,Referencias!$A$2:$B$33,2,1)</f>
        <v>15 - 16</v>
      </c>
      <c r="W464" s="23">
        <f t="shared" si="175"/>
        <v>3.8888888888888973E-2</v>
      </c>
      <c r="X464" s="11">
        <f t="shared" si="165"/>
        <v>8.82</v>
      </c>
      <c r="Y464" s="11">
        <f t="shared" si="161"/>
        <v>15.575531720174251</v>
      </c>
      <c r="Z464" s="24">
        <f t="shared" si="173"/>
        <v>5.04</v>
      </c>
      <c r="AA464" s="25">
        <f t="shared" si="174"/>
        <v>5.3999999999999888</v>
      </c>
      <c r="AB464" s="24">
        <f t="shared" si="166"/>
        <v>1</v>
      </c>
      <c r="AC464" s="24">
        <f t="shared" si="167"/>
        <v>3.3019470138882432</v>
      </c>
      <c r="AD464" s="24">
        <f t="shared" si="168"/>
        <v>4.0005586940071005</v>
      </c>
      <c r="AE464" s="24">
        <f t="shared" si="169"/>
        <v>4.743277710959056</v>
      </c>
      <c r="AF464" s="119" t="str">
        <f>VLOOKUP(P464*1,Referencias!$G:$H,2,0)</f>
        <v>dom</v>
      </c>
      <c r="BA464" s="10"/>
      <c r="BF464"/>
      <c r="BG464"/>
      <c r="BS464" s="10"/>
    </row>
    <row r="465" spans="1:71" ht="14.4" x14ac:dyDescent="0.3">
      <c r="A465" s="95"/>
      <c r="B465" s="96"/>
      <c r="C465" s="94">
        <v>0.66875000000000007</v>
      </c>
      <c r="D465" s="97"/>
      <c r="E465" s="97"/>
      <c r="F465" s="97"/>
      <c r="G465" s="98"/>
      <c r="H465" s="99"/>
      <c r="I465" s="97"/>
      <c r="N465" s="7" t="str">
        <f t="shared" si="170"/>
        <v>#LIDP1NDVP </v>
      </c>
      <c r="O465" s="7">
        <f t="shared" si="162"/>
        <v>0</v>
      </c>
      <c r="P465" s="21">
        <f t="shared" si="171"/>
        <v>43247</v>
      </c>
      <c r="Q465" s="22">
        <f>VLOOKUP(R465,Referencias!$D$1:$E$13,2,0)</f>
        <v>5</v>
      </c>
      <c r="R465" s="7" t="str">
        <f t="shared" si="172"/>
        <v>MAI</v>
      </c>
      <c r="S465" s="7">
        <f t="shared" si="163"/>
        <v>0</v>
      </c>
      <c r="T465" s="11">
        <f t="shared" si="160"/>
        <v>27</v>
      </c>
      <c r="U465" s="11">
        <f t="shared" si="164"/>
        <v>0</v>
      </c>
      <c r="V465" s="11" t="str">
        <f>VLOOKUP(C465,Referencias!$A$2:$B$33,2,1)</f>
        <v>16 - 17</v>
      </c>
      <c r="W465" s="23" t="str">
        <f t="shared" si="175"/>
        <v/>
      </c>
      <c r="X465" s="11">
        <f t="shared" si="165"/>
        <v>0</v>
      </c>
      <c r="Y465" s="11">
        <f t="shared" si="161"/>
        <v>0</v>
      </c>
      <c r="Z465" s="24">
        <f t="shared" si="173"/>
        <v>0</v>
      </c>
      <c r="AA465" s="25">
        <f t="shared" si="174"/>
        <v>0</v>
      </c>
      <c r="AB465" s="24">
        <f t="shared" si="166"/>
        <v>0</v>
      </c>
      <c r="AC465" s="24">
        <f t="shared" si="167"/>
        <v>0</v>
      </c>
      <c r="AD465" s="24">
        <f t="shared" si="168"/>
        <v>0</v>
      </c>
      <c r="AE465" s="24">
        <f t="shared" si="169"/>
        <v>0</v>
      </c>
      <c r="AF465" s="119" t="str">
        <f>VLOOKUP(P465*1,Referencias!$G:$H,2,0)</f>
        <v>dom</v>
      </c>
      <c r="BA465" s="10"/>
      <c r="BF465"/>
      <c r="BG465"/>
      <c r="BS465" s="10"/>
    </row>
    <row r="466" spans="1:71" ht="14.4" x14ac:dyDescent="0.3">
      <c r="A466" s="100"/>
      <c r="B466" s="100"/>
      <c r="C466" s="100"/>
      <c r="D466" s="100"/>
      <c r="E466" s="100"/>
      <c r="F466" s="100"/>
      <c r="G466" s="100"/>
      <c r="H466" s="100"/>
      <c r="I466" s="100"/>
      <c r="N466" s="7" t="str">
        <f t="shared" si="170"/>
        <v>#LIDP1NDVP </v>
      </c>
      <c r="O466" s="7">
        <f t="shared" si="162"/>
        <v>0</v>
      </c>
      <c r="P466" s="21">
        <f t="shared" si="171"/>
        <v>43247</v>
      </c>
      <c r="Q466" s="22">
        <f>VLOOKUP(R466,Referencias!$D$1:$E$13,2,0)</f>
        <v>5</v>
      </c>
      <c r="R466" s="7" t="str">
        <f t="shared" si="172"/>
        <v>MAI</v>
      </c>
      <c r="S466" s="7">
        <f t="shared" si="163"/>
        <v>0</v>
      </c>
      <c r="T466" s="11">
        <f t="shared" si="160"/>
        <v>27</v>
      </c>
      <c r="U466" s="11">
        <f t="shared" si="164"/>
        <v>0</v>
      </c>
      <c r="V466" s="11" t="e">
        <f>VLOOKUP(C466,Referencias!$A$2:$B$33,2,1)</f>
        <v>#N/A</v>
      </c>
      <c r="W466" s="23" t="str">
        <f t="shared" si="175"/>
        <v/>
      </c>
      <c r="X466" s="11">
        <f t="shared" si="165"/>
        <v>0</v>
      </c>
      <c r="Y466" s="11">
        <f t="shared" si="161"/>
        <v>0</v>
      </c>
      <c r="Z466" s="24">
        <f t="shared" si="173"/>
        <v>0</v>
      </c>
      <c r="AA466" s="25">
        <f t="shared" si="174"/>
        <v>0</v>
      </c>
      <c r="AB466" s="24">
        <f t="shared" si="166"/>
        <v>0</v>
      </c>
      <c r="AC466" s="24">
        <f t="shared" si="167"/>
        <v>0</v>
      </c>
      <c r="AD466" s="24">
        <f t="shared" si="168"/>
        <v>0</v>
      </c>
      <c r="AE466" s="24">
        <f t="shared" si="169"/>
        <v>0</v>
      </c>
      <c r="AF466" s="119" t="str">
        <f>VLOOKUP(P466*1,Referencias!$G:$H,2,0)</f>
        <v>dom</v>
      </c>
      <c r="BA466" s="10"/>
      <c r="BF466"/>
      <c r="BG466"/>
      <c r="BS466" s="10"/>
    </row>
    <row r="467" spans="1:71" ht="14.4" x14ac:dyDescent="0.3">
      <c r="N467" s="7" t="str">
        <f t="shared" si="170"/>
        <v>#LIDP1NDVP </v>
      </c>
      <c r="O467" s="7">
        <f t="shared" si="162"/>
        <v>0</v>
      </c>
      <c r="P467" s="21">
        <f t="shared" si="171"/>
        <v>43247</v>
      </c>
      <c r="Q467" s="22">
        <f>VLOOKUP(R467,Referencias!$D$1:$E$13,2,0)</f>
        <v>5</v>
      </c>
      <c r="R467" s="7" t="str">
        <f t="shared" si="172"/>
        <v>MAI</v>
      </c>
      <c r="S467" s="7">
        <f t="shared" si="163"/>
        <v>0</v>
      </c>
      <c r="T467" s="11">
        <f t="shared" si="160"/>
        <v>27</v>
      </c>
      <c r="U467" s="11">
        <f t="shared" si="164"/>
        <v>0</v>
      </c>
      <c r="V467" s="11" t="e">
        <f>VLOOKUP(C467,Referencias!$A$2:$B$33,2,1)</f>
        <v>#N/A</v>
      </c>
      <c r="W467" s="23" t="str">
        <f t="shared" si="175"/>
        <v/>
      </c>
      <c r="X467" s="11">
        <f t="shared" si="165"/>
        <v>0</v>
      </c>
      <c r="Y467" s="11">
        <f t="shared" si="161"/>
        <v>0</v>
      </c>
      <c r="Z467" s="24">
        <f t="shared" si="173"/>
        <v>0</v>
      </c>
      <c r="AA467" s="25">
        <f t="shared" si="174"/>
        <v>0</v>
      </c>
      <c r="AB467" s="24">
        <f t="shared" si="166"/>
        <v>0</v>
      </c>
      <c r="AC467" s="24">
        <f t="shared" si="167"/>
        <v>0</v>
      </c>
      <c r="AD467" s="24">
        <f t="shared" si="168"/>
        <v>0</v>
      </c>
      <c r="AE467" s="24">
        <f t="shared" si="169"/>
        <v>0</v>
      </c>
      <c r="AF467" s="119" t="str">
        <f>VLOOKUP(P467*1,Referencias!$G:$H,2,0)</f>
        <v>dom</v>
      </c>
      <c r="BA467" s="10"/>
      <c r="BF467"/>
      <c r="BG467"/>
      <c r="BS467" s="10"/>
    </row>
    <row r="468" spans="1:71" ht="14.4" x14ac:dyDescent="0.3">
      <c r="A468" s="95"/>
      <c r="B468" s="96" t="s">
        <v>198</v>
      </c>
      <c r="C468" s="94">
        <v>0.66875000000000007</v>
      </c>
      <c r="D468" s="97">
        <v>2.97</v>
      </c>
      <c r="E468" s="97" t="s">
        <v>29</v>
      </c>
      <c r="F468" s="97"/>
      <c r="G468" s="98">
        <v>1.5</v>
      </c>
      <c r="H468" s="99">
        <v>340.3</v>
      </c>
      <c r="I468" s="97"/>
      <c r="N468" s="7" t="str">
        <f t="shared" si="170"/>
        <v>#LIC11AH8K </v>
      </c>
      <c r="O468" s="7" t="str">
        <f t="shared" si="162"/>
        <v>#LIC11AH8K </v>
      </c>
      <c r="P468" s="21">
        <f t="shared" si="171"/>
        <v>43247</v>
      </c>
      <c r="Q468" s="22">
        <f>VLOOKUP(R468,Referencias!$D$1:$E$13,2,0)</f>
        <v>5</v>
      </c>
      <c r="R468" s="7" t="str">
        <f t="shared" si="172"/>
        <v>MAI</v>
      </c>
      <c r="S468" s="7">
        <f t="shared" si="163"/>
        <v>0</v>
      </c>
      <c r="T468" s="11">
        <f t="shared" si="160"/>
        <v>27</v>
      </c>
      <c r="U468" s="11">
        <f t="shared" si="164"/>
        <v>0</v>
      </c>
      <c r="V468" s="11" t="str">
        <f>VLOOKUP(C468,Referencias!$A$2:$B$33,2,1)</f>
        <v>16 - 17</v>
      </c>
      <c r="W468" s="23">
        <f t="shared" si="175"/>
        <v>2.0833333333333259E-3</v>
      </c>
      <c r="X468" s="11">
        <f t="shared" si="165"/>
        <v>2.97</v>
      </c>
      <c r="Y468" s="11">
        <f t="shared" si="161"/>
        <v>5.2448219057729615</v>
      </c>
      <c r="Z468" s="24">
        <f t="shared" si="173"/>
        <v>1.5</v>
      </c>
      <c r="AA468" s="25">
        <f t="shared" si="174"/>
        <v>30.000000000000103</v>
      </c>
      <c r="AB468" s="24">
        <f t="shared" si="166"/>
        <v>1</v>
      </c>
      <c r="AC468" s="24">
        <f t="shared" si="167"/>
        <v>0.98272232556197714</v>
      </c>
      <c r="AD468" s="24">
        <f t="shared" si="168"/>
        <v>1.1906424684544943</v>
      </c>
      <c r="AE468" s="24">
        <f t="shared" si="169"/>
        <v>1.4116897949282905</v>
      </c>
      <c r="AF468" s="119" t="str">
        <f>VLOOKUP(P468*1,Referencias!$G:$H,2,0)</f>
        <v>dom</v>
      </c>
      <c r="BA468" s="10"/>
      <c r="BF468"/>
      <c r="BG468"/>
      <c r="BS468" s="10"/>
    </row>
    <row r="469" spans="1:71" ht="14.4" x14ac:dyDescent="0.3">
      <c r="A469" s="95"/>
      <c r="B469" s="96"/>
      <c r="C469" s="94">
        <v>0.67083333333333339</v>
      </c>
      <c r="D469" s="97"/>
      <c r="E469" s="97"/>
      <c r="F469" s="97"/>
      <c r="G469" s="98"/>
      <c r="H469" s="99"/>
      <c r="I469" s="97"/>
      <c r="N469" s="7" t="str">
        <f t="shared" si="170"/>
        <v>#LIC11AH8K </v>
      </c>
      <c r="O469" s="7">
        <f t="shared" si="162"/>
        <v>0</v>
      </c>
      <c r="P469" s="21">
        <f t="shared" si="171"/>
        <v>43247</v>
      </c>
      <c r="Q469" s="22">
        <f>VLOOKUP(R469,Referencias!$D$1:$E$13,2,0)</f>
        <v>5</v>
      </c>
      <c r="R469" s="7" t="str">
        <f t="shared" si="172"/>
        <v>MAI</v>
      </c>
      <c r="S469" s="7">
        <f t="shared" si="163"/>
        <v>0</v>
      </c>
      <c r="T469" s="11">
        <f t="shared" si="160"/>
        <v>27</v>
      </c>
      <c r="U469" s="11">
        <f t="shared" si="164"/>
        <v>0</v>
      </c>
      <c r="V469" s="11" t="str">
        <f>VLOOKUP(C469,Referencias!$A$2:$B$33,2,1)</f>
        <v>16 - 17</v>
      </c>
      <c r="W469" s="23" t="str">
        <f t="shared" si="175"/>
        <v/>
      </c>
      <c r="X469" s="11">
        <f t="shared" si="165"/>
        <v>0</v>
      </c>
      <c r="Y469" s="11">
        <f t="shared" si="161"/>
        <v>0</v>
      </c>
      <c r="Z469" s="24">
        <f t="shared" si="173"/>
        <v>0</v>
      </c>
      <c r="AA469" s="25">
        <f t="shared" si="174"/>
        <v>0</v>
      </c>
      <c r="AB469" s="24">
        <f t="shared" si="166"/>
        <v>0</v>
      </c>
      <c r="AC469" s="24">
        <f t="shared" si="167"/>
        <v>0</v>
      </c>
      <c r="AD469" s="24">
        <f t="shared" si="168"/>
        <v>0</v>
      </c>
      <c r="AE469" s="24">
        <f t="shared" si="169"/>
        <v>0</v>
      </c>
      <c r="AF469" s="119" t="str">
        <f>VLOOKUP(P469*1,Referencias!$G:$H,2,0)</f>
        <v>dom</v>
      </c>
      <c r="BA469" s="10"/>
      <c r="BF469"/>
      <c r="BG469"/>
      <c r="BS469" s="10"/>
    </row>
    <row r="470" spans="1:71" ht="14.4" x14ac:dyDescent="0.3">
      <c r="A470" s="100"/>
      <c r="B470" s="100"/>
      <c r="C470" s="100"/>
      <c r="D470" s="100"/>
      <c r="E470" s="100"/>
      <c r="F470" s="100"/>
      <c r="G470" s="100"/>
      <c r="H470" s="100"/>
      <c r="I470" s="100"/>
      <c r="N470" s="7" t="str">
        <f t="shared" si="170"/>
        <v>#LIC11AH8K </v>
      </c>
      <c r="O470" s="7">
        <f t="shared" si="162"/>
        <v>0</v>
      </c>
      <c r="P470" s="21">
        <f t="shared" si="171"/>
        <v>43247</v>
      </c>
      <c r="Q470" s="22">
        <f>VLOOKUP(R470,Referencias!$D$1:$E$13,2,0)</f>
        <v>5</v>
      </c>
      <c r="R470" s="7" t="str">
        <f t="shared" si="172"/>
        <v>MAI</v>
      </c>
      <c r="S470" s="7">
        <f t="shared" si="163"/>
        <v>0</v>
      </c>
      <c r="T470" s="11">
        <f t="shared" si="160"/>
        <v>27</v>
      </c>
      <c r="U470" s="11">
        <f t="shared" si="164"/>
        <v>0</v>
      </c>
      <c r="V470" s="11" t="e">
        <f>VLOOKUP(C470,Referencias!$A$2:$B$33,2,1)</f>
        <v>#N/A</v>
      </c>
      <c r="W470" s="23" t="str">
        <f t="shared" si="175"/>
        <v/>
      </c>
      <c r="X470" s="11">
        <f t="shared" si="165"/>
        <v>0</v>
      </c>
      <c r="Y470" s="11">
        <f t="shared" si="161"/>
        <v>0</v>
      </c>
      <c r="Z470" s="24">
        <f t="shared" si="173"/>
        <v>0</v>
      </c>
      <c r="AA470" s="25">
        <f t="shared" si="174"/>
        <v>0</v>
      </c>
      <c r="AB470" s="24">
        <f t="shared" si="166"/>
        <v>0</v>
      </c>
      <c r="AC470" s="24">
        <f t="shared" si="167"/>
        <v>0</v>
      </c>
      <c r="AD470" s="24">
        <f t="shared" si="168"/>
        <v>0</v>
      </c>
      <c r="AE470" s="24">
        <f t="shared" si="169"/>
        <v>0</v>
      </c>
      <c r="AF470" s="119" t="str">
        <f>VLOOKUP(P470*1,Referencias!$G:$H,2,0)</f>
        <v>dom</v>
      </c>
      <c r="BA470" s="10"/>
      <c r="BF470"/>
      <c r="BG470"/>
      <c r="BS470" s="10"/>
    </row>
    <row r="471" spans="1:71" ht="14.4" x14ac:dyDescent="0.3">
      <c r="N471" s="7" t="str">
        <f t="shared" si="170"/>
        <v>#LIC11AH8K </v>
      </c>
      <c r="O471" s="7">
        <f t="shared" si="162"/>
        <v>0</v>
      </c>
      <c r="P471" s="21">
        <f t="shared" si="171"/>
        <v>43247</v>
      </c>
      <c r="Q471" s="22">
        <f>VLOOKUP(R471,Referencias!$D$1:$E$13,2,0)</f>
        <v>5</v>
      </c>
      <c r="R471" s="7" t="str">
        <f t="shared" si="172"/>
        <v>MAI</v>
      </c>
      <c r="S471" s="7">
        <f t="shared" si="163"/>
        <v>0</v>
      </c>
      <c r="T471" s="11">
        <f t="shared" si="160"/>
        <v>27</v>
      </c>
      <c r="U471" s="11">
        <f t="shared" si="164"/>
        <v>0</v>
      </c>
      <c r="V471" s="11" t="e">
        <f>VLOOKUP(C471,Referencias!$A$2:$B$33,2,1)</f>
        <v>#N/A</v>
      </c>
      <c r="W471" s="23" t="str">
        <f t="shared" si="175"/>
        <v/>
      </c>
      <c r="X471" s="11">
        <f t="shared" si="165"/>
        <v>0</v>
      </c>
      <c r="Y471" s="11">
        <f t="shared" si="161"/>
        <v>0</v>
      </c>
      <c r="Z471" s="24">
        <f t="shared" si="173"/>
        <v>0</v>
      </c>
      <c r="AA471" s="25">
        <f t="shared" si="174"/>
        <v>0</v>
      </c>
      <c r="AB471" s="24">
        <f t="shared" si="166"/>
        <v>0</v>
      </c>
      <c r="AC471" s="24">
        <f t="shared" si="167"/>
        <v>0</v>
      </c>
      <c r="AD471" s="24">
        <f t="shared" si="168"/>
        <v>0</v>
      </c>
      <c r="AE471" s="24">
        <f t="shared" si="169"/>
        <v>0</v>
      </c>
      <c r="AF471" s="119" t="str">
        <f>VLOOKUP(P471*1,Referencias!$G:$H,2,0)</f>
        <v>dom</v>
      </c>
      <c r="BA471" s="10"/>
      <c r="BF471"/>
      <c r="BG471"/>
      <c r="BS471" s="10"/>
    </row>
    <row r="472" spans="1:71" ht="14.4" x14ac:dyDescent="0.3">
      <c r="A472" s="95"/>
      <c r="B472" s="96" t="s">
        <v>199</v>
      </c>
      <c r="C472" s="94">
        <v>0.67083333333333339</v>
      </c>
      <c r="D472" s="97">
        <v>9.5</v>
      </c>
      <c r="E472" s="97" t="s">
        <v>200</v>
      </c>
      <c r="F472" s="97"/>
      <c r="G472" s="98">
        <v>6.17</v>
      </c>
      <c r="H472" s="99">
        <v>346.47</v>
      </c>
      <c r="I472" s="97"/>
      <c r="N472" s="7" t="str">
        <f t="shared" si="170"/>
        <v>#LI7AGUGFM </v>
      </c>
      <c r="O472" s="7" t="str">
        <f t="shared" si="162"/>
        <v>#LI7AGUGFM </v>
      </c>
      <c r="P472" s="21">
        <f t="shared" si="171"/>
        <v>43247</v>
      </c>
      <c r="Q472" s="22">
        <f>VLOOKUP(R472,Referencias!$D$1:$E$13,2,0)</f>
        <v>5</v>
      </c>
      <c r="R472" s="7" t="str">
        <f t="shared" si="172"/>
        <v>MAI</v>
      </c>
      <c r="S472" s="7">
        <f t="shared" si="163"/>
        <v>0</v>
      </c>
      <c r="T472" s="11">
        <f t="shared" si="160"/>
        <v>27</v>
      </c>
      <c r="U472" s="11">
        <f t="shared" si="164"/>
        <v>0</v>
      </c>
      <c r="V472" s="11" t="str">
        <f>VLOOKUP(C472,Referencias!$A$2:$B$33,2,1)</f>
        <v>16 - 17</v>
      </c>
      <c r="W472" s="23">
        <f t="shared" si="175"/>
        <v>3.6805555555555536E-2</v>
      </c>
      <c r="X472" s="11">
        <f t="shared" si="165"/>
        <v>9.5</v>
      </c>
      <c r="Y472" s="11">
        <f t="shared" si="161"/>
        <v>16.776366365267048</v>
      </c>
      <c r="Z472" s="24">
        <f t="shared" si="173"/>
        <v>6.17</v>
      </c>
      <c r="AA472" s="25">
        <f t="shared" si="174"/>
        <v>6.984905660377362</v>
      </c>
      <c r="AB472" s="24">
        <f t="shared" si="166"/>
        <v>1</v>
      </c>
      <c r="AC472" s="24">
        <f t="shared" si="167"/>
        <v>4.0422644991449328</v>
      </c>
      <c r="AD472" s="24">
        <f t="shared" si="168"/>
        <v>4.8975093535761527</v>
      </c>
      <c r="AE472" s="24">
        <f t="shared" si="169"/>
        <v>5.8067506898050354</v>
      </c>
      <c r="AF472" s="119" t="str">
        <f>VLOOKUP(P472*1,Referencias!$G:$H,2,0)</f>
        <v>dom</v>
      </c>
      <c r="BA472" s="10"/>
      <c r="BF472"/>
      <c r="BG472"/>
      <c r="BS472" s="10"/>
    </row>
    <row r="473" spans="1:71" ht="14.4" x14ac:dyDescent="0.3">
      <c r="A473" s="95"/>
      <c r="B473" s="96"/>
      <c r="C473" s="94">
        <v>0.70763888888888893</v>
      </c>
      <c r="D473" s="97"/>
      <c r="E473" s="97"/>
      <c r="F473" s="97"/>
      <c r="G473" s="98"/>
      <c r="H473" s="99"/>
      <c r="I473" s="97"/>
      <c r="N473" s="7" t="str">
        <f t="shared" si="170"/>
        <v>#LI7AGUGFM </v>
      </c>
      <c r="O473" s="7">
        <f t="shared" si="162"/>
        <v>0</v>
      </c>
      <c r="P473" s="21">
        <f t="shared" si="171"/>
        <v>43247</v>
      </c>
      <c r="Q473" s="22">
        <f>VLOOKUP(R473,Referencias!$D$1:$E$13,2,0)</f>
        <v>5</v>
      </c>
      <c r="R473" s="7" t="str">
        <f t="shared" si="172"/>
        <v>MAI</v>
      </c>
      <c r="S473" s="7">
        <f t="shared" si="163"/>
        <v>0</v>
      </c>
      <c r="T473" s="11">
        <f t="shared" si="160"/>
        <v>27</v>
      </c>
      <c r="U473" s="11">
        <f t="shared" si="164"/>
        <v>0</v>
      </c>
      <c r="V473" s="11" t="str">
        <f>VLOOKUP(C473,Referencias!$A$2:$B$33,2,1)</f>
        <v>16 - 17</v>
      </c>
      <c r="W473" s="23" t="str">
        <f t="shared" si="175"/>
        <v/>
      </c>
      <c r="X473" s="11">
        <f t="shared" si="165"/>
        <v>0</v>
      </c>
      <c r="Y473" s="11">
        <f t="shared" si="161"/>
        <v>0</v>
      </c>
      <c r="Z473" s="24">
        <f t="shared" si="173"/>
        <v>0</v>
      </c>
      <c r="AA473" s="25">
        <f t="shared" si="174"/>
        <v>0</v>
      </c>
      <c r="AB473" s="24">
        <f t="shared" si="166"/>
        <v>0</v>
      </c>
      <c r="AC473" s="24">
        <f t="shared" si="167"/>
        <v>0</v>
      </c>
      <c r="AD473" s="24">
        <f t="shared" si="168"/>
        <v>0</v>
      </c>
      <c r="AE473" s="24">
        <f t="shared" si="169"/>
        <v>0</v>
      </c>
      <c r="AF473" s="119" t="str">
        <f>VLOOKUP(P473*1,Referencias!$G:$H,2,0)</f>
        <v>dom</v>
      </c>
      <c r="BA473" s="10"/>
      <c r="BF473"/>
      <c r="BG473"/>
      <c r="BS473" s="10"/>
    </row>
    <row r="474" spans="1:71" ht="14.4" x14ac:dyDescent="0.3">
      <c r="A474" s="100"/>
      <c r="B474" s="100"/>
      <c r="C474" s="100"/>
      <c r="D474" s="100"/>
      <c r="E474" s="100"/>
      <c r="F474" s="100"/>
      <c r="G474" s="100"/>
      <c r="H474" s="100"/>
      <c r="I474" s="100"/>
      <c r="N474" s="7" t="str">
        <f t="shared" si="170"/>
        <v>#LI7AGUGFM </v>
      </c>
      <c r="O474" s="7">
        <f t="shared" si="162"/>
        <v>0</v>
      </c>
      <c r="P474" s="21">
        <f t="shared" si="171"/>
        <v>43247</v>
      </c>
      <c r="Q474" s="22">
        <f>VLOOKUP(R474,Referencias!$D$1:$E$13,2,0)</f>
        <v>5</v>
      </c>
      <c r="R474" s="7" t="str">
        <f t="shared" si="172"/>
        <v>MAI</v>
      </c>
      <c r="S474" s="7">
        <f t="shared" si="163"/>
        <v>0</v>
      </c>
      <c r="T474" s="11">
        <f t="shared" si="160"/>
        <v>27</v>
      </c>
      <c r="U474" s="11">
        <f t="shared" si="164"/>
        <v>0</v>
      </c>
      <c r="V474" s="11" t="e">
        <f>VLOOKUP(C474,Referencias!$A$2:$B$33,2,1)</f>
        <v>#N/A</v>
      </c>
      <c r="W474" s="23" t="str">
        <f t="shared" si="175"/>
        <v/>
      </c>
      <c r="X474" s="11">
        <f t="shared" si="165"/>
        <v>0</v>
      </c>
      <c r="Y474" s="11">
        <f t="shared" si="161"/>
        <v>0</v>
      </c>
      <c r="Z474" s="24">
        <f t="shared" si="173"/>
        <v>0</v>
      </c>
      <c r="AA474" s="25">
        <f t="shared" si="174"/>
        <v>0</v>
      </c>
      <c r="AB474" s="24">
        <f t="shared" si="166"/>
        <v>0</v>
      </c>
      <c r="AC474" s="24">
        <f t="shared" si="167"/>
        <v>0</v>
      </c>
      <c r="AD474" s="24">
        <f t="shared" si="168"/>
        <v>0</v>
      </c>
      <c r="AE474" s="24">
        <f t="shared" si="169"/>
        <v>0</v>
      </c>
      <c r="AF474" s="119" t="str">
        <f>VLOOKUP(P474*1,Referencias!$G:$H,2,0)</f>
        <v>dom</v>
      </c>
      <c r="BA474" s="10"/>
      <c r="BF474"/>
      <c r="BG474"/>
      <c r="BS474" s="10"/>
    </row>
    <row r="475" spans="1:71" ht="14.4" x14ac:dyDescent="0.3">
      <c r="N475" s="7" t="str">
        <f t="shared" si="170"/>
        <v>#LI7AGUGFM </v>
      </c>
      <c r="O475" s="7">
        <f t="shared" si="162"/>
        <v>0</v>
      </c>
      <c r="P475" s="21">
        <f t="shared" si="171"/>
        <v>43247</v>
      </c>
      <c r="Q475" s="22">
        <f>VLOOKUP(R475,Referencias!$D$1:$E$13,2,0)</f>
        <v>5</v>
      </c>
      <c r="R475" s="7" t="str">
        <f t="shared" si="172"/>
        <v>MAI</v>
      </c>
      <c r="S475" s="7">
        <f t="shared" si="163"/>
        <v>0</v>
      </c>
      <c r="T475" s="11">
        <f t="shared" si="160"/>
        <v>27</v>
      </c>
      <c r="U475" s="11">
        <f t="shared" si="164"/>
        <v>0</v>
      </c>
      <c r="V475" s="11" t="e">
        <f>VLOOKUP(C475,Referencias!$A$2:$B$33,2,1)</f>
        <v>#N/A</v>
      </c>
      <c r="W475" s="23" t="str">
        <f t="shared" si="175"/>
        <v/>
      </c>
      <c r="X475" s="11">
        <f t="shared" si="165"/>
        <v>0</v>
      </c>
      <c r="Y475" s="11">
        <f t="shared" si="161"/>
        <v>0</v>
      </c>
      <c r="Z475" s="24">
        <f t="shared" si="173"/>
        <v>0</v>
      </c>
      <c r="AA475" s="25">
        <f t="shared" si="174"/>
        <v>0</v>
      </c>
      <c r="AB475" s="24">
        <f t="shared" si="166"/>
        <v>0</v>
      </c>
      <c r="AC475" s="24">
        <f t="shared" si="167"/>
        <v>0</v>
      </c>
      <c r="AD475" s="24">
        <f t="shared" si="168"/>
        <v>0</v>
      </c>
      <c r="AE475" s="24">
        <f t="shared" si="169"/>
        <v>0</v>
      </c>
      <c r="AF475" s="119" t="str">
        <f>VLOOKUP(P475*1,Referencias!$G:$H,2,0)</f>
        <v>dom</v>
      </c>
      <c r="BA475" s="10"/>
      <c r="BF475"/>
      <c r="BG475"/>
      <c r="BS475" s="10"/>
    </row>
    <row r="476" spans="1:71" ht="14.4" x14ac:dyDescent="0.3">
      <c r="A476" s="95"/>
      <c r="B476" s="96" t="s">
        <v>201</v>
      </c>
      <c r="C476" s="94">
        <v>0.85277777777777775</v>
      </c>
      <c r="D476" s="97">
        <v>11.57</v>
      </c>
      <c r="E476" s="97" t="s">
        <v>29</v>
      </c>
      <c r="F476" s="98">
        <v>1.1100000000000001</v>
      </c>
      <c r="G476" s="98">
        <v>6.66</v>
      </c>
      <c r="H476" s="99">
        <v>353.13</v>
      </c>
      <c r="I476" s="97"/>
      <c r="N476" s="7" t="str">
        <f t="shared" si="170"/>
        <v>#LI2Q16V4R </v>
      </c>
      <c r="O476" s="7" t="str">
        <f t="shared" si="162"/>
        <v>#LI2Q16V4R </v>
      </c>
      <c r="P476" s="21">
        <f t="shared" si="171"/>
        <v>43247</v>
      </c>
      <c r="Q476" s="22">
        <f>VLOOKUP(R476,Referencias!$D$1:$E$13,2,0)</f>
        <v>5</v>
      </c>
      <c r="R476" s="7" t="str">
        <f t="shared" si="172"/>
        <v>MAI</v>
      </c>
      <c r="S476" s="7">
        <f t="shared" si="163"/>
        <v>0</v>
      </c>
      <c r="T476" s="11">
        <f t="shared" si="160"/>
        <v>27</v>
      </c>
      <c r="U476" s="11">
        <f t="shared" si="164"/>
        <v>0</v>
      </c>
      <c r="V476" s="11" t="str">
        <f>VLOOKUP(C476,Referencias!$A$2:$B$33,2,1)</f>
        <v>20 - 21</v>
      </c>
      <c r="W476" s="23">
        <f t="shared" si="175"/>
        <v>1.1111111111111183E-2</v>
      </c>
      <c r="X476" s="11">
        <f t="shared" si="165"/>
        <v>11.57</v>
      </c>
      <c r="Y476" s="11">
        <f t="shared" si="161"/>
        <v>20.431848299593657</v>
      </c>
      <c r="Z476" s="24">
        <f t="shared" si="173"/>
        <v>6.66</v>
      </c>
      <c r="AA476" s="25">
        <f t="shared" si="174"/>
        <v>24.974999999999838</v>
      </c>
      <c r="AB476" s="24">
        <f t="shared" si="166"/>
        <v>1</v>
      </c>
      <c r="AC476" s="24">
        <f t="shared" si="167"/>
        <v>4.3632871254951784</v>
      </c>
      <c r="AD476" s="24">
        <f t="shared" si="168"/>
        <v>5.2864525599379544</v>
      </c>
      <c r="AE476" s="24">
        <f t="shared" si="169"/>
        <v>6.2679026894816099</v>
      </c>
      <c r="AF476" s="119" t="str">
        <f>VLOOKUP(P476*1,Referencias!$G:$H,2,0)</f>
        <v>dom</v>
      </c>
      <c r="BA476" s="10"/>
      <c r="BF476"/>
      <c r="BG476"/>
      <c r="BS476" s="10"/>
    </row>
    <row r="477" spans="1:71" ht="14.4" x14ac:dyDescent="0.3">
      <c r="A477" s="95"/>
      <c r="B477" s="96"/>
      <c r="C477" s="94">
        <v>0.86388888888888893</v>
      </c>
      <c r="D477" s="97"/>
      <c r="E477" s="97"/>
      <c r="F477" s="97" t="s">
        <v>132</v>
      </c>
      <c r="G477" s="98"/>
      <c r="H477" s="99"/>
      <c r="I477" s="97"/>
      <c r="N477" s="7" t="str">
        <f t="shared" si="170"/>
        <v>#LI2Q16V4R </v>
      </c>
      <c r="O477" s="7">
        <f t="shared" si="162"/>
        <v>0</v>
      </c>
      <c r="P477" s="21">
        <f t="shared" si="171"/>
        <v>43247</v>
      </c>
      <c r="Q477" s="22">
        <f>VLOOKUP(R477,Referencias!$D$1:$E$13,2,0)</f>
        <v>5</v>
      </c>
      <c r="R477" s="7" t="str">
        <f t="shared" si="172"/>
        <v>MAI</v>
      </c>
      <c r="S477" s="7">
        <f t="shared" si="163"/>
        <v>0</v>
      </c>
      <c r="T477" s="11">
        <f t="shared" si="160"/>
        <v>27</v>
      </c>
      <c r="U477" s="11">
        <f t="shared" si="164"/>
        <v>0</v>
      </c>
      <c r="V477" s="11" t="str">
        <f>VLOOKUP(C477,Referencias!$A$2:$B$33,2,1)</f>
        <v>20 - 21</v>
      </c>
      <c r="W477" s="23" t="str">
        <f t="shared" si="175"/>
        <v/>
      </c>
      <c r="X477" s="11">
        <f t="shared" si="165"/>
        <v>0</v>
      </c>
      <c r="Y477" s="11">
        <f t="shared" si="161"/>
        <v>0</v>
      </c>
      <c r="Z477" s="24">
        <f t="shared" si="173"/>
        <v>0</v>
      </c>
      <c r="AA477" s="25">
        <f t="shared" si="174"/>
        <v>0</v>
      </c>
      <c r="AB477" s="24">
        <f t="shared" si="166"/>
        <v>0</v>
      </c>
      <c r="AC477" s="24">
        <f t="shared" si="167"/>
        <v>0</v>
      </c>
      <c r="AD477" s="24">
        <f t="shared" si="168"/>
        <v>0</v>
      </c>
      <c r="AE477" s="24">
        <f t="shared" si="169"/>
        <v>0</v>
      </c>
      <c r="AF477" s="119" t="str">
        <f>VLOOKUP(P477*1,Referencias!$G:$H,2,0)</f>
        <v>dom</v>
      </c>
      <c r="BA477" s="10"/>
      <c r="BF477"/>
      <c r="BG477"/>
      <c r="BS477" s="10"/>
    </row>
    <row r="478" spans="1:71" ht="14.4" x14ac:dyDescent="0.3">
      <c r="A478" s="100"/>
      <c r="B478" s="100"/>
      <c r="C478" s="100"/>
      <c r="D478" s="100"/>
      <c r="E478" s="100"/>
      <c r="F478" s="100"/>
      <c r="G478" s="100"/>
      <c r="H478" s="100"/>
      <c r="I478" s="100"/>
      <c r="N478" s="7" t="str">
        <f t="shared" si="170"/>
        <v>#LI2Q16V4R </v>
      </c>
      <c r="O478" s="7">
        <f t="shared" si="162"/>
        <v>0</v>
      </c>
      <c r="P478" s="21">
        <f t="shared" si="171"/>
        <v>43247</v>
      </c>
      <c r="Q478" s="22">
        <f>VLOOKUP(R478,Referencias!$D$1:$E$13,2,0)</f>
        <v>5</v>
      </c>
      <c r="R478" s="7" t="str">
        <f t="shared" si="172"/>
        <v>MAI</v>
      </c>
      <c r="S478" s="7">
        <f t="shared" si="163"/>
        <v>0</v>
      </c>
      <c r="T478" s="11">
        <f t="shared" si="160"/>
        <v>27</v>
      </c>
      <c r="U478" s="11">
        <f t="shared" si="164"/>
        <v>0</v>
      </c>
      <c r="V478" s="11" t="e">
        <f>VLOOKUP(C478,Referencias!$A$2:$B$33,2,1)</f>
        <v>#N/A</v>
      </c>
      <c r="W478" s="23" t="str">
        <f t="shared" si="175"/>
        <v/>
      </c>
      <c r="X478" s="11">
        <f t="shared" si="165"/>
        <v>0</v>
      </c>
      <c r="Y478" s="11">
        <f t="shared" si="161"/>
        <v>0</v>
      </c>
      <c r="Z478" s="24">
        <f t="shared" si="173"/>
        <v>0</v>
      </c>
      <c r="AA478" s="25">
        <f t="shared" si="174"/>
        <v>0</v>
      </c>
      <c r="AB478" s="24">
        <f t="shared" si="166"/>
        <v>0</v>
      </c>
      <c r="AC478" s="24">
        <f t="shared" si="167"/>
        <v>0</v>
      </c>
      <c r="AD478" s="24">
        <f t="shared" si="168"/>
        <v>0</v>
      </c>
      <c r="AE478" s="24">
        <f t="shared" si="169"/>
        <v>0</v>
      </c>
      <c r="AF478" s="119" t="str">
        <f>VLOOKUP(P478*1,Referencias!$G:$H,2,0)</f>
        <v>dom</v>
      </c>
      <c r="BA478" s="10"/>
      <c r="BF478"/>
      <c r="BG478"/>
      <c r="BS478" s="10"/>
    </row>
    <row r="479" spans="1:71" ht="14.4" x14ac:dyDescent="0.3">
      <c r="N479" s="7" t="str">
        <f t="shared" si="170"/>
        <v>#LI2Q16V4R </v>
      </c>
      <c r="O479" s="7">
        <f t="shared" si="162"/>
        <v>0</v>
      </c>
      <c r="P479" s="21">
        <f t="shared" si="171"/>
        <v>43247</v>
      </c>
      <c r="Q479" s="22">
        <f>VLOOKUP(R479,Referencias!$D$1:$E$13,2,0)</f>
        <v>5</v>
      </c>
      <c r="R479" s="7" t="str">
        <f t="shared" si="172"/>
        <v>MAI</v>
      </c>
      <c r="S479" s="7">
        <f t="shared" si="163"/>
        <v>0</v>
      </c>
      <c r="T479" s="11">
        <f t="shared" si="160"/>
        <v>27</v>
      </c>
      <c r="U479" s="11">
        <f t="shared" si="164"/>
        <v>0</v>
      </c>
      <c r="V479" s="11" t="e">
        <f>VLOOKUP(C479,Referencias!$A$2:$B$33,2,1)</f>
        <v>#N/A</v>
      </c>
      <c r="W479" s="23" t="str">
        <f t="shared" si="175"/>
        <v/>
      </c>
      <c r="X479" s="11">
        <f t="shared" si="165"/>
        <v>0</v>
      </c>
      <c r="Y479" s="11">
        <f t="shared" si="161"/>
        <v>0</v>
      </c>
      <c r="Z479" s="24">
        <f t="shared" si="173"/>
        <v>0</v>
      </c>
      <c r="AA479" s="25">
        <f t="shared" si="174"/>
        <v>0</v>
      </c>
      <c r="AB479" s="24">
        <f t="shared" si="166"/>
        <v>0</v>
      </c>
      <c r="AC479" s="24">
        <f t="shared" si="167"/>
        <v>0</v>
      </c>
      <c r="AD479" s="24">
        <f t="shared" si="168"/>
        <v>0</v>
      </c>
      <c r="AE479" s="24">
        <f t="shared" si="169"/>
        <v>0</v>
      </c>
      <c r="AF479" s="119" t="str">
        <f>VLOOKUP(P479*1,Referencias!$G:$H,2,0)</f>
        <v>dom</v>
      </c>
      <c r="BA479" s="10"/>
      <c r="BF479"/>
      <c r="BG479"/>
      <c r="BS479" s="10"/>
    </row>
    <row r="480" spans="1:71" ht="14.4" x14ac:dyDescent="0.3">
      <c r="A480" s="95"/>
      <c r="B480" s="96" t="s">
        <v>202</v>
      </c>
      <c r="C480" s="94">
        <v>0.86388888888888893</v>
      </c>
      <c r="D480" s="97">
        <v>5.55</v>
      </c>
      <c r="E480" s="97" t="s">
        <v>86</v>
      </c>
      <c r="F480" s="98">
        <v>0.72</v>
      </c>
      <c r="G480" s="98">
        <v>4.33</v>
      </c>
      <c r="H480" s="99">
        <v>357.46</v>
      </c>
      <c r="I480" s="97"/>
      <c r="N480" s="7" t="str">
        <f t="shared" si="170"/>
        <v>#LI9N5S32J </v>
      </c>
      <c r="O480" s="7" t="str">
        <f t="shared" si="162"/>
        <v>#LI9N5S32J </v>
      </c>
      <c r="P480" s="21">
        <f t="shared" si="171"/>
        <v>43247</v>
      </c>
      <c r="Q480" s="22">
        <f>VLOOKUP(R480,Referencias!$D$1:$E$13,2,0)</f>
        <v>5</v>
      </c>
      <c r="R480" s="7" t="str">
        <f t="shared" si="172"/>
        <v>MAI</v>
      </c>
      <c r="S480" s="7">
        <f t="shared" si="163"/>
        <v>0</v>
      </c>
      <c r="T480" s="11">
        <f t="shared" si="160"/>
        <v>27</v>
      </c>
      <c r="U480" s="11">
        <f t="shared" si="164"/>
        <v>0</v>
      </c>
      <c r="V480" s="11" t="str">
        <f>VLOOKUP(C480,Referencias!$A$2:$B$33,2,1)</f>
        <v>20 - 21</v>
      </c>
      <c r="W480" s="23">
        <f t="shared" si="175"/>
        <v>2.083333333333337E-2</v>
      </c>
      <c r="X480" s="11">
        <f t="shared" si="165"/>
        <v>5.55</v>
      </c>
      <c r="Y480" s="11">
        <f t="shared" si="161"/>
        <v>9.8009298239191693</v>
      </c>
      <c r="Z480" s="24">
        <f t="shared" si="173"/>
        <v>4.33</v>
      </c>
      <c r="AA480" s="25">
        <f t="shared" si="174"/>
        <v>8.6599999999999842</v>
      </c>
      <c r="AB480" s="24">
        <f t="shared" si="166"/>
        <v>1</v>
      </c>
      <c r="AC480" s="24">
        <f t="shared" si="167"/>
        <v>2.8367917797889075</v>
      </c>
      <c r="AD480" s="24">
        <f t="shared" si="168"/>
        <v>3.4369879256053064</v>
      </c>
      <c r="AE480" s="24">
        <f t="shared" si="169"/>
        <v>4.0750778746929992</v>
      </c>
      <c r="AF480" s="119" t="str">
        <f>VLOOKUP(P480*1,Referencias!$G:$H,2,0)</f>
        <v>dom</v>
      </c>
      <c r="BA480" s="10"/>
      <c r="BF480"/>
      <c r="BG480"/>
      <c r="BS480" s="10"/>
    </row>
    <row r="481" spans="1:71" ht="14.4" x14ac:dyDescent="0.3">
      <c r="A481" s="95"/>
      <c r="B481" s="96"/>
      <c r="C481" s="94">
        <v>0.8847222222222223</v>
      </c>
      <c r="D481" s="97"/>
      <c r="E481" s="97"/>
      <c r="F481" s="97" t="s">
        <v>132</v>
      </c>
      <c r="G481" s="98"/>
      <c r="H481" s="99"/>
      <c r="I481" s="97"/>
      <c r="N481" s="7" t="str">
        <f t="shared" si="170"/>
        <v>#LI9N5S32J </v>
      </c>
      <c r="O481" s="7">
        <f t="shared" si="162"/>
        <v>0</v>
      </c>
      <c r="P481" s="21">
        <f t="shared" si="171"/>
        <v>43247</v>
      </c>
      <c r="Q481" s="22">
        <f>VLOOKUP(R481,Referencias!$D$1:$E$13,2,0)</f>
        <v>5</v>
      </c>
      <c r="R481" s="7" t="str">
        <f t="shared" si="172"/>
        <v>MAI</v>
      </c>
      <c r="S481" s="7">
        <f t="shared" si="163"/>
        <v>0</v>
      </c>
      <c r="T481" s="11">
        <f t="shared" si="160"/>
        <v>27</v>
      </c>
      <c r="U481" s="11">
        <f t="shared" si="164"/>
        <v>0</v>
      </c>
      <c r="V481" s="11" t="str">
        <f>VLOOKUP(C481,Referencias!$A$2:$B$33,2,1)</f>
        <v>21 - 22</v>
      </c>
      <c r="W481" s="23" t="str">
        <f t="shared" si="175"/>
        <v/>
      </c>
      <c r="X481" s="11">
        <f t="shared" si="165"/>
        <v>0</v>
      </c>
      <c r="Y481" s="11">
        <f t="shared" si="161"/>
        <v>0</v>
      </c>
      <c r="Z481" s="24">
        <f t="shared" si="173"/>
        <v>0</v>
      </c>
      <c r="AA481" s="25">
        <f t="shared" si="174"/>
        <v>0</v>
      </c>
      <c r="AB481" s="24">
        <f t="shared" si="166"/>
        <v>0</v>
      </c>
      <c r="AC481" s="24">
        <f t="shared" si="167"/>
        <v>0</v>
      </c>
      <c r="AD481" s="24">
        <f t="shared" si="168"/>
        <v>0</v>
      </c>
      <c r="AE481" s="24">
        <f t="shared" si="169"/>
        <v>0</v>
      </c>
      <c r="AF481" s="119" t="str">
        <f>VLOOKUP(P481*1,Referencias!$G:$H,2,0)</f>
        <v>dom</v>
      </c>
      <c r="BA481" s="10"/>
      <c r="BF481"/>
      <c r="BG481"/>
      <c r="BS481" s="10"/>
    </row>
    <row r="482" spans="1:71" ht="14.4" x14ac:dyDescent="0.3">
      <c r="A482" s="100"/>
      <c r="B482" s="100"/>
      <c r="C482" s="100"/>
      <c r="D482" s="100"/>
      <c r="E482" s="100"/>
      <c r="F482" s="100"/>
      <c r="G482" s="100"/>
      <c r="H482" s="100"/>
      <c r="I482" s="100"/>
      <c r="N482" s="7" t="str">
        <f t="shared" si="170"/>
        <v>#LI9N5S32J </v>
      </c>
      <c r="O482" s="7">
        <f t="shared" si="162"/>
        <v>0</v>
      </c>
      <c r="P482" s="21">
        <f t="shared" si="171"/>
        <v>43247</v>
      </c>
      <c r="Q482" s="22">
        <f>VLOOKUP(R482,Referencias!$D$1:$E$13,2,0)</f>
        <v>5</v>
      </c>
      <c r="R482" s="7" t="str">
        <f t="shared" si="172"/>
        <v>MAI</v>
      </c>
      <c r="S482" s="7">
        <f t="shared" si="163"/>
        <v>0</v>
      </c>
      <c r="T482" s="11">
        <f t="shared" si="160"/>
        <v>27</v>
      </c>
      <c r="U482" s="11">
        <f t="shared" si="164"/>
        <v>0</v>
      </c>
      <c r="V482" s="11" t="e">
        <f>VLOOKUP(C482,Referencias!$A$2:$B$33,2,1)</f>
        <v>#N/A</v>
      </c>
      <c r="W482" s="23" t="str">
        <f t="shared" si="175"/>
        <v/>
      </c>
      <c r="X482" s="11">
        <f t="shared" si="165"/>
        <v>0</v>
      </c>
      <c r="Y482" s="11">
        <f t="shared" si="161"/>
        <v>0</v>
      </c>
      <c r="Z482" s="24">
        <f t="shared" si="173"/>
        <v>0</v>
      </c>
      <c r="AA482" s="25">
        <f t="shared" si="174"/>
        <v>0</v>
      </c>
      <c r="AB482" s="24">
        <f t="shared" si="166"/>
        <v>0</v>
      </c>
      <c r="AC482" s="24">
        <f t="shared" si="167"/>
        <v>0</v>
      </c>
      <c r="AD482" s="24">
        <f t="shared" si="168"/>
        <v>0</v>
      </c>
      <c r="AE482" s="24">
        <f t="shared" si="169"/>
        <v>0</v>
      </c>
      <c r="AF482" s="119" t="str">
        <f>VLOOKUP(P482*1,Referencias!$G:$H,2,0)</f>
        <v>dom</v>
      </c>
      <c r="BA482" s="10"/>
      <c r="BF482"/>
      <c r="BG482"/>
      <c r="BS482" s="10"/>
    </row>
    <row r="483" spans="1:71" ht="14.4" x14ac:dyDescent="0.3">
      <c r="N483" s="7" t="str">
        <f t="shared" si="170"/>
        <v>#LI9N5S32J </v>
      </c>
      <c r="O483" s="7">
        <f t="shared" si="162"/>
        <v>0</v>
      </c>
      <c r="P483" s="21">
        <f t="shared" si="171"/>
        <v>43247</v>
      </c>
      <c r="Q483" s="22">
        <f>VLOOKUP(R483,Referencias!$D$1:$E$13,2,0)</f>
        <v>5</v>
      </c>
      <c r="R483" s="7" t="str">
        <f t="shared" si="172"/>
        <v>MAI</v>
      </c>
      <c r="S483" s="7">
        <f t="shared" si="163"/>
        <v>0</v>
      </c>
      <c r="T483" s="11">
        <f t="shared" si="160"/>
        <v>27</v>
      </c>
      <c r="U483" s="11">
        <f t="shared" si="164"/>
        <v>0</v>
      </c>
      <c r="V483" s="11" t="e">
        <f>VLOOKUP(C483,Referencias!$A$2:$B$33,2,1)</f>
        <v>#N/A</v>
      </c>
      <c r="W483" s="23" t="str">
        <f t="shared" si="175"/>
        <v/>
      </c>
      <c r="X483" s="11">
        <f t="shared" si="165"/>
        <v>0</v>
      </c>
      <c r="Y483" s="11">
        <f t="shared" si="161"/>
        <v>0</v>
      </c>
      <c r="Z483" s="24">
        <f t="shared" si="173"/>
        <v>0</v>
      </c>
      <c r="AA483" s="25">
        <f t="shared" si="174"/>
        <v>0</v>
      </c>
      <c r="AB483" s="24">
        <f t="shared" si="166"/>
        <v>0</v>
      </c>
      <c r="AC483" s="24">
        <f t="shared" si="167"/>
        <v>0</v>
      </c>
      <c r="AD483" s="24">
        <f t="shared" si="168"/>
        <v>0</v>
      </c>
      <c r="AE483" s="24">
        <f t="shared" si="169"/>
        <v>0</v>
      </c>
      <c r="AF483" s="119" t="str">
        <f>VLOOKUP(P483*1,Referencias!$G:$H,2,0)</f>
        <v>dom</v>
      </c>
      <c r="BA483" s="10"/>
      <c r="BF483"/>
      <c r="BG483"/>
      <c r="BS483" s="10"/>
    </row>
    <row r="484" spans="1:71" ht="14.4" x14ac:dyDescent="0.3">
      <c r="A484" s="95"/>
      <c r="B484" s="96" t="s">
        <v>203</v>
      </c>
      <c r="C484" s="94">
        <v>0.8847222222222223</v>
      </c>
      <c r="D484" s="97">
        <v>4.0599999999999996</v>
      </c>
      <c r="E484" s="97" t="s">
        <v>62</v>
      </c>
      <c r="F484" s="97"/>
      <c r="G484" s="98">
        <v>2.97</v>
      </c>
      <c r="H484" s="99">
        <v>360.43</v>
      </c>
      <c r="I484" s="97"/>
      <c r="N484" s="7" t="str">
        <f t="shared" si="170"/>
        <v>#LIUY1TULF </v>
      </c>
      <c r="O484" s="7" t="str">
        <f t="shared" si="162"/>
        <v>#LIUY1TULF </v>
      </c>
      <c r="P484" s="21">
        <f t="shared" si="171"/>
        <v>43247</v>
      </c>
      <c r="Q484" s="22">
        <f>VLOOKUP(R484,Referencias!$D$1:$E$13,2,0)</f>
        <v>5</v>
      </c>
      <c r="R484" s="7" t="str">
        <f t="shared" si="172"/>
        <v>MAI</v>
      </c>
      <c r="S484" s="7">
        <f t="shared" si="163"/>
        <v>0</v>
      </c>
      <c r="T484" s="11">
        <f t="shared" si="160"/>
        <v>27</v>
      </c>
      <c r="U484" s="11">
        <f t="shared" si="164"/>
        <v>0</v>
      </c>
      <c r="V484" s="11" t="str">
        <f>VLOOKUP(C484,Referencias!$A$2:$B$33,2,1)</f>
        <v>21 - 22</v>
      </c>
      <c r="W484" s="23">
        <f t="shared" si="175"/>
        <v>1.8749999999999933E-2</v>
      </c>
      <c r="X484" s="11">
        <f t="shared" si="165"/>
        <v>4.0599999999999996</v>
      </c>
      <c r="Y484" s="11">
        <f t="shared" si="161"/>
        <v>7.1696892045246541</v>
      </c>
      <c r="Z484" s="24">
        <f t="shared" si="173"/>
        <v>2.97</v>
      </c>
      <c r="AA484" s="25">
        <f t="shared" si="174"/>
        <v>6.6000000000000236</v>
      </c>
      <c r="AB484" s="24">
        <f t="shared" si="166"/>
        <v>1</v>
      </c>
      <c r="AC484" s="24">
        <f t="shared" si="167"/>
        <v>1.9457902046127149</v>
      </c>
      <c r="AD484" s="24">
        <f t="shared" si="168"/>
        <v>2.3574720875398985</v>
      </c>
      <c r="AE484" s="24">
        <f t="shared" si="169"/>
        <v>2.7951457939580155</v>
      </c>
      <c r="AF484" s="119" t="str">
        <f>VLOOKUP(P484*1,Referencias!$G:$H,2,0)</f>
        <v>dom</v>
      </c>
      <c r="BA484" s="10"/>
      <c r="BF484"/>
      <c r="BG484"/>
      <c r="BS484" s="10"/>
    </row>
    <row r="485" spans="1:71" ht="14.4" x14ac:dyDescent="0.3">
      <c r="A485" s="95"/>
      <c r="B485" s="96"/>
      <c r="C485" s="94">
        <v>0.90347222222222223</v>
      </c>
      <c r="D485" s="97"/>
      <c r="E485" s="97"/>
      <c r="F485" s="97"/>
      <c r="G485" s="98"/>
      <c r="H485" s="99"/>
      <c r="I485" s="97"/>
      <c r="N485" s="7" t="str">
        <f t="shared" si="170"/>
        <v>#LIUY1TULF </v>
      </c>
      <c r="O485" s="7">
        <f t="shared" si="162"/>
        <v>0</v>
      </c>
      <c r="P485" s="21">
        <f t="shared" si="171"/>
        <v>43247</v>
      </c>
      <c r="Q485" s="22">
        <f>VLOOKUP(R485,Referencias!$D$1:$E$13,2,0)</f>
        <v>5</v>
      </c>
      <c r="R485" s="7" t="str">
        <f t="shared" si="172"/>
        <v>MAI</v>
      </c>
      <c r="S485" s="7">
        <f t="shared" si="163"/>
        <v>0</v>
      </c>
      <c r="T485" s="11">
        <f t="shared" si="160"/>
        <v>27</v>
      </c>
      <c r="U485" s="11">
        <f t="shared" si="164"/>
        <v>0</v>
      </c>
      <c r="V485" s="11" t="str">
        <f>VLOOKUP(C485,Referencias!$A$2:$B$33,2,1)</f>
        <v>21 - 22</v>
      </c>
      <c r="W485" s="23" t="str">
        <f t="shared" si="175"/>
        <v/>
      </c>
      <c r="X485" s="11">
        <f t="shared" si="165"/>
        <v>0</v>
      </c>
      <c r="Y485" s="11">
        <f t="shared" si="161"/>
        <v>0</v>
      </c>
      <c r="Z485" s="24">
        <f t="shared" si="173"/>
        <v>0</v>
      </c>
      <c r="AA485" s="25">
        <f t="shared" si="174"/>
        <v>0</v>
      </c>
      <c r="AB485" s="24">
        <f t="shared" si="166"/>
        <v>0</v>
      </c>
      <c r="AC485" s="24">
        <f t="shared" si="167"/>
        <v>0</v>
      </c>
      <c r="AD485" s="24">
        <f t="shared" si="168"/>
        <v>0</v>
      </c>
      <c r="AE485" s="24">
        <f t="shared" si="169"/>
        <v>0</v>
      </c>
      <c r="AF485" s="119" t="str">
        <f>VLOOKUP(P485*1,Referencias!$G:$H,2,0)</f>
        <v>dom</v>
      </c>
      <c r="BA485" s="10"/>
      <c r="BF485"/>
      <c r="BG485"/>
      <c r="BS485" s="10"/>
    </row>
    <row r="486" spans="1:71" ht="14.4" x14ac:dyDescent="0.3">
      <c r="A486" s="100"/>
      <c r="B486" s="100"/>
      <c r="C486" s="100"/>
      <c r="D486" s="100"/>
      <c r="E486" s="100"/>
      <c r="F486" s="100"/>
      <c r="G486" s="100"/>
      <c r="H486" s="100"/>
      <c r="I486" s="100"/>
      <c r="N486" s="7" t="str">
        <f t="shared" si="170"/>
        <v>#LIUY1TULF </v>
      </c>
      <c r="O486" s="7">
        <f t="shared" si="162"/>
        <v>0</v>
      </c>
      <c r="P486" s="21">
        <f t="shared" si="171"/>
        <v>43247</v>
      </c>
      <c r="Q486" s="22">
        <f>VLOOKUP(R486,Referencias!$D$1:$E$13,2,0)</f>
        <v>5</v>
      </c>
      <c r="R486" s="7" t="str">
        <f t="shared" si="172"/>
        <v>MAI</v>
      </c>
      <c r="S486" s="7">
        <f t="shared" si="163"/>
        <v>0</v>
      </c>
      <c r="T486" s="11">
        <f t="shared" si="160"/>
        <v>27</v>
      </c>
      <c r="U486" s="11">
        <f t="shared" si="164"/>
        <v>0</v>
      </c>
      <c r="V486" s="11" t="e">
        <f>VLOOKUP(C486,Referencias!$A$2:$B$33,2,1)</f>
        <v>#N/A</v>
      </c>
      <c r="W486" s="23" t="str">
        <f t="shared" si="175"/>
        <v/>
      </c>
      <c r="X486" s="11">
        <f t="shared" si="165"/>
        <v>0</v>
      </c>
      <c r="Y486" s="11">
        <f t="shared" si="161"/>
        <v>0</v>
      </c>
      <c r="Z486" s="24">
        <f t="shared" si="173"/>
        <v>0</v>
      </c>
      <c r="AA486" s="25">
        <f t="shared" si="174"/>
        <v>0</v>
      </c>
      <c r="AB486" s="24">
        <f t="shared" si="166"/>
        <v>0</v>
      </c>
      <c r="AC486" s="24">
        <f t="shared" si="167"/>
        <v>0</v>
      </c>
      <c r="AD486" s="24">
        <f t="shared" si="168"/>
        <v>0</v>
      </c>
      <c r="AE486" s="24">
        <f t="shared" si="169"/>
        <v>0</v>
      </c>
      <c r="AF486" s="119" t="str">
        <f>VLOOKUP(P486*1,Referencias!$G:$H,2,0)</f>
        <v>dom</v>
      </c>
      <c r="BA486" s="10"/>
      <c r="BF486"/>
      <c r="BG486"/>
      <c r="BS486" s="10"/>
    </row>
    <row r="487" spans="1:71" ht="14.4" x14ac:dyDescent="0.3">
      <c r="N487" s="7" t="str">
        <f t="shared" si="170"/>
        <v>#LIUY1TULF </v>
      </c>
      <c r="O487" s="7">
        <f t="shared" si="162"/>
        <v>0</v>
      </c>
      <c r="P487" s="21">
        <f t="shared" si="171"/>
        <v>43247</v>
      </c>
      <c r="Q487" s="22">
        <f>VLOOKUP(R487,Referencias!$D$1:$E$13,2,0)</f>
        <v>5</v>
      </c>
      <c r="R487" s="7" t="str">
        <f t="shared" si="172"/>
        <v>MAI</v>
      </c>
      <c r="S487" s="7">
        <f t="shared" si="163"/>
        <v>0</v>
      </c>
      <c r="T487" s="11">
        <f t="shared" si="160"/>
        <v>27</v>
      </c>
      <c r="U487" s="11">
        <f t="shared" si="164"/>
        <v>0</v>
      </c>
      <c r="V487" s="11" t="e">
        <f>VLOOKUP(C487,Referencias!$A$2:$B$33,2,1)</f>
        <v>#N/A</v>
      </c>
      <c r="W487" s="23" t="str">
        <f t="shared" si="175"/>
        <v/>
      </c>
      <c r="X487" s="11">
        <f t="shared" si="165"/>
        <v>0</v>
      </c>
      <c r="Y487" s="11">
        <f t="shared" si="161"/>
        <v>0</v>
      </c>
      <c r="Z487" s="24">
        <f t="shared" si="173"/>
        <v>0</v>
      </c>
      <c r="AA487" s="25">
        <f t="shared" si="174"/>
        <v>0</v>
      </c>
      <c r="AB487" s="24">
        <f t="shared" si="166"/>
        <v>0</v>
      </c>
      <c r="AC487" s="24">
        <f t="shared" si="167"/>
        <v>0</v>
      </c>
      <c r="AD487" s="24">
        <f t="shared" si="168"/>
        <v>0</v>
      </c>
      <c r="AE487" s="24">
        <f t="shared" si="169"/>
        <v>0</v>
      </c>
      <c r="AF487" s="119" t="str">
        <f>VLOOKUP(P487*1,Referencias!$G:$H,2,0)</f>
        <v>dom</v>
      </c>
      <c r="BA487" s="10"/>
      <c r="BF487"/>
      <c r="BG487"/>
      <c r="BS487" s="10"/>
    </row>
    <row r="488" spans="1:71" ht="14.4" x14ac:dyDescent="0.3">
      <c r="A488" s="95"/>
      <c r="B488" s="96" t="s">
        <v>204</v>
      </c>
      <c r="C488" s="94">
        <v>0.89722222222222225</v>
      </c>
      <c r="D488" s="97">
        <v>6.07</v>
      </c>
      <c r="E488" s="97" t="s">
        <v>29</v>
      </c>
      <c r="F488" s="97"/>
      <c r="G488" s="98">
        <v>3.62</v>
      </c>
      <c r="H488" s="99">
        <v>364.05</v>
      </c>
      <c r="I488" s="97"/>
      <c r="N488" s="7" t="str">
        <f t="shared" si="170"/>
        <v>#LILHZJWWL </v>
      </c>
      <c r="O488" s="7" t="str">
        <f t="shared" si="162"/>
        <v>#LILHZJWWL </v>
      </c>
      <c r="P488" s="21">
        <f t="shared" si="171"/>
        <v>43247</v>
      </c>
      <c r="Q488" s="22">
        <f>VLOOKUP(R488,Referencias!$D$1:$E$13,2,0)</f>
        <v>5</v>
      </c>
      <c r="R488" s="7" t="str">
        <f t="shared" si="172"/>
        <v>MAI</v>
      </c>
      <c r="S488" s="7">
        <f t="shared" si="163"/>
        <v>0</v>
      </c>
      <c r="T488" s="11">
        <f t="shared" si="160"/>
        <v>27</v>
      </c>
      <c r="U488" s="11">
        <f t="shared" si="164"/>
        <v>0</v>
      </c>
      <c r="V488" s="11" t="str">
        <f>VLOOKUP(C488,Referencias!$A$2:$B$33,2,1)</f>
        <v>21 - 22</v>
      </c>
      <c r="W488" s="23">
        <f t="shared" si="175"/>
        <v>3.5416666666666652E-2</v>
      </c>
      <c r="X488" s="11">
        <f t="shared" si="165"/>
        <v>6.07</v>
      </c>
      <c r="Y488" s="11">
        <f t="shared" si="161"/>
        <v>10.719215140754841</v>
      </c>
      <c r="Z488" s="24">
        <f t="shared" si="173"/>
        <v>3.62</v>
      </c>
      <c r="AA488" s="25">
        <f t="shared" si="174"/>
        <v>4.2588235294117665</v>
      </c>
      <c r="AB488" s="24">
        <f t="shared" si="166"/>
        <v>1</v>
      </c>
      <c r="AC488" s="24">
        <f t="shared" si="167"/>
        <v>2.3716365456895714</v>
      </c>
      <c r="AD488" s="24">
        <f t="shared" si="168"/>
        <v>2.8734171572035128</v>
      </c>
      <c r="AE488" s="24">
        <f t="shared" si="169"/>
        <v>3.4068780384269415</v>
      </c>
      <c r="AF488" s="119" t="str">
        <f>VLOOKUP(P488*1,Referencias!$G:$H,2,0)</f>
        <v>dom</v>
      </c>
      <c r="BA488" s="10"/>
      <c r="BF488"/>
      <c r="BG488"/>
      <c r="BS488" s="10"/>
    </row>
    <row r="489" spans="1:71" ht="14.4" x14ac:dyDescent="0.3">
      <c r="A489" s="95"/>
      <c r="B489" s="96"/>
      <c r="C489" s="94">
        <v>0.93263888888888891</v>
      </c>
      <c r="D489" s="97"/>
      <c r="E489" s="97"/>
      <c r="F489" s="97"/>
      <c r="G489" s="98"/>
      <c r="H489" s="99"/>
      <c r="I489" s="97"/>
      <c r="N489" s="7" t="str">
        <f t="shared" si="170"/>
        <v>#LILHZJWWL </v>
      </c>
      <c r="O489" s="7">
        <f t="shared" si="162"/>
        <v>0</v>
      </c>
      <c r="P489" s="21">
        <f t="shared" si="171"/>
        <v>43247</v>
      </c>
      <c r="Q489" s="22">
        <f>VLOOKUP(R489,Referencias!$D$1:$E$13,2,0)</f>
        <v>5</v>
      </c>
      <c r="R489" s="7" t="str">
        <f t="shared" si="172"/>
        <v>MAI</v>
      </c>
      <c r="S489" s="7">
        <f t="shared" si="163"/>
        <v>0</v>
      </c>
      <c r="T489" s="11">
        <f t="shared" si="160"/>
        <v>27</v>
      </c>
      <c r="U489" s="11">
        <f t="shared" si="164"/>
        <v>0</v>
      </c>
      <c r="V489" s="11" t="str">
        <f>VLOOKUP(C489,Referencias!$A$2:$B$33,2,1)</f>
        <v>22 - 23</v>
      </c>
      <c r="W489" s="23" t="str">
        <f t="shared" si="175"/>
        <v/>
      </c>
      <c r="X489" s="11">
        <f t="shared" si="165"/>
        <v>0</v>
      </c>
      <c r="Y489" s="11">
        <f t="shared" si="161"/>
        <v>0</v>
      </c>
      <c r="Z489" s="24">
        <f t="shared" si="173"/>
        <v>0</v>
      </c>
      <c r="AA489" s="25">
        <f t="shared" si="174"/>
        <v>0</v>
      </c>
      <c r="AB489" s="24">
        <f t="shared" si="166"/>
        <v>0</v>
      </c>
      <c r="AC489" s="24">
        <f t="shared" si="167"/>
        <v>0</v>
      </c>
      <c r="AD489" s="24">
        <f t="shared" si="168"/>
        <v>0</v>
      </c>
      <c r="AE489" s="24">
        <f t="shared" si="169"/>
        <v>0</v>
      </c>
      <c r="AF489" s="119" t="str">
        <f>VLOOKUP(P489*1,Referencias!$G:$H,2,0)</f>
        <v>dom</v>
      </c>
      <c r="BA489" s="10"/>
      <c r="BF489"/>
      <c r="BG489"/>
      <c r="BS489" s="10"/>
    </row>
    <row r="490" spans="1:71" ht="14.4" x14ac:dyDescent="0.3">
      <c r="A490" s="100"/>
      <c r="B490" s="100"/>
      <c r="C490" s="100"/>
      <c r="D490" s="100"/>
      <c r="E490" s="100"/>
      <c r="F490" s="100"/>
      <c r="G490" s="100"/>
      <c r="H490" s="100"/>
      <c r="I490" s="100"/>
      <c r="N490" s="7" t="str">
        <f t="shared" si="170"/>
        <v>#LILHZJWWL </v>
      </c>
      <c r="O490" s="7">
        <f t="shared" si="162"/>
        <v>0</v>
      </c>
      <c r="P490" s="21">
        <f t="shared" si="171"/>
        <v>43247</v>
      </c>
      <c r="Q490" s="22">
        <f>VLOOKUP(R490,Referencias!$D$1:$E$13,2,0)</f>
        <v>5</v>
      </c>
      <c r="R490" s="7" t="str">
        <f t="shared" si="172"/>
        <v>MAI</v>
      </c>
      <c r="S490" s="7">
        <f t="shared" si="163"/>
        <v>0</v>
      </c>
      <c r="T490" s="11">
        <f t="shared" si="160"/>
        <v>27</v>
      </c>
      <c r="U490" s="11">
        <f t="shared" si="164"/>
        <v>0</v>
      </c>
      <c r="V490" s="11" t="e">
        <f>VLOOKUP(C490,Referencias!$A$2:$B$33,2,1)</f>
        <v>#N/A</v>
      </c>
      <c r="W490" s="23" t="str">
        <f t="shared" si="175"/>
        <v/>
      </c>
      <c r="X490" s="11">
        <f t="shared" si="165"/>
        <v>0</v>
      </c>
      <c r="Y490" s="11">
        <f t="shared" si="161"/>
        <v>0</v>
      </c>
      <c r="Z490" s="24">
        <f t="shared" si="173"/>
        <v>0</v>
      </c>
      <c r="AA490" s="25">
        <f t="shared" si="174"/>
        <v>0</v>
      </c>
      <c r="AB490" s="24">
        <f t="shared" si="166"/>
        <v>0</v>
      </c>
      <c r="AC490" s="24">
        <f t="shared" si="167"/>
        <v>0</v>
      </c>
      <c r="AD490" s="24">
        <f t="shared" si="168"/>
        <v>0</v>
      </c>
      <c r="AE490" s="24">
        <f t="shared" si="169"/>
        <v>0</v>
      </c>
      <c r="AF490" s="119" t="str">
        <f>VLOOKUP(P490*1,Referencias!$G:$H,2,0)</f>
        <v>dom</v>
      </c>
      <c r="BA490" s="10"/>
      <c r="BF490"/>
      <c r="BG490"/>
      <c r="BS490" s="10"/>
    </row>
    <row r="491" spans="1:71" ht="14.4" x14ac:dyDescent="0.3">
      <c r="N491" s="7" t="str">
        <f t="shared" si="170"/>
        <v>#LILHZJWWL </v>
      </c>
      <c r="O491" s="7">
        <f t="shared" si="162"/>
        <v>0</v>
      </c>
      <c r="P491" s="21">
        <f t="shared" si="171"/>
        <v>43247</v>
      </c>
      <c r="Q491" s="22">
        <f>VLOOKUP(R491,Referencias!$D$1:$E$13,2,0)</f>
        <v>5</v>
      </c>
      <c r="R491" s="7" t="str">
        <f t="shared" si="172"/>
        <v>MAI</v>
      </c>
      <c r="S491" s="7">
        <f t="shared" si="163"/>
        <v>0</v>
      </c>
      <c r="T491" s="11">
        <f t="shared" si="160"/>
        <v>27</v>
      </c>
      <c r="U491" s="11">
        <f t="shared" si="164"/>
        <v>0</v>
      </c>
      <c r="V491" s="11" t="e">
        <f>VLOOKUP(C491,Referencias!$A$2:$B$33,2,1)</f>
        <v>#N/A</v>
      </c>
      <c r="W491" s="23" t="str">
        <f t="shared" si="175"/>
        <v/>
      </c>
      <c r="X491" s="11">
        <f t="shared" si="165"/>
        <v>0</v>
      </c>
      <c r="Y491" s="11">
        <f t="shared" si="161"/>
        <v>0</v>
      </c>
      <c r="Z491" s="24">
        <f t="shared" si="173"/>
        <v>0</v>
      </c>
      <c r="AA491" s="25">
        <f t="shared" si="174"/>
        <v>0</v>
      </c>
      <c r="AB491" s="24">
        <f t="shared" si="166"/>
        <v>0</v>
      </c>
      <c r="AC491" s="24">
        <f t="shared" si="167"/>
        <v>0</v>
      </c>
      <c r="AD491" s="24">
        <f t="shared" si="168"/>
        <v>0</v>
      </c>
      <c r="AE491" s="24">
        <f t="shared" si="169"/>
        <v>0</v>
      </c>
      <c r="AF491" s="119" t="str">
        <f>VLOOKUP(P491*1,Referencias!$G:$H,2,0)</f>
        <v>dom</v>
      </c>
      <c r="BA491" s="10"/>
      <c r="BF491"/>
      <c r="BG491"/>
      <c r="BS491" s="10"/>
    </row>
    <row r="492" spans="1:71" ht="14.4" x14ac:dyDescent="0.3">
      <c r="A492" s="95"/>
      <c r="B492" s="96" t="s">
        <v>205</v>
      </c>
      <c r="C492" s="94">
        <v>0.90347222222222223</v>
      </c>
      <c r="D492" s="97">
        <v>6.56</v>
      </c>
      <c r="E492" s="97" t="s">
        <v>24</v>
      </c>
      <c r="F492" s="97"/>
      <c r="G492" s="98">
        <v>3.91</v>
      </c>
      <c r="H492" s="99">
        <v>367.96</v>
      </c>
      <c r="N492" s="7" t="str">
        <f t="shared" si="170"/>
        <v>#LIVR9ATZE </v>
      </c>
      <c r="O492" s="7" t="str">
        <f t="shared" si="162"/>
        <v>#LIVR9ATZE </v>
      </c>
      <c r="P492" s="21">
        <f t="shared" si="171"/>
        <v>43247</v>
      </c>
      <c r="Q492" s="22">
        <f>VLOOKUP(R492,Referencias!$D$1:$E$13,2,0)</f>
        <v>5</v>
      </c>
      <c r="R492" s="7" t="str">
        <f t="shared" si="172"/>
        <v>MAI</v>
      </c>
      <c r="S492" s="7">
        <f t="shared" si="163"/>
        <v>0</v>
      </c>
      <c r="T492" s="11">
        <f t="shared" si="160"/>
        <v>27</v>
      </c>
      <c r="U492" s="11">
        <f t="shared" si="164"/>
        <v>0</v>
      </c>
      <c r="V492" s="11" t="str">
        <f>VLOOKUP(C492,Referencias!$A$2:$B$33,2,1)</f>
        <v>21 - 22</v>
      </c>
      <c r="W492" s="23">
        <f t="shared" si="175"/>
        <v>2.3611111111111138E-2</v>
      </c>
      <c r="X492" s="11">
        <f t="shared" si="165"/>
        <v>6.56</v>
      </c>
      <c r="Y492" s="11">
        <f t="shared" si="161"/>
        <v>11.584522458542299</v>
      </c>
      <c r="Z492" s="24">
        <f t="shared" si="173"/>
        <v>3.91</v>
      </c>
      <c r="AA492" s="25">
        <f t="shared" si="174"/>
        <v>6.8999999999999924</v>
      </c>
      <c r="AB492" s="24">
        <f t="shared" si="166"/>
        <v>1</v>
      </c>
      <c r="AC492" s="24">
        <f t="shared" si="167"/>
        <v>2.561629528631554</v>
      </c>
      <c r="AD492" s="24">
        <f t="shared" si="168"/>
        <v>3.1036080344380483</v>
      </c>
      <c r="AE492" s="24">
        <f t="shared" si="169"/>
        <v>3.6798047321130776</v>
      </c>
      <c r="AF492" s="119" t="str">
        <f>VLOOKUP(P492*1,Referencias!$G:$H,2,0)</f>
        <v>dom</v>
      </c>
      <c r="BA492" s="10"/>
      <c r="BF492"/>
      <c r="BG492"/>
      <c r="BS492" s="10"/>
    </row>
    <row r="493" spans="1:71" ht="14.4" x14ac:dyDescent="0.3">
      <c r="A493" s="95"/>
      <c r="B493" s="96"/>
      <c r="C493" s="94">
        <v>0.92708333333333337</v>
      </c>
      <c r="D493" s="97"/>
      <c r="E493" s="97"/>
      <c r="F493" s="97"/>
      <c r="G493" s="98"/>
      <c r="H493" s="99"/>
      <c r="N493" s="7" t="str">
        <f t="shared" ref="N493:N528" si="176">IF(O493&lt;&gt;0,O493,N492)</f>
        <v>#LIVR9ATZE </v>
      </c>
      <c r="O493" s="7">
        <f t="shared" si="162"/>
        <v>0</v>
      </c>
      <c r="P493" s="21">
        <f t="shared" si="171"/>
        <v>43247</v>
      </c>
      <c r="Q493" s="22">
        <f>VLOOKUP(R493,Referencias!$D$1:$E$13,2,0)</f>
        <v>5</v>
      </c>
      <c r="R493" s="7" t="str">
        <f t="shared" si="172"/>
        <v>MAI</v>
      </c>
      <c r="S493" s="7">
        <f t="shared" si="163"/>
        <v>0</v>
      </c>
      <c r="T493" s="11">
        <f t="shared" ref="T493:T528" si="177">IF(U493&lt;&gt;0,U493,T492)</f>
        <v>27</v>
      </c>
      <c r="U493" s="11">
        <f t="shared" si="164"/>
        <v>0</v>
      </c>
      <c r="V493" s="11" t="str">
        <f>VLOOKUP(C493,Referencias!$A$2:$B$33,2,1)</f>
        <v>22 - 23</v>
      </c>
      <c r="W493" s="23" t="str">
        <f t="shared" si="175"/>
        <v/>
      </c>
      <c r="X493" s="11">
        <f t="shared" si="165"/>
        <v>0</v>
      </c>
      <c r="Y493" s="11">
        <f t="shared" ref="Y493:Y528" si="178">X493*$AK$2</f>
        <v>0</v>
      </c>
      <c r="Z493" s="24">
        <f t="shared" si="173"/>
        <v>0</v>
      </c>
      <c r="AA493" s="25">
        <f t="shared" ref="AA493:AA528" si="179">IFERROR(Z493/(86400*(W493)/360/10),0)</f>
        <v>0</v>
      </c>
      <c r="AB493" s="24">
        <f t="shared" si="166"/>
        <v>0</v>
      </c>
      <c r="AC493" s="24">
        <f t="shared" si="167"/>
        <v>0</v>
      </c>
      <c r="AD493" s="24">
        <f t="shared" si="168"/>
        <v>0</v>
      </c>
      <c r="AE493" s="24">
        <f t="shared" si="169"/>
        <v>0</v>
      </c>
      <c r="AF493" s="119" t="str">
        <f>VLOOKUP(P493*1,Referencias!$G:$H,2,0)</f>
        <v>dom</v>
      </c>
      <c r="BA493" s="10"/>
      <c r="BF493"/>
      <c r="BG493"/>
      <c r="BS493" s="10"/>
    </row>
    <row r="494" spans="1:71" ht="14.4" x14ac:dyDescent="0.3">
      <c r="A494"/>
      <c r="B494"/>
      <c r="C494"/>
      <c r="D494"/>
      <c r="E494"/>
      <c r="F494"/>
      <c r="G494"/>
      <c r="H494"/>
      <c r="I494"/>
      <c r="N494" s="7" t="str">
        <f t="shared" si="176"/>
        <v>#LIVR9ATZE </v>
      </c>
      <c r="O494" s="7">
        <f t="shared" si="162"/>
        <v>0</v>
      </c>
      <c r="P494" s="21">
        <f t="shared" si="171"/>
        <v>43247</v>
      </c>
      <c r="Q494" s="22">
        <f>VLOOKUP(R494,Referencias!$D$1:$E$13,2,0)</f>
        <v>5</v>
      </c>
      <c r="R494" s="7" t="str">
        <f t="shared" si="172"/>
        <v>MAI</v>
      </c>
      <c r="S494" s="7">
        <f t="shared" si="163"/>
        <v>0</v>
      </c>
      <c r="T494" s="11">
        <f t="shared" si="177"/>
        <v>27</v>
      </c>
      <c r="U494" s="11">
        <f t="shared" si="164"/>
        <v>0</v>
      </c>
      <c r="V494" s="11" t="e">
        <f>VLOOKUP(C494,Referencias!$A$2:$B$33,2,1)</f>
        <v>#N/A</v>
      </c>
      <c r="W494" s="23" t="str">
        <f t="shared" si="175"/>
        <v/>
      </c>
      <c r="X494" s="11">
        <f t="shared" si="165"/>
        <v>0</v>
      </c>
      <c r="Y494" s="11">
        <f t="shared" si="178"/>
        <v>0</v>
      </c>
      <c r="Z494" s="24">
        <f t="shared" si="173"/>
        <v>0</v>
      </c>
      <c r="AA494" s="25">
        <f t="shared" si="179"/>
        <v>0</v>
      </c>
      <c r="AB494" s="24">
        <f t="shared" si="166"/>
        <v>0</v>
      </c>
      <c r="AC494" s="24">
        <f t="shared" si="167"/>
        <v>0</v>
      </c>
      <c r="AD494" s="24">
        <f t="shared" si="168"/>
        <v>0</v>
      </c>
      <c r="AE494" s="24">
        <f t="shared" si="169"/>
        <v>0</v>
      </c>
      <c r="AF494" s="119" t="str">
        <f>VLOOKUP(P494*1,Referencias!$G:$H,2,0)</f>
        <v>dom</v>
      </c>
      <c r="BA494" s="10"/>
      <c r="BF494"/>
      <c r="BG494"/>
      <c r="BS494" s="10"/>
    </row>
    <row r="495" spans="1:71" ht="14.4" x14ac:dyDescent="0.3">
      <c r="A495" s="147">
        <v>28</v>
      </c>
      <c r="B495" s="164" t="s">
        <v>220</v>
      </c>
      <c r="C495" s="134">
        <v>0.5756944444444444</v>
      </c>
      <c r="D495" s="165">
        <v>4.72</v>
      </c>
      <c r="E495" s="165" t="s">
        <v>29</v>
      </c>
      <c r="F495" s="165"/>
      <c r="G495" s="166">
        <v>3.15</v>
      </c>
      <c r="H495" s="167">
        <v>3.15</v>
      </c>
      <c r="I495" s="165"/>
      <c r="N495" s="7" t="str">
        <f t="shared" si="176"/>
        <v>#LIJSK1NN9 </v>
      </c>
      <c r="O495" s="7" t="str">
        <f t="shared" si="162"/>
        <v>#LIJSK1NN9 </v>
      </c>
      <c r="P495" s="21">
        <f t="shared" si="171"/>
        <v>43248</v>
      </c>
      <c r="Q495" s="22">
        <f>VLOOKUP(R495,Referencias!$D$1:$E$13,2,0)</f>
        <v>5</v>
      </c>
      <c r="R495" s="7" t="str">
        <f t="shared" si="172"/>
        <v>MAI</v>
      </c>
      <c r="S495" s="7" t="str">
        <f t="shared" si="163"/>
        <v>MAI</v>
      </c>
      <c r="T495" s="11">
        <f t="shared" si="177"/>
        <v>28</v>
      </c>
      <c r="U495" s="11">
        <f t="shared" si="164"/>
        <v>28</v>
      </c>
      <c r="V495" s="11" t="str">
        <f>VLOOKUP(C495,Referencias!$A$2:$B$33,2,1)</f>
        <v>13 - 14</v>
      </c>
      <c r="W495" s="23">
        <f t="shared" si="175"/>
        <v>2.6388888888888906E-2</v>
      </c>
      <c r="X495" s="11">
        <f t="shared" si="165"/>
        <v>4.72</v>
      </c>
      <c r="Y495" s="11">
        <f t="shared" si="178"/>
        <v>8.3352051835853125</v>
      </c>
      <c r="Z495" s="24">
        <f t="shared" si="173"/>
        <v>3.15</v>
      </c>
      <c r="AA495" s="25">
        <f t="shared" si="179"/>
        <v>4.9736842105263124</v>
      </c>
      <c r="AB495" s="24">
        <f t="shared" si="166"/>
        <v>1</v>
      </c>
      <c r="AC495" s="24">
        <f t="shared" si="167"/>
        <v>2.063716883680152</v>
      </c>
      <c r="AD495" s="24">
        <f t="shared" si="168"/>
        <v>2.5003491837544378</v>
      </c>
      <c r="AE495" s="24">
        <f t="shared" si="169"/>
        <v>2.96454856934941</v>
      </c>
      <c r="AF495" s="119" t="str">
        <f>VLOOKUP(P495*1,Referencias!$G:$H,2,0)</f>
        <v>seg</v>
      </c>
      <c r="BF495"/>
      <c r="BG495"/>
    </row>
    <row r="496" spans="1:71" ht="14.4" x14ac:dyDescent="0.3">
      <c r="A496" s="147" t="s">
        <v>19</v>
      </c>
      <c r="B496" s="164"/>
      <c r="C496" s="134">
        <v>0.6020833333333333</v>
      </c>
      <c r="D496" s="165"/>
      <c r="E496" s="165"/>
      <c r="F496" s="165"/>
      <c r="G496" s="166"/>
      <c r="H496" s="167"/>
      <c r="I496" s="165"/>
      <c r="N496" s="7" t="str">
        <f t="shared" si="176"/>
        <v>#LIJSK1NN9 </v>
      </c>
      <c r="O496" s="7">
        <f t="shared" si="162"/>
        <v>0</v>
      </c>
      <c r="P496" s="21">
        <f t="shared" si="171"/>
        <v>43248</v>
      </c>
      <c r="Q496" s="22">
        <f>VLOOKUP(R496,Referencias!$D$1:$E$13,2,0)</f>
        <v>5</v>
      </c>
      <c r="R496" s="7" t="str">
        <f t="shared" si="172"/>
        <v>MAI</v>
      </c>
      <c r="S496" s="7">
        <f t="shared" si="163"/>
        <v>0</v>
      </c>
      <c r="T496" s="11">
        <f t="shared" si="177"/>
        <v>28</v>
      </c>
      <c r="U496" s="11">
        <f t="shared" si="164"/>
        <v>0</v>
      </c>
      <c r="V496" s="11" t="str">
        <f>VLOOKUP(C496,Referencias!$A$2:$B$33,2,1)</f>
        <v>14 - 15</v>
      </c>
      <c r="W496" s="23" t="str">
        <f t="shared" si="175"/>
        <v/>
      </c>
      <c r="X496" s="11">
        <f t="shared" si="165"/>
        <v>0</v>
      </c>
      <c r="Y496" s="11">
        <f t="shared" si="178"/>
        <v>0</v>
      </c>
      <c r="Z496" s="24">
        <f t="shared" si="173"/>
        <v>0</v>
      </c>
      <c r="AA496" s="25">
        <f t="shared" si="179"/>
        <v>0</v>
      </c>
      <c r="AB496" s="24">
        <f t="shared" si="166"/>
        <v>0</v>
      </c>
      <c r="AC496" s="24">
        <f t="shared" si="167"/>
        <v>0</v>
      </c>
      <c r="AD496" s="24">
        <f t="shared" si="168"/>
        <v>0</v>
      </c>
      <c r="AE496" s="24">
        <f t="shared" si="169"/>
        <v>0</v>
      </c>
      <c r="AF496" s="119" t="str">
        <f>VLOOKUP(P496*1,Referencias!$G:$H,2,0)</f>
        <v>seg</v>
      </c>
      <c r="BF496"/>
      <c r="BG496"/>
    </row>
    <row r="497" spans="1:59" ht="14.4" x14ac:dyDescent="0.3">
      <c r="A497" s="161"/>
      <c r="B497" s="161"/>
      <c r="C497" s="161"/>
      <c r="D497" s="161"/>
      <c r="E497" s="161"/>
      <c r="F497" s="161"/>
      <c r="G497" s="161"/>
      <c r="H497" s="161"/>
      <c r="I497" s="161"/>
      <c r="N497" s="7" t="str">
        <f t="shared" si="176"/>
        <v>#LIJSK1NN9 </v>
      </c>
      <c r="O497" s="7">
        <f t="shared" si="162"/>
        <v>0</v>
      </c>
      <c r="P497" s="21">
        <f t="shared" si="171"/>
        <v>43248</v>
      </c>
      <c r="Q497" s="22">
        <f>VLOOKUP(R497,Referencias!$D$1:$E$13,2,0)</f>
        <v>5</v>
      </c>
      <c r="R497" s="7" t="str">
        <f t="shared" si="172"/>
        <v>MAI</v>
      </c>
      <c r="S497" s="7">
        <f t="shared" si="163"/>
        <v>0</v>
      </c>
      <c r="T497" s="11">
        <f t="shared" si="177"/>
        <v>28</v>
      </c>
      <c r="U497" s="11">
        <f t="shared" si="164"/>
        <v>0</v>
      </c>
      <c r="V497" s="11" t="e">
        <f>VLOOKUP(C497,Referencias!$A$2:$B$33,2,1)</f>
        <v>#N/A</v>
      </c>
      <c r="W497" s="23" t="str">
        <f t="shared" si="175"/>
        <v/>
      </c>
      <c r="X497" s="11">
        <f t="shared" si="165"/>
        <v>0</v>
      </c>
      <c r="Y497" s="11">
        <f t="shared" si="178"/>
        <v>0</v>
      </c>
      <c r="Z497" s="24">
        <f t="shared" si="173"/>
        <v>0</v>
      </c>
      <c r="AA497" s="25">
        <f t="shared" si="179"/>
        <v>0</v>
      </c>
      <c r="AB497" s="24">
        <f t="shared" si="166"/>
        <v>0</v>
      </c>
      <c r="AC497" s="24">
        <f t="shared" si="167"/>
        <v>0</v>
      </c>
      <c r="AD497" s="24">
        <f t="shared" si="168"/>
        <v>0</v>
      </c>
      <c r="AE497" s="24">
        <f t="shared" si="169"/>
        <v>0</v>
      </c>
      <c r="AF497" s="119" t="str">
        <f>VLOOKUP(P497*1,Referencias!$G:$H,2,0)</f>
        <v>seg</v>
      </c>
      <c r="BF497"/>
      <c r="BG497"/>
    </row>
    <row r="498" spans="1:59" ht="14.4" x14ac:dyDescent="0.3">
      <c r="A498" s="162"/>
      <c r="B498" s="162"/>
      <c r="C498" s="162"/>
      <c r="D498" s="162"/>
      <c r="E498" s="162"/>
      <c r="F498" s="162"/>
      <c r="G498" s="162"/>
      <c r="H498" s="162"/>
      <c r="I498" s="162"/>
      <c r="N498" s="7" t="str">
        <f t="shared" si="176"/>
        <v>#LIJSK1NN9 </v>
      </c>
      <c r="O498" s="7">
        <f t="shared" si="162"/>
        <v>0</v>
      </c>
      <c r="P498" s="21">
        <f t="shared" si="171"/>
        <v>43248</v>
      </c>
      <c r="Q498" s="22">
        <f>VLOOKUP(R498,Referencias!$D$1:$E$13,2,0)</f>
        <v>5</v>
      </c>
      <c r="R498" s="7" t="str">
        <f t="shared" si="172"/>
        <v>MAI</v>
      </c>
      <c r="S498" s="7">
        <f t="shared" si="163"/>
        <v>0</v>
      </c>
      <c r="T498" s="11">
        <f t="shared" si="177"/>
        <v>28</v>
      </c>
      <c r="U498" s="11">
        <f t="shared" si="164"/>
        <v>0</v>
      </c>
      <c r="V498" s="11" t="e">
        <f>VLOOKUP(C498,Referencias!$A$2:$B$33,2,1)</f>
        <v>#N/A</v>
      </c>
      <c r="W498" s="23" t="str">
        <f t="shared" si="175"/>
        <v/>
      </c>
      <c r="X498" s="11">
        <f t="shared" si="165"/>
        <v>0</v>
      </c>
      <c r="Y498" s="11">
        <f t="shared" si="178"/>
        <v>0</v>
      </c>
      <c r="Z498" s="24">
        <f t="shared" si="173"/>
        <v>0</v>
      </c>
      <c r="AA498" s="25">
        <f t="shared" si="179"/>
        <v>0</v>
      </c>
      <c r="AB498" s="24">
        <f t="shared" si="166"/>
        <v>0</v>
      </c>
      <c r="AC498" s="24">
        <f t="shared" si="167"/>
        <v>0</v>
      </c>
      <c r="AD498" s="24">
        <f t="shared" si="168"/>
        <v>0</v>
      </c>
      <c r="AE498" s="24">
        <f t="shared" si="169"/>
        <v>0</v>
      </c>
      <c r="AF498" s="119" t="str">
        <f>VLOOKUP(P498*1,Referencias!$G:$H,2,0)</f>
        <v>seg</v>
      </c>
      <c r="BF498"/>
      <c r="BG498"/>
    </row>
    <row r="499" spans="1:59" ht="14.4" x14ac:dyDescent="0.3">
      <c r="A499" s="163"/>
      <c r="B499" s="164" t="s">
        <v>221</v>
      </c>
      <c r="C499" s="134">
        <v>0.71944444444444444</v>
      </c>
      <c r="D499" s="165">
        <v>4.43</v>
      </c>
      <c r="E499" s="165" t="s">
        <v>55</v>
      </c>
      <c r="F499" s="165"/>
      <c r="G499" s="166">
        <v>3.05</v>
      </c>
      <c r="H499" s="167">
        <v>6.2</v>
      </c>
      <c r="I499" s="165"/>
      <c r="N499" s="7" t="str">
        <f t="shared" si="176"/>
        <v>#LI9GMG76S </v>
      </c>
      <c r="O499" s="7" t="str">
        <f t="shared" si="162"/>
        <v>#LI9GMG76S </v>
      </c>
      <c r="P499" s="21">
        <f t="shared" si="171"/>
        <v>43248</v>
      </c>
      <c r="Q499" s="22">
        <f>VLOOKUP(R499,Referencias!$D$1:$E$13,2,0)</f>
        <v>5</v>
      </c>
      <c r="R499" s="7" t="str">
        <f t="shared" si="172"/>
        <v>MAI</v>
      </c>
      <c r="S499" s="7">
        <f t="shared" si="163"/>
        <v>0</v>
      </c>
      <c r="T499" s="11">
        <f t="shared" si="177"/>
        <v>28</v>
      </c>
      <c r="U499" s="11">
        <f t="shared" si="164"/>
        <v>0</v>
      </c>
      <c r="V499" s="11" t="str">
        <f>VLOOKUP(C499,Referencias!$A$2:$B$33,2,1)</f>
        <v>17 - 18</v>
      </c>
      <c r="W499" s="23">
        <f t="shared" si="175"/>
        <v>2.8472222222222232E-2</v>
      </c>
      <c r="X499" s="11">
        <f t="shared" si="165"/>
        <v>4.43</v>
      </c>
      <c r="Y499" s="11">
        <f t="shared" si="178"/>
        <v>7.8230845261192652</v>
      </c>
      <c r="Z499" s="24">
        <f t="shared" si="173"/>
        <v>3.05</v>
      </c>
      <c r="AA499" s="25">
        <f t="shared" si="179"/>
        <v>4.4634146341463401</v>
      </c>
      <c r="AB499" s="24">
        <f t="shared" si="166"/>
        <v>1</v>
      </c>
      <c r="AC499" s="24">
        <f t="shared" si="167"/>
        <v>1.9982020619760201</v>
      </c>
      <c r="AD499" s="24">
        <f t="shared" si="168"/>
        <v>2.4209730191908045</v>
      </c>
      <c r="AE499" s="24">
        <f t="shared" si="169"/>
        <v>2.8704359163541908</v>
      </c>
      <c r="AF499" s="119" t="str">
        <f>VLOOKUP(P499*1,Referencias!$G:$H,2,0)</f>
        <v>seg</v>
      </c>
      <c r="BF499"/>
      <c r="BG499"/>
    </row>
    <row r="500" spans="1:59" ht="14.4" x14ac:dyDescent="0.3">
      <c r="A500" s="163"/>
      <c r="B500" s="164"/>
      <c r="C500" s="134">
        <v>0.74791666666666667</v>
      </c>
      <c r="D500" s="165"/>
      <c r="E500" s="165"/>
      <c r="F500" s="165"/>
      <c r="G500" s="166"/>
      <c r="H500" s="167"/>
      <c r="I500" s="165"/>
      <c r="N500" s="7" t="str">
        <f t="shared" si="176"/>
        <v>#LI9GMG76S </v>
      </c>
      <c r="O500" s="7">
        <f t="shared" si="162"/>
        <v>0</v>
      </c>
      <c r="P500" s="21">
        <f t="shared" si="171"/>
        <v>43248</v>
      </c>
      <c r="Q500" s="22">
        <f>VLOOKUP(R500,Referencias!$D$1:$E$13,2,0)</f>
        <v>5</v>
      </c>
      <c r="R500" s="7" t="str">
        <f t="shared" si="172"/>
        <v>MAI</v>
      </c>
      <c r="S500" s="7">
        <f t="shared" si="163"/>
        <v>0</v>
      </c>
      <c r="T500" s="11">
        <f t="shared" si="177"/>
        <v>28</v>
      </c>
      <c r="U500" s="11">
        <f t="shared" si="164"/>
        <v>0</v>
      </c>
      <c r="V500" s="11" t="str">
        <f>VLOOKUP(C500,Referencias!$A$2:$B$33,2,1)</f>
        <v>17 - 18</v>
      </c>
      <c r="W500" s="23" t="str">
        <f t="shared" si="175"/>
        <v/>
      </c>
      <c r="X500" s="11">
        <f t="shared" si="165"/>
        <v>0</v>
      </c>
      <c r="Y500" s="11">
        <f t="shared" si="178"/>
        <v>0</v>
      </c>
      <c r="Z500" s="24">
        <f t="shared" si="173"/>
        <v>0</v>
      </c>
      <c r="AA500" s="25">
        <f t="shared" si="179"/>
        <v>0</v>
      </c>
      <c r="AB500" s="24">
        <f t="shared" si="166"/>
        <v>0</v>
      </c>
      <c r="AC500" s="24">
        <f t="shared" si="167"/>
        <v>0</v>
      </c>
      <c r="AD500" s="24">
        <f t="shared" si="168"/>
        <v>0</v>
      </c>
      <c r="AE500" s="24">
        <f t="shared" si="169"/>
        <v>0</v>
      </c>
      <c r="AF500" s="119" t="str">
        <f>VLOOKUP(P500*1,Referencias!$G:$H,2,0)</f>
        <v>seg</v>
      </c>
      <c r="BF500"/>
      <c r="BG500"/>
    </row>
    <row r="501" spans="1:59" ht="14.4" x14ac:dyDescent="0.3">
      <c r="A501" s="161"/>
      <c r="B501" s="161"/>
      <c r="C501" s="161"/>
      <c r="D501" s="161"/>
      <c r="E501" s="161"/>
      <c r="F501" s="161"/>
      <c r="G501" s="161"/>
      <c r="H501" s="161"/>
      <c r="I501" s="161"/>
      <c r="N501" s="7" t="str">
        <f t="shared" si="176"/>
        <v>#LI9GMG76S </v>
      </c>
      <c r="O501" s="7">
        <f t="shared" si="162"/>
        <v>0</v>
      </c>
      <c r="P501" s="21">
        <f t="shared" si="171"/>
        <v>43248</v>
      </c>
      <c r="Q501" s="22">
        <f>VLOOKUP(R501,Referencias!$D$1:$E$13,2,0)</f>
        <v>5</v>
      </c>
      <c r="R501" s="7" t="str">
        <f t="shared" si="172"/>
        <v>MAI</v>
      </c>
      <c r="S501" s="7">
        <f t="shared" si="163"/>
        <v>0</v>
      </c>
      <c r="T501" s="11">
        <f t="shared" si="177"/>
        <v>28</v>
      </c>
      <c r="U501" s="11">
        <f t="shared" si="164"/>
        <v>0</v>
      </c>
      <c r="V501" s="11" t="e">
        <f>VLOOKUP(C501,Referencias!$A$2:$B$33,2,1)</f>
        <v>#N/A</v>
      </c>
      <c r="W501" s="23" t="str">
        <f t="shared" si="175"/>
        <v/>
      </c>
      <c r="X501" s="11">
        <f t="shared" si="165"/>
        <v>0</v>
      </c>
      <c r="Y501" s="11">
        <f t="shared" si="178"/>
        <v>0</v>
      </c>
      <c r="Z501" s="24">
        <f t="shared" si="173"/>
        <v>0</v>
      </c>
      <c r="AA501" s="25">
        <f t="shared" si="179"/>
        <v>0</v>
      </c>
      <c r="AB501" s="24">
        <f t="shared" si="166"/>
        <v>0</v>
      </c>
      <c r="AC501" s="24">
        <f t="shared" si="167"/>
        <v>0</v>
      </c>
      <c r="AD501" s="24">
        <f t="shared" si="168"/>
        <v>0</v>
      </c>
      <c r="AE501" s="24">
        <f t="shared" si="169"/>
        <v>0</v>
      </c>
      <c r="AF501" s="119" t="str">
        <f>VLOOKUP(P501*1,Referencias!$G:$H,2,0)</f>
        <v>seg</v>
      </c>
      <c r="BF501"/>
      <c r="BG501"/>
    </row>
    <row r="502" spans="1:59" ht="14.4" x14ac:dyDescent="0.3">
      <c r="A502" s="162"/>
      <c r="B502" s="162"/>
      <c r="C502" s="162"/>
      <c r="D502" s="162"/>
      <c r="E502" s="162"/>
      <c r="F502" s="162"/>
      <c r="G502" s="162"/>
      <c r="H502" s="162"/>
      <c r="I502" s="162"/>
      <c r="N502" s="7" t="str">
        <f t="shared" si="176"/>
        <v>#LI9GMG76S </v>
      </c>
      <c r="O502" s="7">
        <f t="shared" si="162"/>
        <v>0</v>
      </c>
      <c r="P502" s="21">
        <f t="shared" si="171"/>
        <v>43248</v>
      </c>
      <c r="Q502" s="22">
        <f>VLOOKUP(R502,Referencias!$D$1:$E$13,2,0)</f>
        <v>5</v>
      </c>
      <c r="R502" s="7" t="str">
        <f t="shared" si="172"/>
        <v>MAI</v>
      </c>
      <c r="S502" s="7">
        <f t="shared" si="163"/>
        <v>0</v>
      </c>
      <c r="T502" s="11">
        <f t="shared" si="177"/>
        <v>28</v>
      </c>
      <c r="U502" s="11">
        <f t="shared" si="164"/>
        <v>0</v>
      </c>
      <c r="V502" s="11" t="e">
        <f>VLOOKUP(C502,Referencias!$A$2:$B$33,2,1)</f>
        <v>#N/A</v>
      </c>
      <c r="W502" s="23" t="str">
        <f t="shared" si="175"/>
        <v/>
      </c>
      <c r="X502" s="11">
        <f t="shared" si="165"/>
        <v>0</v>
      </c>
      <c r="Y502" s="11">
        <f t="shared" si="178"/>
        <v>0</v>
      </c>
      <c r="Z502" s="24">
        <f t="shared" si="173"/>
        <v>0</v>
      </c>
      <c r="AA502" s="25">
        <f t="shared" si="179"/>
        <v>0</v>
      </c>
      <c r="AB502" s="24">
        <f t="shared" si="166"/>
        <v>0</v>
      </c>
      <c r="AC502" s="24">
        <f t="shared" si="167"/>
        <v>0</v>
      </c>
      <c r="AD502" s="24">
        <f t="shared" si="168"/>
        <v>0</v>
      </c>
      <c r="AE502" s="24">
        <f t="shared" si="169"/>
        <v>0</v>
      </c>
      <c r="AF502" s="119" t="str">
        <f>VLOOKUP(P502*1,Referencias!$G:$H,2,0)</f>
        <v>seg</v>
      </c>
      <c r="BF502"/>
      <c r="BG502"/>
    </row>
    <row r="503" spans="1:59" ht="14.4" x14ac:dyDescent="0.3">
      <c r="A503" s="163"/>
      <c r="B503" s="164" t="s">
        <v>222</v>
      </c>
      <c r="C503" s="134">
        <v>0.76250000000000007</v>
      </c>
      <c r="D503" s="165">
        <v>2.31</v>
      </c>
      <c r="E503" s="165" t="s">
        <v>53</v>
      </c>
      <c r="F503" s="165"/>
      <c r="G503" s="166">
        <v>2.2999999999999998</v>
      </c>
      <c r="H503" s="167">
        <v>8.5</v>
      </c>
      <c r="I503" s="165"/>
      <c r="N503" s="7" t="str">
        <f t="shared" si="176"/>
        <v>#LIGEJ1L3M </v>
      </c>
      <c r="O503" s="7" t="str">
        <f t="shared" si="162"/>
        <v>#LIGEJ1L3M </v>
      </c>
      <c r="P503" s="21">
        <f t="shared" si="171"/>
        <v>43248</v>
      </c>
      <c r="Q503" s="22">
        <f>VLOOKUP(R503,Referencias!$D$1:$E$13,2,0)</f>
        <v>5</v>
      </c>
      <c r="R503" s="7" t="str">
        <f t="shared" si="172"/>
        <v>MAI</v>
      </c>
      <c r="S503" s="7">
        <f t="shared" si="163"/>
        <v>0</v>
      </c>
      <c r="T503" s="11">
        <f t="shared" si="177"/>
        <v>28</v>
      </c>
      <c r="U503" s="11">
        <f t="shared" si="164"/>
        <v>0</v>
      </c>
      <c r="V503" s="11" t="str">
        <f>VLOOKUP(C503,Referencias!$A$2:$B$33,2,1)</f>
        <v>18 - 19</v>
      </c>
      <c r="W503" s="23">
        <f t="shared" si="175"/>
        <v>2.4999999999999911E-2</v>
      </c>
      <c r="X503" s="11">
        <f t="shared" si="165"/>
        <v>2.31</v>
      </c>
      <c r="Y503" s="11">
        <f t="shared" si="178"/>
        <v>4.0793059267123031</v>
      </c>
      <c r="Z503" s="24">
        <f t="shared" si="173"/>
        <v>2.2999999999999998</v>
      </c>
      <c r="AA503" s="25">
        <f t="shared" si="179"/>
        <v>3.8333333333333468</v>
      </c>
      <c r="AB503" s="24">
        <f t="shared" si="166"/>
        <v>1</v>
      </c>
      <c r="AC503" s="24">
        <f t="shared" si="167"/>
        <v>1.5068408991950315</v>
      </c>
      <c r="AD503" s="24">
        <f t="shared" si="168"/>
        <v>1.8256517849635576</v>
      </c>
      <c r="AE503" s="24">
        <f t="shared" si="169"/>
        <v>2.1645910188900452</v>
      </c>
      <c r="AF503" s="119" t="str">
        <f>VLOOKUP(P503*1,Referencias!$G:$H,2,0)</f>
        <v>seg</v>
      </c>
      <c r="BF503"/>
      <c r="BG503"/>
    </row>
    <row r="504" spans="1:59" ht="14.4" x14ac:dyDescent="0.3">
      <c r="A504" s="163"/>
      <c r="B504" s="164"/>
      <c r="C504" s="134">
        <v>0.78749999999999998</v>
      </c>
      <c r="D504" s="165"/>
      <c r="E504" s="165"/>
      <c r="F504" s="165"/>
      <c r="G504" s="166"/>
      <c r="H504" s="167"/>
      <c r="I504" s="165"/>
      <c r="N504" s="7" t="str">
        <f t="shared" si="176"/>
        <v>#LIGEJ1L3M </v>
      </c>
      <c r="O504" s="7">
        <f t="shared" si="162"/>
        <v>0</v>
      </c>
      <c r="P504" s="21">
        <f t="shared" si="171"/>
        <v>43248</v>
      </c>
      <c r="Q504" s="22">
        <f>VLOOKUP(R504,Referencias!$D$1:$E$13,2,0)</f>
        <v>5</v>
      </c>
      <c r="R504" s="7" t="str">
        <f t="shared" si="172"/>
        <v>MAI</v>
      </c>
      <c r="S504" s="7">
        <f t="shared" si="163"/>
        <v>0</v>
      </c>
      <c r="T504" s="11">
        <f t="shared" si="177"/>
        <v>28</v>
      </c>
      <c r="U504" s="11">
        <f t="shared" si="164"/>
        <v>0</v>
      </c>
      <c r="V504" s="11" t="str">
        <f>VLOOKUP(C504,Referencias!$A$2:$B$33,2,1)</f>
        <v>18 - 19</v>
      </c>
      <c r="W504" s="23" t="str">
        <f t="shared" si="175"/>
        <v/>
      </c>
      <c r="X504" s="11">
        <f t="shared" si="165"/>
        <v>0</v>
      </c>
      <c r="Y504" s="11">
        <f t="shared" si="178"/>
        <v>0</v>
      </c>
      <c r="Z504" s="24">
        <f t="shared" si="173"/>
        <v>0</v>
      </c>
      <c r="AA504" s="25">
        <f t="shared" si="179"/>
        <v>0</v>
      </c>
      <c r="AB504" s="24">
        <f t="shared" si="166"/>
        <v>0</v>
      </c>
      <c r="AC504" s="24">
        <f t="shared" si="167"/>
        <v>0</v>
      </c>
      <c r="AD504" s="24">
        <f t="shared" si="168"/>
        <v>0</v>
      </c>
      <c r="AE504" s="24">
        <f t="shared" si="169"/>
        <v>0</v>
      </c>
      <c r="AF504" s="119" t="str">
        <f>VLOOKUP(P504*1,Referencias!$G:$H,2,0)</f>
        <v>seg</v>
      </c>
      <c r="BF504"/>
      <c r="BG504"/>
    </row>
    <row r="505" spans="1:59" ht="14.4" x14ac:dyDescent="0.3">
      <c r="A505" s="161"/>
      <c r="B505" s="161"/>
      <c r="C505" s="161"/>
      <c r="D505" s="161"/>
      <c r="E505" s="161"/>
      <c r="F505" s="161"/>
      <c r="G505" s="161"/>
      <c r="H505" s="161"/>
      <c r="I505" s="161"/>
      <c r="N505" s="7" t="str">
        <f t="shared" si="176"/>
        <v>#LIGEJ1L3M </v>
      </c>
      <c r="O505" s="7">
        <f t="shared" si="162"/>
        <v>0</v>
      </c>
      <c r="P505" s="21">
        <f t="shared" si="171"/>
        <v>43248</v>
      </c>
      <c r="Q505" s="22">
        <f>VLOOKUP(R505,Referencias!$D$1:$E$13,2,0)</f>
        <v>5</v>
      </c>
      <c r="R505" s="7" t="str">
        <f t="shared" si="172"/>
        <v>MAI</v>
      </c>
      <c r="S505" s="7">
        <f t="shared" si="163"/>
        <v>0</v>
      </c>
      <c r="T505" s="11">
        <f t="shared" si="177"/>
        <v>28</v>
      </c>
      <c r="U505" s="11">
        <f t="shared" si="164"/>
        <v>0</v>
      </c>
      <c r="V505" s="11" t="e">
        <f>VLOOKUP(C505,Referencias!$A$2:$B$33,2,1)</f>
        <v>#N/A</v>
      </c>
      <c r="W505" s="23" t="str">
        <f t="shared" si="175"/>
        <v/>
      </c>
      <c r="X505" s="11">
        <f t="shared" si="165"/>
        <v>0</v>
      </c>
      <c r="Y505" s="11">
        <f t="shared" si="178"/>
        <v>0</v>
      </c>
      <c r="Z505" s="24">
        <f t="shared" si="173"/>
        <v>0</v>
      </c>
      <c r="AA505" s="25">
        <f t="shared" si="179"/>
        <v>0</v>
      </c>
      <c r="AB505" s="24">
        <f t="shared" si="166"/>
        <v>0</v>
      </c>
      <c r="AC505" s="24">
        <f t="shared" si="167"/>
        <v>0</v>
      </c>
      <c r="AD505" s="24">
        <f t="shared" si="168"/>
        <v>0</v>
      </c>
      <c r="AE505" s="24">
        <f t="shared" si="169"/>
        <v>0</v>
      </c>
      <c r="AF505" s="119" t="str">
        <f>VLOOKUP(P505*1,Referencias!$G:$H,2,0)</f>
        <v>seg</v>
      </c>
      <c r="BF505"/>
      <c r="BG505"/>
    </row>
    <row r="506" spans="1:59" ht="14.4" x14ac:dyDescent="0.3">
      <c r="A506" s="162"/>
      <c r="B506" s="162"/>
      <c r="C506" s="162"/>
      <c r="D506" s="162"/>
      <c r="E506" s="162"/>
      <c r="F506" s="162"/>
      <c r="G506" s="162"/>
      <c r="H506" s="162"/>
      <c r="I506" s="162"/>
      <c r="N506" s="7" t="str">
        <f t="shared" si="176"/>
        <v>#LIGEJ1L3M </v>
      </c>
      <c r="O506" s="7">
        <f t="shared" si="162"/>
        <v>0</v>
      </c>
      <c r="P506" s="21">
        <f t="shared" si="171"/>
        <v>43248</v>
      </c>
      <c r="Q506" s="22">
        <f>VLOOKUP(R506,Referencias!$D$1:$E$13,2,0)</f>
        <v>5</v>
      </c>
      <c r="R506" s="7" t="str">
        <f t="shared" si="172"/>
        <v>MAI</v>
      </c>
      <c r="S506" s="7">
        <f t="shared" si="163"/>
        <v>0</v>
      </c>
      <c r="T506" s="11">
        <f t="shared" si="177"/>
        <v>28</v>
      </c>
      <c r="U506" s="11">
        <f t="shared" si="164"/>
        <v>0</v>
      </c>
      <c r="V506" s="11" t="e">
        <f>VLOOKUP(C506,Referencias!$A$2:$B$33,2,1)</f>
        <v>#N/A</v>
      </c>
      <c r="W506" s="23" t="str">
        <f t="shared" si="175"/>
        <v/>
      </c>
      <c r="X506" s="11">
        <f t="shared" si="165"/>
        <v>0</v>
      </c>
      <c r="Y506" s="11">
        <f t="shared" si="178"/>
        <v>0</v>
      </c>
      <c r="Z506" s="24">
        <f t="shared" si="173"/>
        <v>0</v>
      </c>
      <c r="AA506" s="25">
        <f t="shared" si="179"/>
        <v>0</v>
      </c>
      <c r="AB506" s="24">
        <f t="shared" si="166"/>
        <v>0</v>
      </c>
      <c r="AC506" s="24">
        <f t="shared" si="167"/>
        <v>0</v>
      </c>
      <c r="AD506" s="24">
        <f t="shared" si="168"/>
        <v>0</v>
      </c>
      <c r="AE506" s="24">
        <f t="shared" si="169"/>
        <v>0</v>
      </c>
      <c r="AF506" s="119" t="str">
        <f>VLOOKUP(P506*1,Referencias!$G:$H,2,0)</f>
        <v>seg</v>
      </c>
      <c r="BF506"/>
      <c r="BG506"/>
    </row>
    <row r="507" spans="1:59" ht="14.4" x14ac:dyDescent="0.3">
      <c r="A507" s="163"/>
      <c r="B507" s="164" t="s">
        <v>223</v>
      </c>
      <c r="C507" s="134">
        <v>0.79375000000000007</v>
      </c>
      <c r="D507" s="165">
        <v>3.02</v>
      </c>
      <c r="E507" s="165" t="s">
        <v>44</v>
      </c>
      <c r="F507" s="165"/>
      <c r="G507" s="166">
        <v>2.56</v>
      </c>
      <c r="H507" s="167">
        <v>11.06</v>
      </c>
      <c r="I507" s="165"/>
      <c r="N507" s="7" t="str">
        <f t="shared" si="176"/>
        <v>#LIPSQD9SM </v>
      </c>
      <c r="O507" s="7" t="str">
        <f t="shared" si="162"/>
        <v>#LIPSQD9SM </v>
      </c>
      <c r="P507" s="21">
        <f t="shared" si="171"/>
        <v>43248</v>
      </c>
      <c r="Q507" s="22">
        <f>VLOOKUP(R507,Referencias!$D$1:$E$13,2,0)</f>
        <v>5</v>
      </c>
      <c r="R507" s="7" t="str">
        <f t="shared" si="172"/>
        <v>MAI</v>
      </c>
      <c r="S507" s="7">
        <f t="shared" si="163"/>
        <v>0</v>
      </c>
      <c r="T507" s="11">
        <f t="shared" si="177"/>
        <v>28</v>
      </c>
      <c r="U507" s="11">
        <f t="shared" si="164"/>
        <v>0</v>
      </c>
      <c r="V507" s="11" t="str">
        <f>VLOOKUP(C507,Referencias!$A$2:$B$33,2,1)</f>
        <v>19 - 20</v>
      </c>
      <c r="W507" s="23">
        <f t="shared" si="175"/>
        <v>1.4583333333333171E-2</v>
      </c>
      <c r="X507" s="11">
        <f t="shared" si="165"/>
        <v>3.02</v>
      </c>
      <c r="Y507" s="11">
        <f t="shared" si="178"/>
        <v>5.3331185708533146</v>
      </c>
      <c r="Z507" s="24">
        <f t="shared" si="173"/>
        <v>2.56</v>
      </c>
      <c r="AA507" s="25">
        <f t="shared" si="179"/>
        <v>7.3142857142857958</v>
      </c>
      <c r="AB507" s="24">
        <f t="shared" si="166"/>
        <v>1</v>
      </c>
      <c r="AC507" s="24">
        <f t="shared" si="167"/>
        <v>1.6771794356257743</v>
      </c>
      <c r="AD507" s="24">
        <f t="shared" si="168"/>
        <v>2.0320298128290033</v>
      </c>
      <c r="AE507" s="24">
        <f t="shared" si="169"/>
        <v>2.4092839166776159</v>
      </c>
      <c r="AF507" s="119" t="str">
        <f>VLOOKUP(P507*1,Referencias!$G:$H,2,0)</f>
        <v>seg</v>
      </c>
      <c r="BF507"/>
      <c r="BG507"/>
    </row>
    <row r="508" spans="1:59" ht="14.4" x14ac:dyDescent="0.3">
      <c r="A508" s="163"/>
      <c r="B508" s="164"/>
      <c r="C508" s="134">
        <v>0.80833333333333324</v>
      </c>
      <c r="D508" s="165"/>
      <c r="E508" s="165"/>
      <c r="F508" s="165"/>
      <c r="G508" s="166"/>
      <c r="H508" s="167"/>
      <c r="I508" s="165"/>
      <c r="N508" s="7" t="str">
        <f t="shared" si="176"/>
        <v>#LIPSQD9SM </v>
      </c>
      <c r="O508" s="7">
        <f t="shared" si="162"/>
        <v>0</v>
      </c>
      <c r="P508" s="21">
        <f t="shared" si="171"/>
        <v>43248</v>
      </c>
      <c r="Q508" s="22">
        <f>VLOOKUP(R508,Referencias!$D$1:$E$13,2,0)</f>
        <v>5</v>
      </c>
      <c r="R508" s="7" t="str">
        <f t="shared" si="172"/>
        <v>MAI</v>
      </c>
      <c r="S508" s="7">
        <f t="shared" si="163"/>
        <v>0</v>
      </c>
      <c r="T508" s="11">
        <f t="shared" si="177"/>
        <v>28</v>
      </c>
      <c r="U508" s="11">
        <f t="shared" si="164"/>
        <v>0</v>
      </c>
      <c r="V508" s="11" t="str">
        <f>VLOOKUP(C508,Referencias!$A$2:$B$33,2,1)</f>
        <v>19 - 20</v>
      </c>
      <c r="W508" s="23" t="str">
        <f t="shared" si="175"/>
        <v/>
      </c>
      <c r="X508" s="11">
        <f t="shared" si="165"/>
        <v>0</v>
      </c>
      <c r="Y508" s="11">
        <f t="shared" si="178"/>
        <v>0</v>
      </c>
      <c r="Z508" s="24">
        <f t="shared" si="173"/>
        <v>0</v>
      </c>
      <c r="AA508" s="25">
        <f t="shared" si="179"/>
        <v>0</v>
      </c>
      <c r="AB508" s="24">
        <f t="shared" si="166"/>
        <v>0</v>
      </c>
      <c r="AC508" s="24">
        <f t="shared" si="167"/>
        <v>0</v>
      </c>
      <c r="AD508" s="24">
        <f t="shared" si="168"/>
        <v>0</v>
      </c>
      <c r="AE508" s="24">
        <f t="shared" si="169"/>
        <v>0</v>
      </c>
      <c r="AF508" s="119" t="str">
        <f>VLOOKUP(P508*1,Referencias!$G:$H,2,0)</f>
        <v>seg</v>
      </c>
      <c r="BF508"/>
      <c r="BG508"/>
    </row>
    <row r="509" spans="1:59" ht="14.4" x14ac:dyDescent="0.3">
      <c r="A509" s="161"/>
      <c r="B509" s="161"/>
      <c r="C509" s="161"/>
      <c r="D509" s="161"/>
      <c r="E509" s="161"/>
      <c r="F509" s="161"/>
      <c r="G509" s="161"/>
      <c r="H509" s="161"/>
      <c r="I509" s="161"/>
      <c r="N509" s="7" t="str">
        <f t="shared" si="176"/>
        <v>#LIPSQD9SM </v>
      </c>
      <c r="O509" s="7">
        <f t="shared" si="162"/>
        <v>0</v>
      </c>
      <c r="P509" s="21">
        <f t="shared" si="171"/>
        <v>43248</v>
      </c>
      <c r="Q509" s="22">
        <f>VLOOKUP(R509,Referencias!$D$1:$E$13,2,0)</f>
        <v>5</v>
      </c>
      <c r="R509" s="7" t="str">
        <f t="shared" si="172"/>
        <v>MAI</v>
      </c>
      <c r="S509" s="7">
        <f t="shared" si="163"/>
        <v>0</v>
      </c>
      <c r="T509" s="11">
        <f t="shared" si="177"/>
        <v>28</v>
      </c>
      <c r="U509" s="11">
        <f t="shared" si="164"/>
        <v>0</v>
      </c>
      <c r="V509" s="11" t="e">
        <f>VLOOKUP(C509,Referencias!$A$2:$B$33,2,1)</f>
        <v>#N/A</v>
      </c>
      <c r="W509" s="23" t="str">
        <f t="shared" si="175"/>
        <v/>
      </c>
      <c r="X509" s="11">
        <f t="shared" si="165"/>
        <v>0</v>
      </c>
      <c r="Y509" s="11">
        <f t="shared" si="178"/>
        <v>0</v>
      </c>
      <c r="Z509" s="24">
        <f t="shared" si="173"/>
        <v>0</v>
      </c>
      <c r="AA509" s="25">
        <f t="shared" si="179"/>
        <v>0</v>
      </c>
      <c r="AB509" s="24">
        <f t="shared" si="166"/>
        <v>0</v>
      </c>
      <c r="AC509" s="24">
        <f t="shared" si="167"/>
        <v>0</v>
      </c>
      <c r="AD509" s="24">
        <f t="shared" si="168"/>
        <v>0</v>
      </c>
      <c r="AE509" s="24">
        <f t="shared" si="169"/>
        <v>0</v>
      </c>
      <c r="AF509" s="119" t="str">
        <f>VLOOKUP(P509*1,Referencias!$G:$H,2,0)</f>
        <v>seg</v>
      </c>
      <c r="BF509"/>
      <c r="BG509"/>
    </row>
    <row r="510" spans="1:59" ht="14.4" x14ac:dyDescent="0.3">
      <c r="A510" s="162"/>
      <c r="B510" s="162"/>
      <c r="C510" s="162"/>
      <c r="D510" s="162"/>
      <c r="E510" s="162"/>
      <c r="F510" s="162"/>
      <c r="G510" s="162"/>
      <c r="H510" s="162"/>
      <c r="I510" s="162"/>
      <c r="N510" s="7" t="str">
        <f t="shared" si="176"/>
        <v>#LIPSQD9SM </v>
      </c>
      <c r="O510" s="7">
        <f t="shared" si="162"/>
        <v>0</v>
      </c>
      <c r="P510" s="21">
        <f t="shared" si="171"/>
        <v>43248</v>
      </c>
      <c r="Q510" s="22">
        <f>VLOOKUP(R510,Referencias!$D$1:$E$13,2,0)</f>
        <v>5</v>
      </c>
      <c r="R510" s="7" t="str">
        <f t="shared" si="172"/>
        <v>MAI</v>
      </c>
      <c r="S510" s="7">
        <f t="shared" si="163"/>
        <v>0</v>
      </c>
      <c r="T510" s="11">
        <f t="shared" si="177"/>
        <v>28</v>
      </c>
      <c r="U510" s="11">
        <f t="shared" si="164"/>
        <v>0</v>
      </c>
      <c r="V510" s="11" t="e">
        <f>VLOOKUP(C510,Referencias!$A$2:$B$33,2,1)</f>
        <v>#N/A</v>
      </c>
      <c r="W510" s="23" t="str">
        <f t="shared" si="175"/>
        <v/>
      </c>
      <c r="X510" s="11">
        <f t="shared" si="165"/>
        <v>0</v>
      </c>
      <c r="Y510" s="11">
        <f t="shared" si="178"/>
        <v>0</v>
      </c>
      <c r="Z510" s="24">
        <f t="shared" si="173"/>
        <v>0</v>
      </c>
      <c r="AA510" s="25">
        <f t="shared" si="179"/>
        <v>0</v>
      </c>
      <c r="AB510" s="24">
        <f t="shared" si="166"/>
        <v>0</v>
      </c>
      <c r="AC510" s="24">
        <f t="shared" si="167"/>
        <v>0</v>
      </c>
      <c r="AD510" s="24">
        <f t="shared" si="168"/>
        <v>0</v>
      </c>
      <c r="AE510" s="24">
        <f t="shared" si="169"/>
        <v>0</v>
      </c>
      <c r="AF510" s="119" t="str">
        <f>VLOOKUP(P510*1,Referencias!$G:$H,2,0)</f>
        <v>seg</v>
      </c>
      <c r="BF510"/>
      <c r="BG510"/>
    </row>
    <row r="511" spans="1:59" ht="14.4" x14ac:dyDescent="0.3">
      <c r="A511" s="163"/>
      <c r="B511" s="164" t="s">
        <v>224</v>
      </c>
      <c r="C511" s="134">
        <v>0.81944444444444453</v>
      </c>
      <c r="D511" s="165">
        <v>3.13</v>
      </c>
      <c r="E511" s="165" t="s">
        <v>53</v>
      </c>
      <c r="F511" s="165"/>
      <c r="G511" s="166">
        <v>2.59</v>
      </c>
      <c r="H511" s="167">
        <v>13.65</v>
      </c>
      <c r="I511" s="165"/>
      <c r="N511" s="7" t="str">
        <f t="shared" si="176"/>
        <v>#LIFT7UKD1 </v>
      </c>
      <c r="O511" s="7" t="str">
        <f t="shared" si="162"/>
        <v>#LIFT7UKD1 </v>
      </c>
      <c r="P511" s="21">
        <f t="shared" si="171"/>
        <v>43248</v>
      </c>
      <c r="Q511" s="22">
        <f>VLOOKUP(R511,Referencias!$D$1:$E$13,2,0)</f>
        <v>5</v>
      </c>
      <c r="R511" s="7" t="str">
        <f t="shared" si="172"/>
        <v>MAI</v>
      </c>
      <c r="S511" s="7">
        <f t="shared" si="163"/>
        <v>0</v>
      </c>
      <c r="T511" s="11">
        <f t="shared" si="177"/>
        <v>28</v>
      </c>
      <c r="U511" s="11">
        <f t="shared" si="164"/>
        <v>0</v>
      </c>
      <c r="V511" s="11" t="str">
        <f>VLOOKUP(C511,Referencias!$A$2:$B$33,2,1)</f>
        <v>19 - 20</v>
      </c>
      <c r="W511" s="23">
        <f t="shared" si="175"/>
        <v>2.9166666666666563E-2</v>
      </c>
      <c r="X511" s="11">
        <f t="shared" si="165"/>
        <v>3.13</v>
      </c>
      <c r="Y511" s="11">
        <f t="shared" si="178"/>
        <v>5.5273712340300909</v>
      </c>
      <c r="Z511" s="24">
        <f t="shared" si="173"/>
        <v>2.59</v>
      </c>
      <c r="AA511" s="25">
        <f t="shared" si="179"/>
        <v>3.7000000000000131</v>
      </c>
      <c r="AB511" s="24">
        <f t="shared" si="166"/>
        <v>1</v>
      </c>
      <c r="AC511" s="24">
        <f t="shared" si="167"/>
        <v>1.6968338821370137</v>
      </c>
      <c r="AD511" s="24">
        <f t="shared" si="168"/>
        <v>2.055842662198093</v>
      </c>
      <c r="AE511" s="24">
        <f t="shared" si="169"/>
        <v>2.4375177125761818</v>
      </c>
      <c r="AF511" s="119" t="str">
        <f>VLOOKUP(P511*1,Referencias!$G:$H,2,0)</f>
        <v>seg</v>
      </c>
      <c r="BF511"/>
      <c r="BG511"/>
    </row>
    <row r="512" spans="1:59" ht="14.4" x14ac:dyDescent="0.3">
      <c r="A512" s="163"/>
      <c r="B512" s="164"/>
      <c r="C512" s="134">
        <v>0.84861111111111109</v>
      </c>
      <c r="D512" s="165"/>
      <c r="E512" s="165"/>
      <c r="F512" s="165"/>
      <c r="G512" s="166"/>
      <c r="H512" s="167"/>
      <c r="I512" s="165"/>
      <c r="N512" s="7" t="str">
        <f t="shared" si="176"/>
        <v>#LIFT7UKD1 </v>
      </c>
      <c r="O512" s="7">
        <f t="shared" si="162"/>
        <v>0</v>
      </c>
      <c r="P512" s="21">
        <f t="shared" si="171"/>
        <v>43248</v>
      </c>
      <c r="Q512" s="22">
        <f>VLOOKUP(R512,Referencias!$D$1:$E$13,2,0)</f>
        <v>5</v>
      </c>
      <c r="R512" s="7" t="str">
        <f t="shared" si="172"/>
        <v>MAI</v>
      </c>
      <c r="S512" s="7">
        <f t="shared" si="163"/>
        <v>0</v>
      </c>
      <c r="T512" s="11">
        <f t="shared" si="177"/>
        <v>28</v>
      </c>
      <c r="U512" s="11">
        <f t="shared" si="164"/>
        <v>0</v>
      </c>
      <c r="V512" s="11" t="str">
        <f>VLOOKUP(C512,Referencias!$A$2:$B$33,2,1)</f>
        <v>20 - 21</v>
      </c>
      <c r="W512" s="23" t="str">
        <f t="shared" si="175"/>
        <v/>
      </c>
      <c r="X512" s="11">
        <f t="shared" si="165"/>
        <v>0</v>
      </c>
      <c r="Y512" s="11">
        <f t="shared" si="178"/>
        <v>0</v>
      </c>
      <c r="Z512" s="24">
        <f t="shared" si="173"/>
        <v>0</v>
      </c>
      <c r="AA512" s="25">
        <f t="shared" si="179"/>
        <v>0</v>
      </c>
      <c r="AB512" s="24">
        <f t="shared" si="166"/>
        <v>0</v>
      </c>
      <c r="AC512" s="24">
        <f t="shared" si="167"/>
        <v>0</v>
      </c>
      <c r="AD512" s="24">
        <f t="shared" si="168"/>
        <v>0</v>
      </c>
      <c r="AE512" s="24">
        <f t="shared" si="169"/>
        <v>0</v>
      </c>
      <c r="AF512" s="119" t="str">
        <f>VLOOKUP(P512*1,Referencias!$G:$H,2,0)</f>
        <v>seg</v>
      </c>
      <c r="BF512"/>
      <c r="BG512"/>
    </row>
    <row r="513" spans="1:59" ht="14.4" x14ac:dyDescent="0.3">
      <c r="A513" s="161"/>
      <c r="B513" s="161"/>
      <c r="C513" s="161"/>
      <c r="D513" s="161"/>
      <c r="E513" s="161"/>
      <c r="F513" s="161"/>
      <c r="G513" s="161"/>
      <c r="H513" s="161"/>
      <c r="I513" s="161"/>
      <c r="N513" s="7" t="str">
        <f t="shared" si="176"/>
        <v>#LIFT7UKD1 </v>
      </c>
      <c r="O513" s="7">
        <f t="shared" si="162"/>
        <v>0</v>
      </c>
      <c r="P513" s="21">
        <f t="shared" si="171"/>
        <v>43248</v>
      </c>
      <c r="Q513" s="22">
        <f>VLOOKUP(R513,Referencias!$D$1:$E$13,2,0)</f>
        <v>5</v>
      </c>
      <c r="R513" s="7" t="str">
        <f t="shared" si="172"/>
        <v>MAI</v>
      </c>
      <c r="S513" s="7">
        <f t="shared" si="163"/>
        <v>0</v>
      </c>
      <c r="T513" s="11">
        <f t="shared" si="177"/>
        <v>28</v>
      </c>
      <c r="U513" s="11">
        <f t="shared" si="164"/>
        <v>0</v>
      </c>
      <c r="V513" s="11" t="e">
        <f>VLOOKUP(C513,Referencias!$A$2:$B$33,2,1)</f>
        <v>#N/A</v>
      </c>
      <c r="W513" s="23" t="str">
        <f t="shared" si="175"/>
        <v/>
      </c>
      <c r="X513" s="11">
        <f t="shared" si="165"/>
        <v>0</v>
      </c>
      <c r="Y513" s="11">
        <f t="shared" si="178"/>
        <v>0</v>
      </c>
      <c r="Z513" s="24">
        <f t="shared" si="173"/>
        <v>0</v>
      </c>
      <c r="AA513" s="25">
        <f t="shared" si="179"/>
        <v>0</v>
      </c>
      <c r="AB513" s="24">
        <f t="shared" si="166"/>
        <v>0</v>
      </c>
      <c r="AC513" s="24">
        <f t="shared" si="167"/>
        <v>0</v>
      </c>
      <c r="AD513" s="24">
        <f t="shared" si="168"/>
        <v>0</v>
      </c>
      <c r="AE513" s="24">
        <f t="shared" si="169"/>
        <v>0</v>
      </c>
      <c r="AF513" s="119" t="str">
        <f>VLOOKUP(P513*1,Referencias!$G:$H,2,0)</f>
        <v>seg</v>
      </c>
      <c r="BF513"/>
      <c r="BG513"/>
    </row>
    <row r="514" spans="1:59" ht="14.4" x14ac:dyDescent="0.3">
      <c r="A514" s="162"/>
      <c r="B514" s="162"/>
      <c r="C514" s="162"/>
      <c r="D514" s="162"/>
      <c r="E514" s="162"/>
      <c r="F514" s="162"/>
      <c r="G514" s="162"/>
      <c r="H514" s="162"/>
      <c r="I514" s="162"/>
      <c r="N514" s="7" t="str">
        <f t="shared" si="176"/>
        <v>#LIFT7UKD1 </v>
      </c>
      <c r="O514" s="7">
        <f t="shared" ref="O514:O577" si="180">IF(X514&gt;0,B514,0)</f>
        <v>0</v>
      </c>
      <c r="P514" s="21">
        <f t="shared" si="171"/>
        <v>43248</v>
      </c>
      <c r="Q514" s="22">
        <f>VLOOKUP(R514,Referencias!$D$1:$E$13,2,0)</f>
        <v>5</v>
      </c>
      <c r="R514" s="7" t="str">
        <f t="shared" si="172"/>
        <v>MAI</v>
      </c>
      <c r="S514" s="7">
        <f t="shared" ref="S514:S577" si="181">IF(X514&gt;0,A515,0)</f>
        <v>0</v>
      </c>
      <c r="T514" s="11">
        <f t="shared" si="177"/>
        <v>28</v>
      </c>
      <c r="U514" s="11">
        <f t="shared" ref="U514:U577" si="182">IF(X514&gt;0,A514,0)</f>
        <v>0</v>
      </c>
      <c r="V514" s="11" t="e">
        <f>VLOOKUP(C514,Referencias!$A$2:$B$33,2,1)</f>
        <v>#N/A</v>
      </c>
      <c r="W514" s="23" t="str">
        <f t="shared" si="175"/>
        <v/>
      </c>
      <c r="X514" s="11">
        <f t="shared" ref="X514:X577" si="183">D514*1</f>
        <v>0</v>
      </c>
      <c r="Y514" s="11">
        <f t="shared" si="178"/>
        <v>0</v>
      </c>
      <c r="Z514" s="24">
        <f t="shared" si="173"/>
        <v>0</v>
      </c>
      <c r="AA514" s="25">
        <f t="shared" si="179"/>
        <v>0</v>
      </c>
      <c r="AB514" s="24">
        <f t="shared" ref="AB514:AB577" si="184">IF(O514&gt;0,1,0)</f>
        <v>0</v>
      </c>
      <c r="AC514" s="24">
        <f t="shared" ref="AC514:AC577" si="185">Z514*$AL$14</f>
        <v>0</v>
      </c>
      <c r="AD514" s="24">
        <f t="shared" ref="AD514:AD577" si="186">Z514*$AN$14</f>
        <v>0</v>
      </c>
      <c r="AE514" s="24">
        <f t="shared" ref="AE514:AE577" si="187">Z514*$AL$26</f>
        <v>0</v>
      </c>
      <c r="AF514" s="119" t="str">
        <f>VLOOKUP(P514*1,Referencias!$G:$H,2,0)</f>
        <v>seg</v>
      </c>
      <c r="BF514"/>
      <c r="BG514"/>
    </row>
    <row r="515" spans="1:59" ht="14.4" x14ac:dyDescent="0.3">
      <c r="A515" s="163"/>
      <c r="B515" s="164" t="s">
        <v>225</v>
      </c>
      <c r="C515" s="134">
        <v>0.8534722222222223</v>
      </c>
      <c r="D515" s="165">
        <v>3</v>
      </c>
      <c r="E515" s="165" t="s">
        <v>17</v>
      </c>
      <c r="F515" s="165"/>
      <c r="G515" s="166">
        <v>2.54</v>
      </c>
      <c r="H515" s="167">
        <v>16.190000000000001</v>
      </c>
      <c r="I515" s="165"/>
      <c r="N515" s="7" t="str">
        <f t="shared" si="176"/>
        <v>#LISLRCUME </v>
      </c>
      <c r="O515" s="7" t="str">
        <f t="shared" si="180"/>
        <v>#LISLRCUME </v>
      </c>
      <c r="P515" s="21">
        <f t="shared" ref="P515:P578" si="188">(T515&amp;"/"&amp;Q515&amp;"/2018")*1</f>
        <v>43248</v>
      </c>
      <c r="Q515" s="22">
        <f>VLOOKUP(R515,Referencias!$D$1:$E$13,2,0)</f>
        <v>5</v>
      </c>
      <c r="R515" s="7" t="str">
        <f t="shared" ref="R515:R528" si="189">IF(S515="ganhos garantidos",R514,IF(S515&lt;&gt;0,S515,R514))</f>
        <v>MAI</v>
      </c>
      <c r="S515" s="7">
        <f t="shared" si="181"/>
        <v>0</v>
      </c>
      <c r="T515" s="11">
        <f t="shared" si="177"/>
        <v>28</v>
      </c>
      <c r="U515" s="11">
        <f t="shared" si="182"/>
        <v>0</v>
      </c>
      <c r="V515" s="11" t="str">
        <f>VLOOKUP(C515,Referencias!$A$2:$B$33,2,1)</f>
        <v>20 - 21</v>
      </c>
      <c r="W515" s="23">
        <f t="shared" si="175"/>
        <v>1.5277777777777724E-2</v>
      </c>
      <c r="X515" s="11">
        <f t="shared" si="183"/>
        <v>3</v>
      </c>
      <c r="Y515" s="11">
        <f t="shared" si="178"/>
        <v>5.297799904821173</v>
      </c>
      <c r="Z515" s="24">
        <f t="shared" ref="Z515:Z578" si="190">IF(A515="Ganhos Garantidos",G515,IF(X515&gt;0,G515*1,0))</f>
        <v>2.54</v>
      </c>
      <c r="AA515" s="25">
        <f t="shared" si="179"/>
        <v>6.9272727272727534</v>
      </c>
      <c r="AB515" s="24">
        <f t="shared" si="184"/>
        <v>1</v>
      </c>
      <c r="AC515" s="24">
        <f t="shared" si="185"/>
        <v>1.6640764712849481</v>
      </c>
      <c r="AD515" s="24">
        <f t="shared" si="186"/>
        <v>2.016154579916277</v>
      </c>
      <c r="AE515" s="24">
        <f t="shared" si="187"/>
        <v>2.3904613860785719</v>
      </c>
      <c r="AF515" s="119" t="str">
        <f>VLOOKUP(P515*1,Referencias!$G:$H,2,0)</f>
        <v>seg</v>
      </c>
      <c r="BF515"/>
      <c r="BG515"/>
    </row>
    <row r="516" spans="1:59" ht="14.4" x14ac:dyDescent="0.3">
      <c r="A516" s="163"/>
      <c r="B516" s="164"/>
      <c r="C516" s="134">
        <v>0.86875000000000002</v>
      </c>
      <c r="D516" s="165"/>
      <c r="E516" s="165"/>
      <c r="F516" s="165"/>
      <c r="G516" s="166"/>
      <c r="H516" s="167"/>
      <c r="I516" s="165"/>
      <c r="N516" s="7" t="str">
        <f t="shared" si="176"/>
        <v>#LISLRCUME </v>
      </c>
      <c r="O516" s="7">
        <f t="shared" si="180"/>
        <v>0</v>
      </c>
      <c r="P516" s="21">
        <f t="shared" si="188"/>
        <v>43248</v>
      </c>
      <c r="Q516" s="22">
        <f>VLOOKUP(R516,Referencias!$D$1:$E$13,2,0)</f>
        <v>5</v>
      </c>
      <c r="R516" s="7" t="str">
        <f t="shared" si="189"/>
        <v>MAI</v>
      </c>
      <c r="S516" s="7">
        <f t="shared" si="181"/>
        <v>0</v>
      </c>
      <c r="T516" s="11">
        <f t="shared" si="177"/>
        <v>28</v>
      </c>
      <c r="U516" s="11">
        <f t="shared" si="182"/>
        <v>0</v>
      </c>
      <c r="V516" s="11" t="str">
        <f>VLOOKUP(C516,Referencias!$A$2:$B$33,2,1)</f>
        <v>20 - 21</v>
      </c>
      <c r="W516" s="23" t="str">
        <f t="shared" ref="W516:W579" si="191">IF(X516&gt;0,C517-C516,"")</f>
        <v/>
      </c>
      <c r="X516" s="11">
        <f t="shared" si="183"/>
        <v>0</v>
      </c>
      <c r="Y516" s="11">
        <f t="shared" si="178"/>
        <v>0</v>
      </c>
      <c r="Z516" s="24">
        <f t="shared" si="190"/>
        <v>0</v>
      </c>
      <c r="AA516" s="25">
        <f t="shared" si="179"/>
        <v>0</v>
      </c>
      <c r="AB516" s="24">
        <f t="shared" si="184"/>
        <v>0</v>
      </c>
      <c r="AC516" s="24">
        <f t="shared" si="185"/>
        <v>0</v>
      </c>
      <c r="AD516" s="24">
        <f t="shared" si="186"/>
        <v>0</v>
      </c>
      <c r="AE516" s="24">
        <f t="shared" si="187"/>
        <v>0</v>
      </c>
      <c r="AF516" s="119" t="str">
        <f>VLOOKUP(P516*1,Referencias!$G:$H,2,0)</f>
        <v>seg</v>
      </c>
      <c r="BF516"/>
      <c r="BG516"/>
    </row>
    <row r="517" spans="1:59" ht="14.4" x14ac:dyDescent="0.3">
      <c r="A517" s="161"/>
      <c r="B517" s="161"/>
      <c r="C517" s="161"/>
      <c r="D517" s="161"/>
      <c r="E517" s="161"/>
      <c r="F517" s="161"/>
      <c r="G517" s="161"/>
      <c r="H517" s="161"/>
      <c r="I517" s="161"/>
      <c r="N517" s="7" t="str">
        <f t="shared" si="176"/>
        <v>#LISLRCUME </v>
      </c>
      <c r="O517" s="7">
        <f t="shared" si="180"/>
        <v>0</v>
      </c>
      <c r="P517" s="21">
        <f t="shared" si="188"/>
        <v>43248</v>
      </c>
      <c r="Q517" s="22">
        <f>VLOOKUP(R517,Referencias!$D$1:$E$13,2,0)</f>
        <v>5</v>
      </c>
      <c r="R517" s="7" t="str">
        <f t="shared" si="189"/>
        <v>MAI</v>
      </c>
      <c r="S517" s="7">
        <f t="shared" si="181"/>
        <v>0</v>
      </c>
      <c r="T517" s="11">
        <f t="shared" si="177"/>
        <v>28</v>
      </c>
      <c r="U517" s="11">
        <f t="shared" si="182"/>
        <v>0</v>
      </c>
      <c r="V517" s="11" t="e">
        <f>VLOOKUP(C517,Referencias!$A$2:$B$33,2,1)</f>
        <v>#N/A</v>
      </c>
      <c r="W517" s="23" t="str">
        <f t="shared" si="191"/>
        <v/>
      </c>
      <c r="X517" s="11">
        <f t="shared" si="183"/>
        <v>0</v>
      </c>
      <c r="Y517" s="11">
        <f t="shared" si="178"/>
        <v>0</v>
      </c>
      <c r="Z517" s="24">
        <f t="shared" si="190"/>
        <v>0</v>
      </c>
      <c r="AA517" s="25">
        <f t="shared" si="179"/>
        <v>0</v>
      </c>
      <c r="AB517" s="24">
        <f t="shared" si="184"/>
        <v>0</v>
      </c>
      <c r="AC517" s="24">
        <f t="shared" si="185"/>
        <v>0</v>
      </c>
      <c r="AD517" s="24">
        <f t="shared" si="186"/>
        <v>0</v>
      </c>
      <c r="AE517" s="24">
        <f t="shared" si="187"/>
        <v>0</v>
      </c>
      <c r="AF517" s="119" t="str">
        <f>VLOOKUP(P517*1,Referencias!$G:$H,2,0)</f>
        <v>seg</v>
      </c>
      <c r="BF517"/>
      <c r="BG517"/>
    </row>
    <row r="518" spans="1:59" ht="14.4" x14ac:dyDescent="0.3">
      <c r="A518" s="162"/>
      <c r="B518" s="162"/>
      <c r="C518" s="162"/>
      <c r="D518" s="162"/>
      <c r="E518" s="162"/>
      <c r="F518" s="162"/>
      <c r="G518" s="162"/>
      <c r="H518" s="162"/>
      <c r="I518" s="162"/>
      <c r="N518" s="7" t="str">
        <f t="shared" si="176"/>
        <v>#LISLRCUME </v>
      </c>
      <c r="O518" s="7">
        <f t="shared" si="180"/>
        <v>0</v>
      </c>
      <c r="P518" s="21">
        <f t="shared" si="188"/>
        <v>43248</v>
      </c>
      <c r="Q518" s="22">
        <f>VLOOKUP(R518,Referencias!$D$1:$E$13,2,0)</f>
        <v>5</v>
      </c>
      <c r="R518" s="7" t="str">
        <f t="shared" si="189"/>
        <v>MAI</v>
      </c>
      <c r="S518" s="7">
        <f t="shared" si="181"/>
        <v>0</v>
      </c>
      <c r="T518" s="11">
        <f t="shared" si="177"/>
        <v>28</v>
      </c>
      <c r="U518" s="11">
        <f t="shared" si="182"/>
        <v>0</v>
      </c>
      <c r="V518" s="11" t="e">
        <f>VLOOKUP(C518,Referencias!$A$2:$B$33,2,1)</f>
        <v>#N/A</v>
      </c>
      <c r="W518" s="23" t="str">
        <f t="shared" si="191"/>
        <v/>
      </c>
      <c r="X518" s="11">
        <f t="shared" si="183"/>
        <v>0</v>
      </c>
      <c r="Y518" s="11">
        <f t="shared" si="178"/>
        <v>0</v>
      </c>
      <c r="Z518" s="24">
        <f t="shared" si="190"/>
        <v>0</v>
      </c>
      <c r="AA518" s="25">
        <f t="shared" si="179"/>
        <v>0</v>
      </c>
      <c r="AB518" s="24">
        <f t="shared" si="184"/>
        <v>0</v>
      </c>
      <c r="AC518" s="24">
        <f t="shared" si="185"/>
        <v>0</v>
      </c>
      <c r="AD518" s="24">
        <f t="shared" si="186"/>
        <v>0</v>
      </c>
      <c r="AE518" s="24">
        <f t="shared" si="187"/>
        <v>0</v>
      </c>
      <c r="AF518" s="119" t="str">
        <f>VLOOKUP(P518*1,Referencias!$G:$H,2,0)</f>
        <v>seg</v>
      </c>
      <c r="BF518"/>
      <c r="BG518"/>
    </row>
    <row r="519" spans="1:59" ht="14.4" x14ac:dyDescent="0.3">
      <c r="A519" s="163"/>
      <c r="B519" s="164" t="s">
        <v>226</v>
      </c>
      <c r="C519" s="134">
        <v>0.87013888888888891</v>
      </c>
      <c r="D519" s="165">
        <v>2.3199999999999998</v>
      </c>
      <c r="E519" s="165" t="s">
        <v>227</v>
      </c>
      <c r="F519" s="165"/>
      <c r="G519" s="166">
        <v>3.1</v>
      </c>
      <c r="H519" s="167">
        <v>19.29</v>
      </c>
      <c r="I519" s="165"/>
      <c r="N519" s="7" t="str">
        <f t="shared" si="176"/>
        <v>#LIV3WP5TL </v>
      </c>
      <c r="O519" s="7" t="str">
        <f t="shared" si="180"/>
        <v>#LIV3WP5TL </v>
      </c>
      <c r="P519" s="21">
        <f t="shared" si="188"/>
        <v>43248</v>
      </c>
      <c r="Q519" s="22">
        <f>VLOOKUP(R519,Referencias!$D$1:$E$13,2,0)</f>
        <v>5</v>
      </c>
      <c r="R519" s="7" t="str">
        <f t="shared" si="189"/>
        <v>MAI</v>
      </c>
      <c r="S519" s="7">
        <f t="shared" si="181"/>
        <v>0</v>
      </c>
      <c r="T519" s="11">
        <f t="shared" si="177"/>
        <v>28</v>
      </c>
      <c r="U519" s="11">
        <f t="shared" si="182"/>
        <v>0</v>
      </c>
      <c r="V519" s="11" t="str">
        <f>VLOOKUP(C519,Referencias!$A$2:$B$33,2,1)</f>
        <v>20 - 21</v>
      </c>
      <c r="W519" s="23">
        <f t="shared" si="191"/>
        <v>2.6388888888888795E-2</v>
      </c>
      <c r="X519" s="11">
        <f t="shared" si="183"/>
        <v>2.3199999999999998</v>
      </c>
      <c r="Y519" s="11">
        <f t="shared" si="178"/>
        <v>4.0969652597283739</v>
      </c>
      <c r="Z519" s="24">
        <f t="shared" si="190"/>
        <v>3.1</v>
      </c>
      <c r="AA519" s="25">
        <f t="shared" si="179"/>
        <v>4.8947368421052806</v>
      </c>
      <c r="AB519" s="24">
        <f t="shared" si="184"/>
        <v>1</v>
      </c>
      <c r="AC519" s="24">
        <f t="shared" si="185"/>
        <v>2.0309594728280862</v>
      </c>
      <c r="AD519" s="24">
        <f t="shared" si="186"/>
        <v>2.4606611014726214</v>
      </c>
      <c r="AE519" s="24">
        <f t="shared" si="187"/>
        <v>2.9174922428518006</v>
      </c>
      <c r="AF519" s="119" t="str">
        <f>VLOOKUP(P519*1,Referencias!$G:$H,2,0)</f>
        <v>seg</v>
      </c>
      <c r="BF519"/>
      <c r="BG519"/>
    </row>
    <row r="520" spans="1:59" ht="14.4" x14ac:dyDescent="0.3">
      <c r="A520" s="163"/>
      <c r="B520" s="164"/>
      <c r="C520" s="134">
        <v>0.8965277777777777</v>
      </c>
      <c r="D520" s="165"/>
      <c r="E520" s="165"/>
      <c r="F520" s="165"/>
      <c r="G520" s="166"/>
      <c r="H520" s="167"/>
      <c r="I520" s="165"/>
      <c r="N520" s="7" t="str">
        <f t="shared" si="176"/>
        <v>#LIV3WP5TL </v>
      </c>
      <c r="O520" s="7">
        <f t="shared" si="180"/>
        <v>0</v>
      </c>
      <c r="P520" s="21">
        <f t="shared" si="188"/>
        <v>43248</v>
      </c>
      <c r="Q520" s="22">
        <f>VLOOKUP(R520,Referencias!$D$1:$E$13,2,0)</f>
        <v>5</v>
      </c>
      <c r="R520" s="7" t="str">
        <f t="shared" si="189"/>
        <v>MAI</v>
      </c>
      <c r="S520" s="7">
        <f t="shared" si="181"/>
        <v>0</v>
      </c>
      <c r="T520" s="11">
        <f t="shared" si="177"/>
        <v>28</v>
      </c>
      <c r="U520" s="11">
        <f t="shared" si="182"/>
        <v>0</v>
      </c>
      <c r="V520" s="11" t="str">
        <f>VLOOKUP(C520,Referencias!$A$2:$B$33,2,1)</f>
        <v>21 - 22</v>
      </c>
      <c r="W520" s="23" t="str">
        <f t="shared" si="191"/>
        <v/>
      </c>
      <c r="X520" s="11">
        <f t="shared" si="183"/>
        <v>0</v>
      </c>
      <c r="Y520" s="11">
        <f t="shared" si="178"/>
        <v>0</v>
      </c>
      <c r="Z520" s="24">
        <f t="shared" si="190"/>
        <v>0</v>
      </c>
      <c r="AA520" s="25">
        <f t="shared" si="179"/>
        <v>0</v>
      </c>
      <c r="AB520" s="24">
        <f t="shared" si="184"/>
        <v>0</v>
      </c>
      <c r="AC520" s="24">
        <f t="shared" si="185"/>
        <v>0</v>
      </c>
      <c r="AD520" s="24">
        <f t="shared" si="186"/>
        <v>0</v>
      </c>
      <c r="AE520" s="24">
        <f t="shared" si="187"/>
        <v>0</v>
      </c>
      <c r="AF520" s="119" t="str">
        <f>VLOOKUP(P520*1,Referencias!$G:$H,2,0)</f>
        <v>seg</v>
      </c>
      <c r="BF520"/>
      <c r="BG520"/>
    </row>
    <row r="521" spans="1:59" ht="14.4" x14ac:dyDescent="0.3">
      <c r="A521" s="161"/>
      <c r="B521" s="161"/>
      <c r="C521" s="161"/>
      <c r="D521" s="161"/>
      <c r="E521" s="161"/>
      <c r="F521" s="161"/>
      <c r="G521" s="161"/>
      <c r="H521" s="161"/>
      <c r="I521" s="161"/>
      <c r="N521" s="7" t="str">
        <f t="shared" si="176"/>
        <v>#LIV3WP5TL </v>
      </c>
      <c r="O521" s="7">
        <f t="shared" si="180"/>
        <v>0</v>
      </c>
      <c r="P521" s="21">
        <f t="shared" si="188"/>
        <v>43248</v>
      </c>
      <c r="Q521" s="22">
        <f>VLOOKUP(R521,Referencias!$D$1:$E$13,2,0)</f>
        <v>5</v>
      </c>
      <c r="R521" s="7" t="str">
        <f t="shared" si="189"/>
        <v>MAI</v>
      </c>
      <c r="S521" s="7">
        <f t="shared" si="181"/>
        <v>0</v>
      </c>
      <c r="T521" s="11">
        <f t="shared" si="177"/>
        <v>28</v>
      </c>
      <c r="U521" s="11">
        <f t="shared" si="182"/>
        <v>0</v>
      </c>
      <c r="V521" s="11" t="e">
        <f>VLOOKUP(C521,Referencias!$A$2:$B$33,2,1)</f>
        <v>#N/A</v>
      </c>
      <c r="W521" s="23" t="str">
        <f t="shared" si="191"/>
        <v/>
      </c>
      <c r="X521" s="11">
        <f t="shared" si="183"/>
        <v>0</v>
      </c>
      <c r="Y521" s="11">
        <f t="shared" si="178"/>
        <v>0</v>
      </c>
      <c r="Z521" s="24">
        <f t="shared" si="190"/>
        <v>0</v>
      </c>
      <c r="AA521" s="25">
        <f t="shared" si="179"/>
        <v>0</v>
      </c>
      <c r="AB521" s="24">
        <f t="shared" si="184"/>
        <v>0</v>
      </c>
      <c r="AC521" s="24">
        <f t="shared" si="185"/>
        <v>0</v>
      </c>
      <c r="AD521" s="24">
        <f t="shared" si="186"/>
        <v>0</v>
      </c>
      <c r="AE521" s="24">
        <f t="shared" si="187"/>
        <v>0</v>
      </c>
      <c r="AF521" s="119" t="str">
        <f>VLOOKUP(P521*1,Referencias!$G:$H,2,0)</f>
        <v>seg</v>
      </c>
      <c r="BF521"/>
      <c r="BG521"/>
    </row>
    <row r="522" spans="1:59" ht="14.4" x14ac:dyDescent="0.3">
      <c r="A522" s="162"/>
      <c r="B522" s="162"/>
      <c r="C522" s="162"/>
      <c r="D522" s="162"/>
      <c r="E522" s="162"/>
      <c r="F522" s="162"/>
      <c r="G522" s="162"/>
      <c r="H522" s="162"/>
      <c r="I522" s="162"/>
      <c r="N522" s="7" t="str">
        <f t="shared" si="176"/>
        <v>#LIV3WP5TL </v>
      </c>
      <c r="O522" s="7">
        <f t="shared" si="180"/>
        <v>0</v>
      </c>
      <c r="P522" s="21">
        <f t="shared" si="188"/>
        <v>43248</v>
      </c>
      <c r="Q522" s="22">
        <f>VLOOKUP(R522,Referencias!$D$1:$E$13,2,0)</f>
        <v>5</v>
      </c>
      <c r="R522" s="7" t="str">
        <f t="shared" si="189"/>
        <v>MAI</v>
      </c>
      <c r="S522" s="7">
        <f t="shared" si="181"/>
        <v>0</v>
      </c>
      <c r="T522" s="11">
        <f t="shared" si="177"/>
        <v>28</v>
      </c>
      <c r="U522" s="11">
        <f t="shared" si="182"/>
        <v>0</v>
      </c>
      <c r="V522" s="11" t="e">
        <f>VLOOKUP(C522,Referencias!$A$2:$B$33,2,1)</f>
        <v>#N/A</v>
      </c>
      <c r="W522" s="23" t="str">
        <f t="shared" si="191"/>
        <v/>
      </c>
      <c r="X522" s="11">
        <f t="shared" si="183"/>
        <v>0</v>
      </c>
      <c r="Y522" s="11">
        <f t="shared" si="178"/>
        <v>0</v>
      </c>
      <c r="Z522" s="24">
        <f t="shared" si="190"/>
        <v>0</v>
      </c>
      <c r="AA522" s="25">
        <f t="shared" si="179"/>
        <v>0</v>
      </c>
      <c r="AB522" s="24">
        <f t="shared" si="184"/>
        <v>0</v>
      </c>
      <c r="AC522" s="24">
        <f t="shared" si="185"/>
        <v>0</v>
      </c>
      <c r="AD522" s="24">
        <f t="shared" si="186"/>
        <v>0</v>
      </c>
      <c r="AE522" s="24">
        <f t="shared" si="187"/>
        <v>0</v>
      </c>
      <c r="AF522" s="119" t="str">
        <f>VLOOKUP(P522*1,Referencias!$G:$H,2,0)</f>
        <v>seg</v>
      </c>
      <c r="BF522"/>
      <c r="BG522"/>
    </row>
    <row r="523" spans="1:59" ht="14.4" x14ac:dyDescent="0.3">
      <c r="A523" s="163"/>
      <c r="B523" s="164" t="s">
        <v>228</v>
      </c>
      <c r="C523" s="134">
        <v>0.8979166666666667</v>
      </c>
      <c r="D523" s="165">
        <v>4.05</v>
      </c>
      <c r="E523" s="165" t="s">
        <v>17</v>
      </c>
      <c r="F523" s="165"/>
      <c r="G523" s="166">
        <v>2.91</v>
      </c>
      <c r="H523" s="167">
        <v>22.2</v>
      </c>
      <c r="I523" s="165"/>
      <c r="N523" s="7" t="str">
        <f t="shared" si="176"/>
        <v>#LIDNZ19JN </v>
      </c>
      <c r="O523" s="7" t="str">
        <f t="shared" si="180"/>
        <v>#LIDNZ19JN </v>
      </c>
      <c r="P523" s="21">
        <f t="shared" si="188"/>
        <v>43248</v>
      </c>
      <c r="Q523" s="22">
        <f>VLOOKUP(R523,Referencias!$D$1:$E$13,2,0)</f>
        <v>5</v>
      </c>
      <c r="R523" s="7" t="str">
        <f t="shared" si="189"/>
        <v>MAI</v>
      </c>
      <c r="S523" s="7">
        <f t="shared" si="181"/>
        <v>0</v>
      </c>
      <c r="T523" s="11">
        <f t="shared" si="177"/>
        <v>28</v>
      </c>
      <c r="U523" s="11">
        <f t="shared" si="182"/>
        <v>0</v>
      </c>
      <c r="V523" s="11" t="str">
        <f>VLOOKUP(C523,Referencias!$A$2:$B$33,2,1)</f>
        <v>21 - 22</v>
      </c>
      <c r="W523" s="23">
        <f t="shared" si="191"/>
        <v>1.8749999999999933E-2</v>
      </c>
      <c r="X523" s="11">
        <f t="shared" si="183"/>
        <v>4.05</v>
      </c>
      <c r="Y523" s="11">
        <f t="shared" si="178"/>
        <v>7.1520298715085833</v>
      </c>
      <c r="Z523" s="24">
        <f t="shared" si="190"/>
        <v>2.91</v>
      </c>
      <c r="AA523" s="25">
        <f t="shared" si="179"/>
        <v>6.4666666666666899</v>
      </c>
      <c r="AB523" s="24">
        <f t="shared" si="184"/>
        <v>1</v>
      </c>
      <c r="AC523" s="24">
        <f t="shared" si="185"/>
        <v>1.9064813115902357</v>
      </c>
      <c r="AD523" s="24">
        <f t="shared" si="186"/>
        <v>2.3098463888017187</v>
      </c>
      <c r="AE523" s="24">
        <f t="shared" si="187"/>
        <v>2.7386782021608838</v>
      </c>
      <c r="AF523" s="119" t="str">
        <f>VLOOKUP(P523*1,Referencias!$G:$H,2,0)</f>
        <v>seg</v>
      </c>
      <c r="BF523"/>
      <c r="BG523"/>
    </row>
    <row r="524" spans="1:59" ht="14.4" x14ac:dyDescent="0.3">
      <c r="A524" s="163"/>
      <c r="B524" s="164"/>
      <c r="C524" s="134">
        <v>0.91666666666666663</v>
      </c>
      <c r="D524" s="165"/>
      <c r="E524" s="165"/>
      <c r="F524" s="165"/>
      <c r="G524" s="166"/>
      <c r="H524" s="167"/>
      <c r="I524" s="165"/>
      <c r="N524" s="7" t="str">
        <f t="shared" si="176"/>
        <v>#LIDNZ19JN </v>
      </c>
      <c r="O524" s="7">
        <f t="shared" si="180"/>
        <v>0</v>
      </c>
      <c r="P524" s="21">
        <f t="shared" si="188"/>
        <v>43248</v>
      </c>
      <c r="Q524" s="22">
        <f>VLOOKUP(R524,Referencias!$D$1:$E$13,2,0)</f>
        <v>5</v>
      </c>
      <c r="R524" s="7" t="str">
        <f t="shared" si="189"/>
        <v>MAI</v>
      </c>
      <c r="S524" s="7">
        <f t="shared" si="181"/>
        <v>0</v>
      </c>
      <c r="T524" s="11">
        <f t="shared" si="177"/>
        <v>28</v>
      </c>
      <c r="U524" s="11">
        <f t="shared" si="182"/>
        <v>0</v>
      </c>
      <c r="V524" s="11" t="str">
        <f>VLOOKUP(C524,Referencias!$A$2:$B$33,2,1)</f>
        <v>21 - 22</v>
      </c>
      <c r="W524" s="23" t="str">
        <f t="shared" si="191"/>
        <v/>
      </c>
      <c r="X524" s="11">
        <f t="shared" si="183"/>
        <v>0</v>
      </c>
      <c r="Y524" s="11">
        <f t="shared" si="178"/>
        <v>0</v>
      </c>
      <c r="Z524" s="24">
        <f t="shared" si="190"/>
        <v>0</v>
      </c>
      <c r="AA524" s="25">
        <f t="shared" si="179"/>
        <v>0</v>
      </c>
      <c r="AB524" s="24">
        <f t="shared" si="184"/>
        <v>0</v>
      </c>
      <c r="AC524" s="24">
        <f t="shared" si="185"/>
        <v>0</v>
      </c>
      <c r="AD524" s="24">
        <f t="shared" si="186"/>
        <v>0</v>
      </c>
      <c r="AE524" s="24">
        <f t="shared" si="187"/>
        <v>0</v>
      </c>
      <c r="AF524" s="119" t="str">
        <f>VLOOKUP(P524*1,Referencias!$G:$H,2,0)</f>
        <v>seg</v>
      </c>
      <c r="BF524"/>
      <c r="BG524"/>
    </row>
    <row r="525" spans="1:59" ht="14.4" x14ac:dyDescent="0.3">
      <c r="A525" s="161"/>
      <c r="B525" s="161"/>
      <c r="C525" s="161"/>
      <c r="D525" s="161"/>
      <c r="E525" s="161"/>
      <c r="F525" s="161"/>
      <c r="G525" s="161"/>
      <c r="H525" s="161"/>
      <c r="I525" s="161"/>
      <c r="N525" s="7" t="str">
        <f t="shared" si="176"/>
        <v>#LIDNZ19JN </v>
      </c>
      <c r="O525" s="7">
        <f t="shared" si="180"/>
        <v>0</v>
      </c>
      <c r="P525" s="21">
        <f t="shared" si="188"/>
        <v>43248</v>
      </c>
      <c r="Q525" s="22">
        <f>VLOOKUP(R525,Referencias!$D$1:$E$13,2,0)</f>
        <v>5</v>
      </c>
      <c r="R525" s="7" t="str">
        <f t="shared" si="189"/>
        <v>MAI</v>
      </c>
      <c r="S525" s="7">
        <f t="shared" si="181"/>
        <v>0</v>
      </c>
      <c r="T525" s="11">
        <f t="shared" si="177"/>
        <v>28</v>
      </c>
      <c r="U525" s="11">
        <f t="shared" si="182"/>
        <v>0</v>
      </c>
      <c r="V525" s="11" t="e">
        <f>VLOOKUP(C525,Referencias!$A$2:$B$33,2,1)</f>
        <v>#N/A</v>
      </c>
      <c r="W525" s="23" t="str">
        <f t="shared" si="191"/>
        <v/>
      </c>
      <c r="X525" s="11">
        <f t="shared" si="183"/>
        <v>0</v>
      </c>
      <c r="Y525" s="11">
        <f t="shared" si="178"/>
        <v>0</v>
      </c>
      <c r="Z525" s="24">
        <f t="shared" si="190"/>
        <v>0</v>
      </c>
      <c r="AA525" s="25">
        <f t="shared" si="179"/>
        <v>0</v>
      </c>
      <c r="AB525" s="24">
        <f t="shared" si="184"/>
        <v>0</v>
      </c>
      <c r="AC525" s="24">
        <f t="shared" si="185"/>
        <v>0</v>
      </c>
      <c r="AD525" s="24">
        <f t="shared" si="186"/>
        <v>0</v>
      </c>
      <c r="AE525" s="24">
        <f t="shared" si="187"/>
        <v>0</v>
      </c>
      <c r="AF525" s="119" t="str">
        <f>VLOOKUP(P525*1,Referencias!$G:$H,2,0)</f>
        <v>seg</v>
      </c>
      <c r="BF525"/>
      <c r="BG525"/>
    </row>
    <row r="526" spans="1:59" ht="14.4" x14ac:dyDescent="0.3">
      <c r="A526" s="162"/>
      <c r="B526" s="162"/>
      <c r="C526" s="162"/>
      <c r="D526" s="162"/>
      <c r="E526" s="162"/>
      <c r="F526" s="162"/>
      <c r="G526" s="162"/>
      <c r="H526" s="162"/>
      <c r="I526" s="162"/>
      <c r="N526" s="7" t="str">
        <f t="shared" si="176"/>
        <v>#LIDNZ19JN </v>
      </c>
      <c r="O526" s="7">
        <f t="shared" si="180"/>
        <v>0</v>
      </c>
      <c r="P526" s="21">
        <f t="shared" si="188"/>
        <v>43248</v>
      </c>
      <c r="Q526" s="22">
        <f>VLOOKUP(R526,Referencias!$D$1:$E$13,2,0)</f>
        <v>5</v>
      </c>
      <c r="R526" s="7" t="str">
        <f t="shared" si="189"/>
        <v>MAI</v>
      </c>
      <c r="S526" s="7">
        <f t="shared" si="181"/>
        <v>0</v>
      </c>
      <c r="T526" s="11">
        <f t="shared" si="177"/>
        <v>28</v>
      </c>
      <c r="U526" s="11">
        <f t="shared" si="182"/>
        <v>0</v>
      </c>
      <c r="V526" s="11" t="e">
        <f>VLOOKUP(C526,Referencias!$A$2:$B$33,2,1)</f>
        <v>#N/A</v>
      </c>
      <c r="W526" s="23" t="str">
        <f t="shared" si="191"/>
        <v/>
      </c>
      <c r="X526" s="11">
        <f t="shared" si="183"/>
        <v>0</v>
      </c>
      <c r="Y526" s="11">
        <f t="shared" si="178"/>
        <v>0</v>
      </c>
      <c r="Z526" s="24">
        <f t="shared" si="190"/>
        <v>0</v>
      </c>
      <c r="AA526" s="25">
        <f t="shared" si="179"/>
        <v>0</v>
      </c>
      <c r="AB526" s="24">
        <f t="shared" si="184"/>
        <v>0</v>
      </c>
      <c r="AC526" s="24">
        <f t="shared" si="185"/>
        <v>0</v>
      </c>
      <c r="AD526" s="24">
        <f t="shared" si="186"/>
        <v>0</v>
      </c>
      <c r="AE526" s="24">
        <f t="shared" si="187"/>
        <v>0</v>
      </c>
      <c r="AF526" s="119" t="str">
        <f>VLOOKUP(P526*1,Referencias!$G:$H,2,0)</f>
        <v>seg</v>
      </c>
      <c r="BF526"/>
      <c r="BG526"/>
    </row>
    <row r="527" spans="1:59" ht="14.4" x14ac:dyDescent="0.3">
      <c r="A527" s="163"/>
      <c r="B527" s="164" t="s">
        <v>229</v>
      </c>
      <c r="C527" s="134">
        <v>0.91805555555555562</v>
      </c>
      <c r="D527" s="165">
        <v>14.53</v>
      </c>
      <c r="E527" s="165" t="s">
        <v>230</v>
      </c>
      <c r="F527" s="165"/>
      <c r="G527" s="166">
        <v>7.3</v>
      </c>
      <c r="H527" s="167">
        <v>29.5</v>
      </c>
      <c r="I527" s="165"/>
      <c r="N527" s="7" t="str">
        <f t="shared" si="176"/>
        <v>#LICWH2RHW </v>
      </c>
      <c r="O527" s="7" t="str">
        <f t="shared" si="180"/>
        <v>#LICWH2RHW </v>
      </c>
      <c r="P527" s="21">
        <f t="shared" si="188"/>
        <v>43248</v>
      </c>
      <c r="Q527" s="22">
        <f>VLOOKUP(R527,Referencias!$D$1:$E$13,2,0)</f>
        <v>5</v>
      </c>
      <c r="R527" s="7" t="str">
        <f t="shared" si="189"/>
        <v>MAI</v>
      </c>
      <c r="S527" s="7">
        <f t="shared" si="181"/>
        <v>0</v>
      </c>
      <c r="T527" s="11">
        <f t="shared" si="177"/>
        <v>28</v>
      </c>
      <c r="U527" s="11">
        <f t="shared" si="182"/>
        <v>0</v>
      </c>
      <c r="V527" s="11" t="str">
        <f>VLOOKUP(C527,Referencias!$A$2:$B$33,2,1)</f>
        <v>22 - 23</v>
      </c>
      <c r="W527" s="23">
        <f t="shared" si="191"/>
        <v>2.9861111111111005E-2</v>
      </c>
      <c r="X527" s="11">
        <f t="shared" si="183"/>
        <v>14.53</v>
      </c>
      <c r="Y527" s="11">
        <f t="shared" si="178"/>
        <v>25.659010872350549</v>
      </c>
      <c r="Z527" s="24">
        <f t="shared" si="190"/>
        <v>7.3</v>
      </c>
      <c r="AA527" s="25">
        <f t="shared" si="179"/>
        <v>10.186046511627943</v>
      </c>
      <c r="AB527" s="24">
        <f t="shared" si="184"/>
        <v>1</v>
      </c>
      <c r="AC527" s="24">
        <f t="shared" si="185"/>
        <v>4.782581984401622</v>
      </c>
      <c r="AD527" s="24">
        <f t="shared" si="186"/>
        <v>5.7944600131452049</v>
      </c>
      <c r="AE527" s="24">
        <f t="shared" si="187"/>
        <v>6.8702236686510139</v>
      </c>
      <c r="AF527" s="119" t="str">
        <f>VLOOKUP(P527*1,Referencias!$G:$H,2,0)</f>
        <v>seg</v>
      </c>
      <c r="BF527"/>
      <c r="BG527"/>
    </row>
    <row r="528" spans="1:59" ht="14.4" x14ac:dyDescent="0.3">
      <c r="A528" s="163"/>
      <c r="B528" s="164"/>
      <c r="C528" s="134">
        <v>0.94791666666666663</v>
      </c>
      <c r="D528" s="165"/>
      <c r="E528" s="165"/>
      <c r="F528" s="165"/>
      <c r="G528" s="166"/>
      <c r="H528" s="167"/>
      <c r="I528" s="165"/>
      <c r="N528" s="7" t="str">
        <f t="shared" si="176"/>
        <v>#LICWH2RHW </v>
      </c>
      <c r="O528" s="7">
        <f t="shared" si="180"/>
        <v>0</v>
      </c>
      <c r="P528" s="21">
        <f t="shared" si="188"/>
        <v>43248</v>
      </c>
      <c r="Q528" s="22">
        <f>VLOOKUP(R528,Referencias!$D$1:$E$13,2,0)</f>
        <v>5</v>
      </c>
      <c r="R528" s="7" t="str">
        <f t="shared" si="189"/>
        <v>MAI</v>
      </c>
      <c r="S528" s="7">
        <f t="shared" si="181"/>
        <v>0</v>
      </c>
      <c r="T528" s="11">
        <f t="shared" si="177"/>
        <v>28</v>
      </c>
      <c r="U528" s="11">
        <f t="shared" si="182"/>
        <v>0</v>
      </c>
      <c r="V528" s="11" t="str">
        <f>VLOOKUP(C528,Referencias!$A$2:$B$33,2,1)</f>
        <v>22 - 23</v>
      </c>
      <c r="W528" s="23" t="str">
        <f t="shared" si="191"/>
        <v/>
      </c>
      <c r="X528" s="11">
        <f t="shared" si="183"/>
        <v>0</v>
      </c>
      <c r="Y528" s="11">
        <f t="shared" si="178"/>
        <v>0</v>
      </c>
      <c r="Z528" s="24">
        <f t="shared" si="190"/>
        <v>0</v>
      </c>
      <c r="AA528" s="25">
        <f t="shared" si="179"/>
        <v>0</v>
      </c>
      <c r="AB528" s="24">
        <f t="shared" si="184"/>
        <v>0</v>
      </c>
      <c r="AC528" s="24">
        <f t="shared" si="185"/>
        <v>0</v>
      </c>
      <c r="AD528" s="24">
        <f t="shared" si="186"/>
        <v>0</v>
      </c>
      <c r="AE528" s="24">
        <f t="shared" si="187"/>
        <v>0</v>
      </c>
      <c r="AF528" s="119" t="str">
        <f>VLOOKUP(P528*1,Referencias!$G:$H,2,0)</f>
        <v>seg</v>
      </c>
      <c r="BF528"/>
      <c r="BG528"/>
    </row>
    <row r="529" spans="1:59" ht="15" thickBot="1" x14ac:dyDescent="0.35">
      <c r="A529" s="172"/>
      <c r="B529" s="172"/>
      <c r="C529" s="172"/>
      <c r="D529" s="172"/>
      <c r="E529" s="172"/>
      <c r="F529" s="172"/>
      <c r="G529" s="172"/>
      <c r="H529" s="172"/>
      <c r="I529" s="172"/>
      <c r="N529" s="7" t="str">
        <f t="shared" ref="N529:N592" si="192">IF(O529&lt;&gt;0,O529,N528)</f>
        <v>#LICWH2RHW </v>
      </c>
      <c r="O529" s="7">
        <f t="shared" si="180"/>
        <v>0</v>
      </c>
      <c r="P529" s="21">
        <f t="shared" si="188"/>
        <v>43248</v>
      </c>
      <c r="Q529" s="22">
        <f>VLOOKUP(R529,Referencias!$D$1:$E$13,2,0)</f>
        <v>5</v>
      </c>
      <c r="R529" s="7" t="str">
        <f t="shared" ref="R529:R592" si="193">IF(S529="ganhos garantidos",R528,IF(S529&lt;&gt;0,S529,R528))</f>
        <v>MAI</v>
      </c>
      <c r="S529" s="7">
        <f t="shared" si="181"/>
        <v>0</v>
      </c>
      <c r="T529" s="11">
        <f t="shared" ref="T529:T592" si="194">IF(U529&lt;&gt;0,U529,T528)</f>
        <v>28</v>
      </c>
      <c r="U529" s="11">
        <f t="shared" si="182"/>
        <v>0</v>
      </c>
      <c r="V529" s="11" t="e">
        <f>VLOOKUP(C529,Referencias!$A$2:$B$33,2,1)</f>
        <v>#N/A</v>
      </c>
      <c r="W529" s="23" t="str">
        <f t="shared" si="191"/>
        <v/>
      </c>
      <c r="X529" s="11">
        <f t="shared" si="183"/>
        <v>0</v>
      </c>
      <c r="Y529" s="11">
        <f t="shared" ref="Y529:Y592" si="195">X529*$AK$2</f>
        <v>0</v>
      </c>
      <c r="Z529" s="24">
        <f t="shared" si="190"/>
        <v>0</v>
      </c>
      <c r="AA529" s="25">
        <f t="shared" ref="AA529:AA592" si="196">IFERROR(Z529/(86400*(W529)/360/10),0)</f>
        <v>0</v>
      </c>
      <c r="AB529" s="24">
        <f t="shared" si="184"/>
        <v>0</v>
      </c>
      <c r="AC529" s="24">
        <f t="shared" si="185"/>
        <v>0</v>
      </c>
      <c r="AD529" s="24">
        <f t="shared" si="186"/>
        <v>0</v>
      </c>
      <c r="AE529" s="24">
        <f t="shared" si="187"/>
        <v>0</v>
      </c>
      <c r="AF529" s="119" t="str">
        <f>VLOOKUP(P529*1,Referencias!$G:$H,2,0)</f>
        <v>seg</v>
      </c>
      <c r="BF529"/>
      <c r="BG529"/>
    </row>
    <row r="530" spans="1:59" ht="14.4" x14ac:dyDescent="0.3">
      <c r="A530" s="147">
        <v>29</v>
      </c>
      <c r="B530" s="168" t="s">
        <v>399</v>
      </c>
      <c r="C530" s="134">
        <v>0.5131944444444444</v>
      </c>
      <c r="D530" s="169">
        <v>2.57</v>
      </c>
      <c r="E530" s="169" t="s">
        <v>53</v>
      </c>
      <c r="F530" s="169"/>
      <c r="G530" s="170">
        <v>2.4</v>
      </c>
      <c r="H530" s="171">
        <v>31.9</v>
      </c>
      <c r="I530" s="169"/>
      <c r="N530" s="7" t="str">
        <f t="shared" si="192"/>
        <v>#LI1LFUAUJ </v>
      </c>
      <c r="O530" s="7" t="str">
        <f t="shared" si="180"/>
        <v>#LI1LFUAUJ </v>
      </c>
      <c r="P530" s="21">
        <f t="shared" si="188"/>
        <v>43249</v>
      </c>
      <c r="Q530" s="22">
        <f>VLOOKUP(R530,Referencias!$D$1:$E$13,2,0)</f>
        <v>5</v>
      </c>
      <c r="R530" s="7" t="str">
        <f t="shared" si="193"/>
        <v>MAI</v>
      </c>
      <c r="S530" s="7" t="str">
        <f t="shared" si="181"/>
        <v>MAI</v>
      </c>
      <c r="T530" s="11">
        <f t="shared" si="194"/>
        <v>29</v>
      </c>
      <c r="U530" s="11">
        <f t="shared" si="182"/>
        <v>29</v>
      </c>
      <c r="V530" s="11" t="str">
        <f>VLOOKUP(C530,Referencias!$A$2:$B$33,2,1)</f>
        <v>12 - 13</v>
      </c>
      <c r="W530" s="23">
        <f t="shared" si="191"/>
        <v>2.1527777777777812E-2</v>
      </c>
      <c r="X530" s="11">
        <f t="shared" si="183"/>
        <v>2.57</v>
      </c>
      <c r="Y530" s="11">
        <f t="shared" si="195"/>
        <v>4.5384485851301379</v>
      </c>
      <c r="Z530" s="24">
        <f t="shared" si="190"/>
        <v>2.4</v>
      </c>
      <c r="AA530" s="25">
        <f t="shared" si="196"/>
        <v>4.645161290322573</v>
      </c>
      <c r="AB530" s="24">
        <f t="shared" si="184"/>
        <v>1</v>
      </c>
      <c r="AC530" s="24">
        <f t="shared" si="185"/>
        <v>1.5723557208991634</v>
      </c>
      <c r="AD530" s="24">
        <f t="shared" si="186"/>
        <v>1.9050279495271907</v>
      </c>
      <c r="AE530" s="24">
        <f t="shared" si="187"/>
        <v>2.2587036718852649</v>
      </c>
      <c r="AF530" s="119" t="str">
        <f>VLOOKUP(P530*1,Referencias!$G:$H,2,0)</f>
        <v>ter</v>
      </c>
      <c r="BF530"/>
      <c r="BG530"/>
    </row>
    <row r="531" spans="1:59" ht="14.4" x14ac:dyDescent="0.3">
      <c r="A531" s="147" t="s">
        <v>19</v>
      </c>
      <c r="B531" s="164"/>
      <c r="C531" s="134">
        <v>0.53472222222222221</v>
      </c>
      <c r="D531" s="165"/>
      <c r="E531" s="165"/>
      <c r="F531" s="165"/>
      <c r="G531" s="166"/>
      <c r="H531" s="167"/>
      <c r="I531" s="165"/>
      <c r="N531" s="7" t="str">
        <f t="shared" si="192"/>
        <v>#LI1LFUAUJ </v>
      </c>
      <c r="O531" s="7">
        <f t="shared" si="180"/>
        <v>0</v>
      </c>
      <c r="P531" s="21">
        <f t="shared" si="188"/>
        <v>43249</v>
      </c>
      <c r="Q531" s="22">
        <f>VLOOKUP(R531,Referencias!$D$1:$E$13,2,0)</f>
        <v>5</v>
      </c>
      <c r="R531" s="7" t="str">
        <f t="shared" si="193"/>
        <v>MAI</v>
      </c>
      <c r="S531" s="7">
        <f t="shared" si="181"/>
        <v>0</v>
      </c>
      <c r="T531" s="11">
        <f t="shared" si="194"/>
        <v>29</v>
      </c>
      <c r="U531" s="11">
        <f t="shared" si="182"/>
        <v>0</v>
      </c>
      <c r="V531" s="11" t="str">
        <f>VLOOKUP(C531,Referencias!$A$2:$B$33,2,1)</f>
        <v>12 - 13</v>
      </c>
      <c r="W531" s="23" t="str">
        <f t="shared" si="191"/>
        <v/>
      </c>
      <c r="X531" s="11">
        <f t="shared" si="183"/>
        <v>0</v>
      </c>
      <c r="Y531" s="11">
        <f t="shared" si="195"/>
        <v>0</v>
      </c>
      <c r="Z531" s="24">
        <f t="shared" si="190"/>
        <v>0</v>
      </c>
      <c r="AA531" s="25">
        <f t="shared" si="196"/>
        <v>0</v>
      </c>
      <c r="AB531" s="24">
        <f t="shared" si="184"/>
        <v>0</v>
      </c>
      <c r="AC531" s="24">
        <f t="shared" si="185"/>
        <v>0</v>
      </c>
      <c r="AD531" s="24">
        <f t="shared" si="186"/>
        <v>0</v>
      </c>
      <c r="AE531" s="24">
        <f t="shared" si="187"/>
        <v>0</v>
      </c>
      <c r="AF531" s="119" t="str">
        <f>VLOOKUP(P531*1,Referencias!$G:$H,2,0)</f>
        <v>ter</v>
      </c>
      <c r="BF531"/>
      <c r="BG531"/>
    </row>
    <row r="532" spans="1:59" ht="14.4" x14ac:dyDescent="0.3">
      <c r="A532" s="161"/>
      <c r="B532" s="161"/>
      <c r="C532" s="161"/>
      <c r="D532" s="161"/>
      <c r="E532" s="161"/>
      <c r="F532" s="161"/>
      <c r="G532" s="161"/>
      <c r="H532" s="161"/>
      <c r="I532" s="161"/>
      <c r="N532" s="7" t="str">
        <f t="shared" si="192"/>
        <v>#LI1LFUAUJ </v>
      </c>
      <c r="O532" s="7">
        <f t="shared" si="180"/>
        <v>0</v>
      </c>
      <c r="P532" s="21">
        <f t="shared" si="188"/>
        <v>43249</v>
      </c>
      <c r="Q532" s="22">
        <f>VLOOKUP(R532,Referencias!$D$1:$E$13,2,0)</f>
        <v>5</v>
      </c>
      <c r="R532" s="7" t="str">
        <f t="shared" si="193"/>
        <v>MAI</v>
      </c>
      <c r="S532" s="7">
        <f t="shared" si="181"/>
        <v>0</v>
      </c>
      <c r="T532" s="11">
        <f t="shared" si="194"/>
        <v>29</v>
      </c>
      <c r="U532" s="11">
        <f t="shared" si="182"/>
        <v>0</v>
      </c>
      <c r="V532" s="11" t="e">
        <f>VLOOKUP(C532,Referencias!$A$2:$B$33,2,1)</f>
        <v>#N/A</v>
      </c>
      <c r="W532" s="23" t="str">
        <f t="shared" si="191"/>
        <v/>
      </c>
      <c r="X532" s="11">
        <f t="shared" si="183"/>
        <v>0</v>
      </c>
      <c r="Y532" s="11">
        <f t="shared" si="195"/>
        <v>0</v>
      </c>
      <c r="Z532" s="24">
        <f t="shared" si="190"/>
        <v>0</v>
      </c>
      <c r="AA532" s="25">
        <f t="shared" si="196"/>
        <v>0</v>
      </c>
      <c r="AB532" s="24">
        <f t="shared" si="184"/>
        <v>0</v>
      </c>
      <c r="AC532" s="24">
        <f t="shared" si="185"/>
        <v>0</v>
      </c>
      <c r="AD532" s="24">
        <f t="shared" si="186"/>
        <v>0</v>
      </c>
      <c r="AE532" s="24">
        <f t="shared" si="187"/>
        <v>0</v>
      </c>
      <c r="AF532" s="119" t="str">
        <f>VLOOKUP(P532*1,Referencias!$G:$H,2,0)</f>
        <v>ter</v>
      </c>
      <c r="BF532"/>
      <c r="BG532"/>
    </row>
    <row r="533" spans="1:59" ht="14.4" x14ac:dyDescent="0.3">
      <c r="A533" s="162"/>
      <c r="B533" s="162"/>
      <c r="C533" s="162"/>
      <c r="D533" s="162"/>
      <c r="E533" s="162"/>
      <c r="F533" s="162"/>
      <c r="G533" s="162"/>
      <c r="H533" s="162"/>
      <c r="I533" s="162"/>
      <c r="N533" s="7" t="str">
        <f t="shared" si="192"/>
        <v>#LI1LFUAUJ </v>
      </c>
      <c r="O533" s="7">
        <f t="shared" si="180"/>
        <v>0</v>
      </c>
      <c r="P533" s="21">
        <f t="shared" si="188"/>
        <v>43249</v>
      </c>
      <c r="Q533" s="22">
        <f>VLOOKUP(R533,Referencias!$D$1:$E$13,2,0)</f>
        <v>5</v>
      </c>
      <c r="R533" s="7" t="str">
        <f t="shared" si="193"/>
        <v>MAI</v>
      </c>
      <c r="S533" s="7">
        <f t="shared" si="181"/>
        <v>0</v>
      </c>
      <c r="T533" s="11">
        <f t="shared" si="194"/>
        <v>29</v>
      </c>
      <c r="U533" s="11">
        <f t="shared" si="182"/>
        <v>0</v>
      </c>
      <c r="V533" s="11" t="e">
        <f>VLOOKUP(C533,Referencias!$A$2:$B$33,2,1)</f>
        <v>#N/A</v>
      </c>
      <c r="W533" s="23" t="str">
        <f t="shared" si="191"/>
        <v/>
      </c>
      <c r="X533" s="11">
        <f t="shared" si="183"/>
        <v>0</v>
      </c>
      <c r="Y533" s="11">
        <f t="shared" si="195"/>
        <v>0</v>
      </c>
      <c r="Z533" s="24">
        <f t="shared" si="190"/>
        <v>0</v>
      </c>
      <c r="AA533" s="25">
        <f t="shared" si="196"/>
        <v>0</v>
      </c>
      <c r="AB533" s="24">
        <f t="shared" si="184"/>
        <v>0</v>
      </c>
      <c r="AC533" s="24">
        <f t="shared" si="185"/>
        <v>0</v>
      </c>
      <c r="AD533" s="24">
        <f t="shared" si="186"/>
        <v>0</v>
      </c>
      <c r="AE533" s="24">
        <f t="shared" si="187"/>
        <v>0</v>
      </c>
      <c r="AF533" s="119" t="str">
        <f>VLOOKUP(P533*1,Referencias!$G:$H,2,0)</f>
        <v>ter</v>
      </c>
      <c r="BF533"/>
      <c r="BG533"/>
    </row>
    <row r="534" spans="1:59" ht="14.4" x14ac:dyDescent="0.3">
      <c r="A534" s="163"/>
      <c r="B534" s="164" t="s">
        <v>400</v>
      </c>
      <c r="C534" s="134">
        <v>0.53680555555555554</v>
      </c>
      <c r="D534" s="165">
        <v>3.54</v>
      </c>
      <c r="E534" s="165" t="s">
        <v>55</v>
      </c>
      <c r="F534" s="165"/>
      <c r="G534" s="166">
        <v>2.73</v>
      </c>
      <c r="H534" s="167">
        <v>34.630000000000003</v>
      </c>
      <c r="I534" s="165"/>
      <c r="N534" s="7" t="str">
        <f t="shared" si="192"/>
        <v>#LI28XH6J1 </v>
      </c>
      <c r="O534" s="7" t="str">
        <f t="shared" si="180"/>
        <v>#LI28XH6J1 </v>
      </c>
      <c r="P534" s="21">
        <f t="shared" si="188"/>
        <v>43249</v>
      </c>
      <c r="Q534" s="22">
        <f>VLOOKUP(R534,Referencias!$D$1:$E$13,2,0)</f>
        <v>5</v>
      </c>
      <c r="R534" s="7" t="str">
        <f t="shared" si="193"/>
        <v>MAI</v>
      </c>
      <c r="S534" s="7">
        <f t="shared" si="181"/>
        <v>0</v>
      </c>
      <c r="T534" s="11">
        <f t="shared" si="194"/>
        <v>29</v>
      </c>
      <c r="U534" s="11">
        <f t="shared" si="182"/>
        <v>0</v>
      </c>
      <c r="V534" s="11" t="str">
        <f>VLOOKUP(C534,Referencias!$A$2:$B$33,2,1)</f>
        <v>12 - 13</v>
      </c>
      <c r="W534" s="23">
        <f t="shared" si="191"/>
        <v>2.2222222222222254E-2</v>
      </c>
      <c r="X534" s="11">
        <f t="shared" si="183"/>
        <v>3.54</v>
      </c>
      <c r="Y534" s="11">
        <f t="shared" si="195"/>
        <v>6.2514038876889844</v>
      </c>
      <c r="Z534" s="24">
        <f t="shared" si="190"/>
        <v>2.73</v>
      </c>
      <c r="AA534" s="25">
        <f t="shared" si="196"/>
        <v>5.1187499999999924</v>
      </c>
      <c r="AB534" s="24">
        <f t="shared" si="184"/>
        <v>1</v>
      </c>
      <c r="AC534" s="24">
        <f t="shared" si="185"/>
        <v>1.7885546325227983</v>
      </c>
      <c r="AD534" s="24">
        <f t="shared" si="186"/>
        <v>2.1669692925871793</v>
      </c>
      <c r="AE534" s="24">
        <f t="shared" si="187"/>
        <v>2.5692754267694888</v>
      </c>
      <c r="AF534" s="119" t="str">
        <f>VLOOKUP(P534*1,Referencias!$G:$H,2,0)</f>
        <v>ter</v>
      </c>
      <c r="BF534"/>
      <c r="BG534"/>
    </row>
    <row r="535" spans="1:59" ht="14.4" x14ac:dyDescent="0.3">
      <c r="A535" s="163"/>
      <c r="B535" s="164"/>
      <c r="C535" s="134">
        <v>0.55902777777777779</v>
      </c>
      <c r="D535" s="165"/>
      <c r="E535" s="165"/>
      <c r="F535" s="165"/>
      <c r="G535" s="166"/>
      <c r="H535" s="167"/>
      <c r="I535" s="165"/>
      <c r="N535" s="7" t="str">
        <f t="shared" si="192"/>
        <v>#LI28XH6J1 </v>
      </c>
      <c r="O535" s="7">
        <f t="shared" si="180"/>
        <v>0</v>
      </c>
      <c r="P535" s="21">
        <f t="shared" si="188"/>
        <v>43249</v>
      </c>
      <c r="Q535" s="22">
        <f>VLOOKUP(R535,Referencias!$D$1:$E$13,2,0)</f>
        <v>5</v>
      </c>
      <c r="R535" s="7" t="str">
        <f t="shared" si="193"/>
        <v>MAI</v>
      </c>
      <c r="S535" s="7">
        <f t="shared" si="181"/>
        <v>0</v>
      </c>
      <c r="T535" s="11">
        <f t="shared" si="194"/>
        <v>29</v>
      </c>
      <c r="U535" s="11">
        <f t="shared" si="182"/>
        <v>0</v>
      </c>
      <c r="V535" s="11" t="str">
        <f>VLOOKUP(C535,Referencias!$A$2:$B$33,2,1)</f>
        <v>13 - 14</v>
      </c>
      <c r="W535" s="23" t="str">
        <f t="shared" si="191"/>
        <v/>
      </c>
      <c r="X535" s="11">
        <f t="shared" si="183"/>
        <v>0</v>
      </c>
      <c r="Y535" s="11">
        <f t="shared" si="195"/>
        <v>0</v>
      </c>
      <c r="Z535" s="24">
        <f t="shared" si="190"/>
        <v>0</v>
      </c>
      <c r="AA535" s="25">
        <f t="shared" si="196"/>
        <v>0</v>
      </c>
      <c r="AB535" s="24">
        <f t="shared" si="184"/>
        <v>0</v>
      </c>
      <c r="AC535" s="24">
        <f t="shared" si="185"/>
        <v>0</v>
      </c>
      <c r="AD535" s="24">
        <f t="shared" si="186"/>
        <v>0</v>
      </c>
      <c r="AE535" s="24">
        <f t="shared" si="187"/>
        <v>0</v>
      </c>
      <c r="AF535" s="119" t="str">
        <f>VLOOKUP(P535*1,Referencias!$G:$H,2,0)</f>
        <v>ter</v>
      </c>
      <c r="BF535"/>
      <c r="BG535"/>
    </row>
    <row r="536" spans="1:59" ht="14.4" x14ac:dyDescent="0.3">
      <c r="A536" s="161"/>
      <c r="B536" s="161"/>
      <c r="C536" s="161"/>
      <c r="D536" s="161"/>
      <c r="E536" s="161"/>
      <c r="F536" s="161"/>
      <c r="G536" s="161"/>
      <c r="H536" s="161"/>
      <c r="I536" s="161"/>
      <c r="N536" s="7" t="str">
        <f t="shared" si="192"/>
        <v>#LI28XH6J1 </v>
      </c>
      <c r="O536" s="7">
        <f t="shared" si="180"/>
        <v>0</v>
      </c>
      <c r="P536" s="21">
        <f t="shared" si="188"/>
        <v>43249</v>
      </c>
      <c r="Q536" s="22">
        <f>VLOOKUP(R536,Referencias!$D$1:$E$13,2,0)</f>
        <v>5</v>
      </c>
      <c r="R536" s="7" t="str">
        <f t="shared" si="193"/>
        <v>MAI</v>
      </c>
      <c r="S536" s="7">
        <f t="shared" si="181"/>
        <v>0</v>
      </c>
      <c r="T536" s="11">
        <f t="shared" si="194"/>
        <v>29</v>
      </c>
      <c r="U536" s="11">
        <f t="shared" si="182"/>
        <v>0</v>
      </c>
      <c r="V536" s="11" t="e">
        <f>VLOOKUP(C536,Referencias!$A$2:$B$33,2,1)</f>
        <v>#N/A</v>
      </c>
      <c r="W536" s="23" t="str">
        <f t="shared" si="191"/>
        <v/>
      </c>
      <c r="X536" s="11">
        <f t="shared" si="183"/>
        <v>0</v>
      </c>
      <c r="Y536" s="11">
        <f t="shared" si="195"/>
        <v>0</v>
      </c>
      <c r="Z536" s="24">
        <f t="shared" si="190"/>
        <v>0</v>
      </c>
      <c r="AA536" s="25">
        <f t="shared" si="196"/>
        <v>0</v>
      </c>
      <c r="AB536" s="24">
        <f t="shared" si="184"/>
        <v>0</v>
      </c>
      <c r="AC536" s="24">
        <f t="shared" si="185"/>
        <v>0</v>
      </c>
      <c r="AD536" s="24">
        <f t="shared" si="186"/>
        <v>0</v>
      </c>
      <c r="AE536" s="24">
        <f t="shared" si="187"/>
        <v>0</v>
      </c>
      <c r="AF536" s="119" t="str">
        <f>VLOOKUP(P536*1,Referencias!$G:$H,2,0)</f>
        <v>ter</v>
      </c>
      <c r="BF536"/>
      <c r="BG536"/>
    </row>
    <row r="537" spans="1:59" ht="14.4" x14ac:dyDescent="0.3">
      <c r="A537" s="162"/>
      <c r="B537" s="162"/>
      <c r="C537" s="162"/>
      <c r="D537" s="162"/>
      <c r="E537" s="162"/>
      <c r="F537" s="162"/>
      <c r="G537" s="162"/>
      <c r="H537" s="162"/>
      <c r="I537" s="162"/>
      <c r="N537" s="7" t="str">
        <f t="shared" si="192"/>
        <v>#LI28XH6J1 </v>
      </c>
      <c r="O537" s="7">
        <f t="shared" si="180"/>
        <v>0</v>
      </c>
      <c r="P537" s="21">
        <f t="shared" si="188"/>
        <v>43249</v>
      </c>
      <c r="Q537" s="22">
        <f>VLOOKUP(R537,Referencias!$D$1:$E$13,2,0)</f>
        <v>5</v>
      </c>
      <c r="R537" s="7" t="str">
        <f t="shared" si="193"/>
        <v>MAI</v>
      </c>
      <c r="S537" s="7">
        <f t="shared" si="181"/>
        <v>0</v>
      </c>
      <c r="T537" s="11">
        <f t="shared" si="194"/>
        <v>29</v>
      </c>
      <c r="U537" s="11">
        <f t="shared" si="182"/>
        <v>0</v>
      </c>
      <c r="V537" s="11" t="e">
        <f>VLOOKUP(C537,Referencias!$A$2:$B$33,2,1)</f>
        <v>#N/A</v>
      </c>
      <c r="W537" s="23" t="str">
        <f t="shared" si="191"/>
        <v/>
      </c>
      <c r="X537" s="11">
        <f t="shared" si="183"/>
        <v>0</v>
      </c>
      <c r="Y537" s="11">
        <f t="shared" si="195"/>
        <v>0</v>
      </c>
      <c r="Z537" s="24">
        <f t="shared" si="190"/>
        <v>0</v>
      </c>
      <c r="AA537" s="25">
        <f t="shared" si="196"/>
        <v>0</v>
      </c>
      <c r="AB537" s="24">
        <f t="shared" si="184"/>
        <v>0</v>
      </c>
      <c r="AC537" s="24">
        <f t="shared" si="185"/>
        <v>0</v>
      </c>
      <c r="AD537" s="24">
        <f t="shared" si="186"/>
        <v>0</v>
      </c>
      <c r="AE537" s="24">
        <f t="shared" si="187"/>
        <v>0</v>
      </c>
      <c r="AF537" s="119" t="str">
        <f>VLOOKUP(P537*1,Referencias!$G:$H,2,0)</f>
        <v>ter</v>
      </c>
      <c r="BF537"/>
      <c r="BG537"/>
    </row>
    <row r="538" spans="1:59" ht="14.4" x14ac:dyDescent="0.3">
      <c r="A538" s="163"/>
      <c r="B538" s="164" t="s">
        <v>401</v>
      </c>
      <c r="C538" s="134">
        <v>0.55902777777777779</v>
      </c>
      <c r="D538" s="165">
        <v>2.9</v>
      </c>
      <c r="E538" s="165" t="s">
        <v>36</v>
      </c>
      <c r="F538" s="165"/>
      <c r="G538" s="166">
        <v>2.5099999999999998</v>
      </c>
      <c r="H538" s="167">
        <v>37.14</v>
      </c>
      <c r="I538" s="165"/>
      <c r="N538" s="7" t="str">
        <f t="shared" si="192"/>
        <v>#LIHJWWDRK </v>
      </c>
      <c r="O538" s="7" t="str">
        <f t="shared" si="180"/>
        <v>#LIHJWWDRK </v>
      </c>
      <c r="P538" s="21">
        <f t="shared" si="188"/>
        <v>43249</v>
      </c>
      <c r="Q538" s="22">
        <f>VLOOKUP(R538,Referencias!$D$1:$E$13,2,0)</f>
        <v>5</v>
      </c>
      <c r="R538" s="7" t="str">
        <f t="shared" si="193"/>
        <v>MAI</v>
      </c>
      <c r="S538" s="7">
        <f t="shared" si="181"/>
        <v>0</v>
      </c>
      <c r="T538" s="11">
        <f t="shared" si="194"/>
        <v>29</v>
      </c>
      <c r="U538" s="11">
        <f t="shared" si="182"/>
        <v>0</v>
      </c>
      <c r="V538" s="11" t="str">
        <f>VLOOKUP(C538,Referencias!$A$2:$B$33,2,1)</f>
        <v>13 - 14</v>
      </c>
      <c r="W538" s="23">
        <f t="shared" si="191"/>
        <v>1.9444444444444375E-2</v>
      </c>
      <c r="X538" s="11">
        <f t="shared" si="183"/>
        <v>2.9</v>
      </c>
      <c r="Y538" s="11">
        <f t="shared" si="195"/>
        <v>5.1212065746604676</v>
      </c>
      <c r="Z538" s="24">
        <f t="shared" si="190"/>
        <v>2.5099999999999998</v>
      </c>
      <c r="AA538" s="25">
        <f t="shared" si="196"/>
        <v>5.3785714285714477</v>
      </c>
      <c r="AB538" s="24">
        <f t="shared" si="184"/>
        <v>1</v>
      </c>
      <c r="AC538" s="24">
        <f t="shared" si="185"/>
        <v>1.6444220247737082</v>
      </c>
      <c r="AD538" s="24">
        <f t="shared" si="186"/>
        <v>1.9923417305471867</v>
      </c>
      <c r="AE538" s="24">
        <f t="shared" si="187"/>
        <v>2.3622275901800061</v>
      </c>
      <c r="AF538" s="119" t="str">
        <f>VLOOKUP(P538*1,Referencias!$G:$H,2,0)</f>
        <v>ter</v>
      </c>
      <c r="BF538"/>
      <c r="BG538"/>
    </row>
    <row r="539" spans="1:59" ht="14.4" x14ac:dyDescent="0.3">
      <c r="A539" s="163"/>
      <c r="B539" s="164"/>
      <c r="C539" s="134">
        <v>0.57847222222222217</v>
      </c>
      <c r="D539" s="165"/>
      <c r="E539" s="165"/>
      <c r="F539" s="165"/>
      <c r="G539" s="166"/>
      <c r="H539" s="167"/>
      <c r="I539" s="165"/>
      <c r="N539" s="7" t="str">
        <f t="shared" si="192"/>
        <v>#LIHJWWDRK </v>
      </c>
      <c r="O539" s="7">
        <f t="shared" si="180"/>
        <v>0</v>
      </c>
      <c r="P539" s="21">
        <f t="shared" si="188"/>
        <v>43249</v>
      </c>
      <c r="Q539" s="22">
        <f>VLOOKUP(R539,Referencias!$D$1:$E$13,2,0)</f>
        <v>5</v>
      </c>
      <c r="R539" s="7" t="str">
        <f t="shared" si="193"/>
        <v>MAI</v>
      </c>
      <c r="S539" s="7">
        <f t="shared" si="181"/>
        <v>0</v>
      </c>
      <c r="T539" s="11">
        <f t="shared" si="194"/>
        <v>29</v>
      </c>
      <c r="U539" s="11">
        <f t="shared" si="182"/>
        <v>0</v>
      </c>
      <c r="V539" s="11" t="str">
        <f>VLOOKUP(C539,Referencias!$A$2:$B$33,2,1)</f>
        <v>13 - 14</v>
      </c>
      <c r="W539" s="23" t="str">
        <f t="shared" si="191"/>
        <v/>
      </c>
      <c r="X539" s="11">
        <f t="shared" si="183"/>
        <v>0</v>
      </c>
      <c r="Y539" s="11">
        <f t="shared" si="195"/>
        <v>0</v>
      </c>
      <c r="Z539" s="24">
        <f t="shared" si="190"/>
        <v>0</v>
      </c>
      <c r="AA539" s="25">
        <f t="shared" si="196"/>
        <v>0</v>
      </c>
      <c r="AB539" s="24">
        <f t="shared" si="184"/>
        <v>0</v>
      </c>
      <c r="AC539" s="24">
        <f t="shared" si="185"/>
        <v>0</v>
      </c>
      <c r="AD539" s="24">
        <f t="shared" si="186"/>
        <v>0</v>
      </c>
      <c r="AE539" s="24">
        <f t="shared" si="187"/>
        <v>0</v>
      </c>
      <c r="AF539" s="119" t="str">
        <f>VLOOKUP(P539*1,Referencias!$G:$H,2,0)</f>
        <v>ter</v>
      </c>
      <c r="BF539"/>
      <c r="BG539"/>
    </row>
    <row r="540" spans="1:59" ht="14.4" x14ac:dyDescent="0.3">
      <c r="A540" s="161"/>
      <c r="B540" s="161"/>
      <c r="C540" s="161"/>
      <c r="D540" s="161"/>
      <c r="E540" s="161"/>
      <c r="F540" s="161"/>
      <c r="G540" s="161"/>
      <c r="H540" s="161"/>
      <c r="I540" s="161"/>
      <c r="N540" s="7" t="str">
        <f t="shared" si="192"/>
        <v>#LIHJWWDRK </v>
      </c>
      <c r="O540" s="7">
        <f t="shared" si="180"/>
        <v>0</v>
      </c>
      <c r="P540" s="21">
        <f t="shared" si="188"/>
        <v>43249</v>
      </c>
      <c r="Q540" s="22">
        <f>VLOOKUP(R540,Referencias!$D$1:$E$13,2,0)</f>
        <v>5</v>
      </c>
      <c r="R540" s="7" t="str">
        <f t="shared" si="193"/>
        <v>MAI</v>
      </c>
      <c r="S540" s="7">
        <f t="shared" si="181"/>
        <v>0</v>
      </c>
      <c r="T540" s="11">
        <f t="shared" si="194"/>
        <v>29</v>
      </c>
      <c r="U540" s="11">
        <f t="shared" si="182"/>
        <v>0</v>
      </c>
      <c r="V540" s="11" t="e">
        <f>VLOOKUP(C540,Referencias!$A$2:$B$33,2,1)</f>
        <v>#N/A</v>
      </c>
      <c r="W540" s="23" t="str">
        <f t="shared" si="191"/>
        <v/>
      </c>
      <c r="X540" s="11">
        <f t="shared" si="183"/>
        <v>0</v>
      </c>
      <c r="Y540" s="11">
        <f t="shared" si="195"/>
        <v>0</v>
      </c>
      <c r="Z540" s="24">
        <f t="shared" si="190"/>
        <v>0</v>
      </c>
      <c r="AA540" s="25">
        <f t="shared" si="196"/>
        <v>0</v>
      </c>
      <c r="AB540" s="24">
        <f t="shared" si="184"/>
        <v>0</v>
      </c>
      <c r="AC540" s="24">
        <f t="shared" si="185"/>
        <v>0</v>
      </c>
      <c r="AD540" s="24">
        <f t="shared" si="186"/>
        <v>0</v>
      </c>
      <c r="AE540" s="24">
        <f t="shared" si="187"/>
        <v>0</v>
      </c>
      <c r="AF540" s="119" t="str">
        <f>VLOOKUP(P540*1,Referencias!$G:$H,2,0)</f>
        <v>ter</v>
      </c>
      <c r="BF540"/>
      <c r="BG540"/>
    </row>
    <row r="541" spans="1:59" ht="14.4" x14ac:dyDescent="0.3">
      <c r="A541" s="162"/>
      <c r="B541" s="162"/>
      <c r="C541" s="162"/>
      <c r="D541" s="162"/>
      <c r="E541" s="162"/>
      <c r="F541" s="162"/>
      <c r="G541" s="162"/>
      <c r="H541" s="162"/>
      <c r="I541" s="162"/>
      <c r="N541" s="7" t="str">
        <f t="shared" si="192"/>
        <v>#LIHJWWDRK </v>
      </c>
      <c r="O541" s="7">
        <f t="shared" si="180"/>
        <v>0</v>
      </c>
      <c r="P541" s="21">
        <f t="shared" si="188"/>
        <v>43249</v>
      </c>
      <c r="Q541" s="22">
        <f>VLOOKUP(R541,Referencias!$D$1:$E$13,2,0)</f>
        <v>5</v>
      </c>
      <c r="R541" s="7" t="str">
        <f t="shared" si="193"/>
        <v>MAI</v>
      </c>
      <c r="S541" s="7">
        <f t="shared" si="181"/>
        <v>0</v>
      </c>
      <c r="T541" s="11">
        <f t="shared" si="194"/>
        <v>29</v>
      </c>
      <c r="U541" s="11">
        <f t="shared" si="182"/>
        <v>0</v>
      </c>
      <c r="V541" s="11" t="e">
        <f>VLOOKUP(C541,Referencias!$A$2:$B$33,2,1)</f>
        <v>#N/A</v>
      </c>
      <c r="W541" s="23" t="str">
        <f t="shared" si="191"/>
        <v/>
      </c>
      <c r="X541" s="11">
        <f t="shared" si="183"/>
        <v>0</v>
      </c>
      <c r="Y541" s="11">
        <f t="shared" si="195"/>
        <v>0</v>
      </c>
      <c r="Z541" s="24">
        <f t="shared" si="190"/>
        <v>0</v>
      </c>
      <c r="AA541" s="25">
        <f t="shared" si="196"/>
        <v>0</v>
      </c>
      <c r="AB541" s="24">
        <f t="shared" si="184"/>
        <v>0</v>
      </c>
      <c r="AC541" s="24">
        <f t="shared" si="185"/>
        <v>0</v>
      </c>
      <c r="AD541" s="24">
        <f t="shared" si="186"/>
        <v>0</v>
      </c>
      <c r="AE541" s="24">
        <f t="shared" si="187"/>
        <v>0</v>
      </c>
      <c r="AF541" s="119" t="str">
        <f>VLOOKUP(P541*1,Referencias!$G:$H,2,0)</f>
        <v>ter</v>
      </c>
      <c r="BF541"/>
      <c r="BG541"/>
    </row>
    <row r="542" spans="1:59" ht="14.4" x14ac:dyDescent="0.3">
      <c r="A542" s="163"/>
      <c r="B542" s="164" t="s">
        <v>402</v>
      </c>
      <c r="C542" s="134">
        <v>0.80833333333333324</v>
      </c>
      <c r="D542" s="165">
        <v>6.93</v>
      </c>
      <c r="E542" s="165" t="s">
        <v>17</v>
      </c>
      <c r="F542" s="165"/>
      <c r="G542" s="166">
        <v>3.92</v>
      </c>
      <c r="H542" s="167">
        <v>41.06</v>
      </c>
      <c r="I542" s="165"/>
      <c r="N542" s="7" t="str">
        <f t="shared" si="192"/>
        <v>#LILYXFPXW </v>
      </c>
      <c r="O542" s="7" t="str">
        <f t="shared" si="180"/>
        <v>#LILYXFPXW </v>
      </c>
      <c r="P542" s="21">
        <f t="shared" si="188"/>
        <v>43249</v>
      </c>
      <c r="Q542" s="22">
        <f>VLOOKUP(R542,Referencias!$D$1:$E$13,2,0)</f>
        <v>5</v>
      </c>
      <c r="R542" s="7" t="str">
        <f t="shared" si="193"/>
        <v>MAI</v>
      </c>
      <c r="S542" s="7">
        <f t="shared" si="181"/>
        <v>0</v>
      </c>
      <c r="T542" s="11">
        <f t="shared" si="194"/>
        <v>29</v>
      </c>
      <c r="U542" s="11">
        <f t="shared" si="182"/>
        <v>0</v>
      </c>
      <c r="V542" s="11" t="str">
        <f>VLOOKUP(C542,Referencias!$A$2:$B$33,2,1)</f>
        <v>19 - 20</v>
      </c>
      <c r="W542" s="23">
        <f t="shared" si="191"/>
        <v>3.9583333333333526E-2</v>
      </c>
      <c r="X542" s="11">
        <f t="shared" si="183"/>
        <v>6.93</v>
      </c>
      <c r="Y542" s="11">
        <f t="shared" si="195"/>
        <v>12.237917780136909</v>
      </c>
      <c r="Z542" s="24">
        <f t="shared" si="190"/>
        <v>3.92</v>
      </c>
      <c r="AA542" s="25">
        <f t="shared" si="196"/>
        <v>4.1263157894736642</v>
      </c>
      <c r="AB542" s="24">
        <f t="shared" si="184"/>
        <v>1</v>
      </c>
      <c r="AC542" s="24">
        <f t="shared" si="185"/>
        <v>2.5681810108019669</v>
      </c>
      <c r="AD542" s="24">
        <f t="shared" si="186"/>
        <v>3.1115456508944113</v>
      </c>
      <c r="AE542" s="24">
        <f t="shared" si="187"/>
        <v>3.6892159974125991</v>
      </c>
      <c r="AF542" s="119" t="str">
        <f>VLOOKUP(P542*1,Referencias!$G:$H,2,0)</f>
        <v>ter</v>
      </c>
      <c r="BF542"/>
      <c r="BG542"/>
    </row>
    <row r="543" spans="1:59" ht="14.4" x14ac:dyDescent="0.3">
      <c r="A543" s="163"/>
      <c r="B543" s="164"/>
      <c r="C543" s="134">
        <v>0.84791666666666676</v>
      </c>
      <c r="D543" s="165"/>
      <c r="E543" s="165"/>
      <c r="F543" s="165"/>
      <c r="G543" s="166"/>
      <c r="H543" s="167"/>
      <c r="I543" s="165"/>
      <c r="N543" s="7" t="str">
        <f t="shared" si="192"/>
        <v>#LILYXFPXW </v>
      </c>
      <c r="O543" s="7">
        <f t="shared" si="180"/>
        <v>0</v>
      </c>
      <c r="P543" s="21">
        <f t="shared" si="188"/>
        <v>43249</v>
      </c>
      <c r="Q543" s="22">
        <f>VLOOKUP(R543,Referencias!$D$1:$E$13,2,0)</f>
        <v>5</v>
      </c>
      <c r="R543" s="7" t="str">
        <f t="shared" si="193"/>
        <v>MAI</v>
      </c>
      <c r="S543" s="7">
        <f t="shared" si="181"/>
        <v>0</v>
      </c>
      <c r="T543" s="11">
        <f t="shared" si="194"/>
        <v>29</v>
      </c>
      <c r="U543" s="11">
        <f t="shared" si="182"/>
        <v>0</v>
      </c>
      <c r="V543" s="11" t="str">
        <f>VLOOKUP(C543,Referencias!$A$2:$B$33,2,1)</f>
        <v>20 - 21</v>
      </c>
      <c r="W543" s="23" t="str">
        <f t="shared" si="191"/>
        <v/>
      </c>
      <c r="X543" s="11">
        <f t="shared" si="183"/>
        <v>0</v>
      </c>
      <c r="Y543" s="11">
        <f t="shared" si="195"/>
        <v>0</v>
      </c>
      <c r="Z543" s="24">
        <f t="shared" si="190"/>
        <v>0</v>
      </c>
      <c r="AA543" s="25">
        <f t="shared" si="196"/>
        <v>0</v>
      </c>
      <c r="AB543" s="24">
        <f t="shared" si="184"/>
        <v>0</v>
      </c>
      <c r="AC543" s="24">
        <f t="shared" si="185"/>
        <v>0</v>
      </c>
      <c r="AD543" s="24">
        <f t="shared" si="186"/>
        <v>0</v>
      </c>
      <c r="AE543" s="24">
        <f t="shared" si="187"/>
        <v>0</v>
      </c>
      <c r="AF543" s="119" t="str">
        <f>VLOOKUP(P543*1,Referencias!$G:$H,2,0)</f>
        <v>ter</v>
      </c>
      <c r="BF543"/>
      <c r="BG543"/>
    </row>
    <row r="544" spans="1:59" ht="14.4" x14ac:dyDescent="0.3">
      <c r="A544" s="161"/>
      <c r="B544" s="161"/>
      <c r="C544" s="161"/>
      <c r="D544" s="161"/>
      <c r="E544" s="161"/>
      <c r="F544" s="161"/>
      <c r="G544" s="161"/>
      <c r="H544" s="161"/>
      <c r="I544" s="161"/>
      <c r="N544" s="7" t="str">
        <f t="shared" si="192"/>
        <v>#LILYXFPXW </v>
      </c>
      <c r="O544" s="7">
        <f t="shared" si="180"/>
        <v>0</v>
      </c>
      <c r="P544" s="21">
        <f t="shared" si="188"/>
        <v>43249</v>
      </c>
      <c r="Q544" s="22">
        <f>VLOOKUP(R544,Referencias!$D$1:$E$13,2,0)</f>
        <v>5</v>
      </c>
      <c r="R544" s="7" t="str">
        <f t="shared" si="193"/>
        <v>MAI</v>
      </c>
      <c r="S544" s="7">
        <f t="shared" si="181"/>
        <v>0</v>
      </c>
      <c r="T544" s="11">
        <f t="shared" si="194"/>
        <v>29</v>
      </c>
      <c r="U544" s="11">
        <f t="shared" si="182"/>
        <v>0</v>
      </c>
      <c r="V544" s="11" t="e">
        <f>VLOOKUP(C544,Referencias!$A$2:$B$33,2,1)</f>
        <v>#N/A</v>
      </c>
      <c r="W544" s="23" t="str">
        <f t="shared" si="191"/>
        <v/>
      </c>
      <c r="X544" s="11">
        <f t="shared" si="183"/>
        <v>0</v>
      </c>
      <c r="Y544" s="11">
        <f t="shared" si="195"/>
        <v>0</v>
      </c>
      <c r="Z544" s="24">
        <f t="shared" si="190"/>
        <v>0</v>
      </c>
      <c r="AA544" s="25">
        <f t="shared" si="196"/>
        <v>0</v>
      </c>
      <c r="AB544" s="24">
        <f t="shared" si="184"/>
        <v>0</v>
      </c>
      <c r="AC544" s="24">
        <f t="shared" si="185"/>
        <v>0</v>
      </c>
      <c r="AD544" s="24">
        <f t="shared" si="186"/>
        <v>0</v>
      </c>
      <c r="AE544" s="24">
        <f t="shared" si="187"/>
        <v>0</v>
      </c>
      <c r="AF544" s="119" t="str">
        <f>VLOOKUP(P544*1,Referencias!$G:$H,2,0)</f>
        <v>ter</v>
      </c>
      <c r="BF544"/>
      <c r="BG544"/>
    </row>
    <row r="545" spans="1:59" ht="14.4" x14ac:dyDescent="0.3">
      <c r="A545" s="162"/>
      <c r="B545" s="162"/>
      <c r="C545" s="162"/>
      <c r="D545" s="162"/>
      <c r="E545" s="162"/>
      <c r="F545" s="162"/>
      <c r="G545" s="162"/>
      <c r="H545" s="162"/>
      <c r="I545" s="162"/>
      <c r="N545" s="7" t="str">
        <f t="shared" si="192"/>
        <v>#LILYXFPXW </v>
      </c>
      <c r="O545" s="7">
        <f t="shared" si="180"/>
        <v>0</v>
      </c>
      <c r="P545" s="21">
        <f t="shared" si="188"/>
        <v>43249</v>
      </c>
      <c r="Q545" s="22">
        <f>VLOOKUP(R545,Referencias!$D$1:$E$13,2,0)</f>
        <v>5</v>
      </c>
      <c r="R545" s="7" t="str">
        <f t="shared" si="193"/>
        <v>MAI</v>
      </c>
      <c r="S545" s="7">
        <f t="shared" si="181"/>
        <v>0</v>
      </c>
      <c r="T545" s="11">
        <f t="shared" si="194"/>
        <v>29</v>
      </c>
      <c r="U545" s="11">
        <f t="shared" si="182"/>
        <v>0</v>
      </c>
      <c r="V545" s="11" t="e">
        <f>VLOOKUP(C545,Referencias!$A$2:$B$33,2,1)</f>
        <v>#N/A</v>
      </c>
      <c r="W545" s="23" t="str">
        <f t="shared" si="191"/>
        <v/>
      </c>
      <c r="X545" s="11">
        <f t="shared" si="183"/>
        <v>0</v>
      </c>
      <c r="Y545" s="11">
        <f t="shared" si="195"/>
        <v>0</v>
      </c>
      <c r="Z545" s="24">
        <f t="shared" si="190"/>
        <v>0</v>
      </c>
      <c r="AA545" s="25">
        <f t="shared" si="196"/>
        <v>0</v>
      </c>
      <c r="AB545" s="24">
        <f t="shared" si="184"/>
        <v>0</v>
      </c>
      <c r="AC545" s="24">
        <f t="shared" si="185"/>
        <v>0</v>
      </c>
      <c r="AD545" s="24">
        <f t="shared" si="186"/>
        <v>0</v>
      </c>
      <c r="AE545" s="24">
        <f t="shared" si="187"/>
        <v>0</v>
      </c>
      <c r="AF545" s="119" t="str">
        <f>VLOOKUP(P545*1,Referencias!$G:$H,2,0)</f>
        <v>ter</v>
      </c>
      <c r="BF545"/>
      <c r="BG545"/>
    </row>
    <row r="546" spans="1:59" ht="14.4" x14ac:dyDescent="0.3">
      <c r="A546" s="163"/>
      <c r="B546" s="164" t="s">
        <v>403</v>
      </c>
      <c r="C546" s="134">
        <v>0.84791666666666676</v>
      </c>
      <c r="D546" s="165">
        <v>4.21</v>
      </c>
      <c r="E546" s="165" t="s">
        <v>40</v>
      </c>
      <c r="F546" s="165"/>
      <c r="G546" s="166">
        <v>3.27</v>
      </c>
      <c r="H546" s="167">
        <v>44.33</v>
      </c>
      <c r="I546" s="165"/>
      <c r="N546" s="7" t="str">
        <f t="shared" si="192"/>
        <v>#LIGGEUDV3 </v>
      </c>
      <c r="O546" s="7" t="str">
        <f t="shared" si="180"/>
        <v>#LIGGEUDV3 </v>
      </c>
      <c r="P546" s="21">
        <f t="shared" si="188"/>
        <v>43249</v>
      </c>
      <c r="Q546" s="22">
        <f>VLOOKUP(R546,Referencias!$D$1:$E$13,2,0)</f>
        <v>5</v>
      </c>
      <c r="R546" s="7" t="str">
        <f t="shared" si="193"/>
        <v>MAI</v>
      </c>
      <c r="S546" s="7">
        <f t="shared" si="181"/>
        <v>0</v>
      </c>
      <c r="T546" s="11">
        <f t="shared" si="194"/>
        <v>29</v>
      </c>
      <c r="U546" s="11">
        <f t="shared" si="182"/>
        <v>0</v>
      </c>
      <c r="V546" s="11" t="str">
        <f>VLOOKUP(C546,Referencias!$A$2:$B$33,2,1)</f>
        <v>20 - 21</v>
      </c>
      <c r="W546" s="23">
        <f t="shared" si="191"/>
        <v>2.2916666666666474E-2</v>
      </c>
      <c r="X546" s="11">
        <f t="shared" si="183"/>
        <v>4.21</v>
      </c>
      <c r="Y546" s="11">
        <f t="shared" si="195"/>
        <v>7.4345791997657127</v>
      </c>
      <c r="Z546" s="24">
        <f t="shared" si="190"/>
        <v>3.27</v>
      </c>
      <c r="AA546" s="25">
        <f t="shared" si="196"/>
        <v>5.9454545454545951</v>
      </c>
      <c r="AB546" s="24">
        <f t="shared" si="184"/>
        <v>1</v>
      </c>
      <c r="AC546" s="24">
        <f t="shared" si="185"/>
        <v>2.14233466972511</v>
      </c>
      <c r="AD546" s="24">
        <f t="shared" si="186"/>
        <v>2.5956005812307974</v>
      </c>
      <c r="AE546" s="24">
        <f t="shared" si="187"/>
        <v>3.0774837529436736</v>
      </c>
      <c r="AF546" s="119" t="str">
        <f>VLOOKUP(P546*1,Referencias!$G:$H,2,0)</f>
        <v>ter</v>
      </c>
      <c r="BF546"/>
      <c r="BG546"/>
    </row>
    <row r="547" spans="1:59" ht="14.4" x14ac:dyDescent="0.3">
      <c r="A547" s="163"/>
      <c r="B547" s="164"/>
      <c r="C547" s="134">
        <v>0.87083333333333324</v>
      </c>
      <c r="D547" s="165"/>
      <c r="E547" s="165"/>
      <c r="F547" s="165"/>
      <c r="G547" s="166"/>
      <c r="H547" s="167"/>
      <c r="I547" s="165"/>
      <c r="N547" s="7" t="str">
        <f t="shared" si="192"/>
        <v>#LIGGEUDV3 </v>
      </c>
      <c r="O547" s="7">
        <f t="shared" si="180"/>
        <v>0</v>
      </c>
      <c r="P547" s="21">
        <f t="shared" si="188"/>
        <v>43249</v>
      </c>
      <c r="Q547" s="22">
        <f>VLOOKUP(R547,Referencias!$D$1:$E$13,2,0)</f>
        <v>5</v>
      </c>
      <c r="R547" s="7" t="str">
        <f t="shared" si="193"/>
        <v>MAI</v>
      </c>
      <c r="S547" s="7">
        <f t="shared" si="181"/>
        <v>0</v>
      </c>
      <c r="T547" s="11">
        <f t="shared" si="194"/>
        <v>29</v>
      </c>
      <c r="U547" s="11">
        <f t="shared" si="182"/>
        <v>0</v>
      </c>
      <c r="V547" s="11" t="str">
        <f>VLOOKUP(C547,Referencias!$A$2:$B$33,2,1)</f>
        <v>20 - 21</v>
      </c>
      <c r="W547" s="23" t="str">
        <f t="shared" si="191"/>
        <v/>
      </c>
      <c r="X547" s="11">
        <f t="shared" si="183"/>
        <v>0</v>
      </c>
      <c r="Y547" s="11">
        <f t="shared" si="195"/>
        <v>0</v>
      </c>
      <c r="Z547" s="24">
        <f t="shared" si="190"/>
        <v>0</v>
      </c>
      <c r="AA547" s="25">
        <f t="shared" si="196"/>
        <v>0</v>
      </c>
      <c r="AB547" s="24">
        <f t="shared" si="184"/>
        <v>0</v>
      </c>
      <c r="AC547" s="24">
        <f t="shared" si="185"/>
        <v>0</v>
      </c>
      <c r="AD547" s="24">
        <f t="shared" si="186"/>
        <v>0</v>
      </c>
      <c r="AE547" s="24">
        <f t="shared" si="187"/>
        <v>0</v>
      </c>
      <c r="AF547" s="119" t="str">
        <f>VLOOKUP(P547*1,Referencias!$G:$H,2,0)</f>
        <v>ter</v>
      </c>
      <c r="BF547"/>
      <c r="BG547"/>
    </row>
    <row r="548" spans="1:59" ht="14.4" x14ac:dyDescent="0.3">
      <c r="A548" s="161"/>
      <c r="B548" s="161"/>
      <c r="C548" s="161"/>
      <c r="D548" s="161"/>
      <c r="E548" s="161"/>
      <c r="F548" s="161"/>
      <c r="G548" s="161"/>
      <c r="H548" s="161"/>
      <c r="I548" s="161"/>
      <c r="N548" s="7" t="str">
        <f t="shared" si="192"/>
        <v>#LIGGEUDV3 </v>
      </c>
      <c r="O548" s="7">
        <f t="shared" si="180"/>
        <v>0</v>
      </c>
      <c r="P548" s="21">
        <f t="shared" si="188"/>
        <v>43249</v>
      </c>
      <c r="Q548" s="22">
        <f>VLOOKUP(R548,Referencias!$D$1:$E$13,2,0)</f>
        <v>5</v>
      </c>
      <c r="R548" s="7" t="str">
        <f t="shared" si="193"/>
        <v>MAI</v>
      </c>
      <c r="S548" s="7">
        <f t="shared" si="181"/>
        <v>0</v>
      </c>
      <c r="T548" s="11">
        <f t="shared" si="194"/>
        <v>29</v>
      </c>
      <c r="U548" s="11">
        <f t="shared" si="182"/>
        <v>0</v>
      </c>
      <c r="V548" s="11" t="e">
        <f>VLOOKUP(C548,Referencias!$A$2:$B$33,2,1)</f>
        <v>#N/A</v>
      </c>
      <c r="W548" s="23" t="str">
        <f t="shared" si="191"/>
        <v/>
      </c>
      <c r="X548" s="11">
        <f t="shared" si="183"/>
        <v>0</v>
      </c>
      <c r="Y548" s="11">
        <f t="shared" si="195"/>
        <v>0</v>
      </c>
      <c r="Z548" s="24">
        <f t="shared" si="190"/>
        <v>0</v>
      </c>
      <c r="AA548" s="25">
        <f t="shared" si="196"/>
        <v>0</v>
      </c>
      <c r="AB548" s="24">
        <f t="shared" si="184"/>
        <v>0</v>
      </c>
      <c r="AC548" s="24">
        <f t="shared" si="185"/>
        <v>0</v>
      </c>
      <c r="AD548" s="24">
        <f t="shared" si="186"/>
        <v>0</v>
      </c>
      <c r="AE548" s="24">
        <f t="shared" si="187"/>
        <v>0</v>
      </c>
      <c r="AF548" s="119" t="str">
        <f>VLOOKUP(P548*1,Referencias!$G:$H,2,0)</f>
        <v>ter</v>
      </c>
      <c r="BF548"/>
      <c r="BG548"/>
    </row>
    <row r="549" spans="1:59" ht="14.4" x14ac:dyDescent="0.3">
      <c r="A549" s="162"/>
      <c r="B549" s="162"/>
      <c r="C549" s="162"/>
      <c r="D549" s="162"/>
      <c r="E549" s="162"/>
      <c r="F549" s="162"/>
      <c r="G549" s="162"/>
      <c r="H549" s="162"/>
      <c r="I549" s="162"/>
      <c r="N549" s="7" t="str">
        <f t="shared" si="192"/>
        <v>#LIGGEUDV3 </v>
      </c>
      <c r="O549" s="7">
        <f t="shared" si="180"/>
        <v>0</v>
      </c>
      <c r="P549" s="21">
        <f t="shared" si="188"/>
        <v>43249</v>
      </c>
      <c r="Q549" s="22">
        <f>VLOOKUP(R549,Referencias!$D$1:$E$13,2,0)</f>
        <v>5</v>
      </c>
      <c r="R549" s="7" t="str">
        <f t="shared" si="193"/>
        <v>MAI</v>
      </c>
      <c r="S549" s="7">
        <f t="shared" si="181"/>
        <v>0</v>
      </c>
      <c r="T549" s="11">
        <f t="shared" si="194"/>
        <v>29</v>
      </c>
      <c r="U549" s="11">
        <f t="shared" si="182"/>
        <v>0</v>
      </c>
      <c r="V549" s="11" t="e">
        <f>VLOOKUP(C549,Referencias!$A$2:$B$33,2,1)</f>
        <v>#N/A</v>
      </c>
      <c r="W549" s="23" t="str">
        <f t="shared" si="191"/>
        <v/>
      </c>
      <c r="X549" s="11">
        <f t="shared" si="183"/>
        <v>0</v>
      </c>
      <c r="Y549" s="11">
        <f t="shared" si="195"/>
        <v>0</v>
      </c>
      <c r="Z549" s="24">
        <f t="shared" si="190"/>
        <v>0</v>
      </c>
      <c r="AA549" s="25">
        <f t="shared" si="196"/>
        <v>0</v>
      </c>
      <c r="AB549" s="24">
        <f t="shared" si="184"/>
        <v>0</v>
      </c>
      <c r="AC549" s="24">
        <f t="shared" si="185"/>
        <v>0</v>
      </c>
      <c r="AD549" s="24">
        <f t="shared" si="186"/>
        <v>0</v>
      </c>
      <c r="AE549" s="24">
        <f t="shared" si="187"/>
        <v>0</v>
      </c>
      <c r="AF549" s="119" t="str">
        <f>VLOOKUP(P549*1,Referencias!$G:$H,2,0)</f>
        <v>ter</v>
      </c>
      <c r="BF549"/>
      <c r="BG549"/>
    </row>
    <row r="550" spans="1:59" ht="14.4" x14ac:dyDescent="0.3">
      <c r="A550" s="163"/>
      <c r="B550" s="164" t="s">
        <v>404</v>
      </c>
      <c r="C550" s="134">
        <v>0.90069444444444446</v>
      </c>
      <c r="D550" s="165">
        <v>12.34</v>
      </c>
      <c r="E550" s="165" t="s">
        <v>40</v>
      </c>
      <c r="F550" s="165"/>
      <c r="G550" s="166">
        <v>6.13</v>
      </c>
      <c r="H550" s="167">
        <v>50.46</v>
      </c>
      <c r="I550" s="165"/>
      <c r="N550" s="7" t="str">
        <f t="shared" si="192"/>
        <v>#LI5NCRWZT </v>
      </c>
      <c r="O550" s="7" t="str">
        <f t="shared" si="180"/>
        <v>#LI5NCRWZT </v>
      </c>
      <c r="P550" s="21">
        <f t="shared" si="188"/>
        <v>43249</v>
      </c>
      <c r="Q550" s="22">
        <f>VLOOKUP(R550,Referencias!$D$1:$E$13,2,0)</f>
        <v>5</v>
      </c>
      <c r="R550" s="7" t="str">
        <f t="shared" si="193"/>
        <v>MAI</v>
      </c>
      <c r="S550" s="7">
        <f t="shared" si="181"/>
        <v>0</v>
      </c>
      <c r="T550" s="11">
        <f t="shared" si="194"/>
        <v>29</v>
      </c>
      <c r="U550" s="11">
        <f t="shared" si="182"/>
        <v>0</v>
      </c>
      <c r="V550" s="11" t="str">
        <f>VLOOKUP(C550,Referencias!$A$2:$B$33,2,1)</f>
        <v>21 - 22</v>
      </c>
      <c r="W550" s="23">
        <f t="shared" si="191"/>
        <v>2.3611111111111138E-2</v>
      </c>
      <c r="X550" s="11">
        <f t="shared" si="183"/>
        <v>12.34</v>
      </c>
      <c r="Y550" s="11">
        <f t="shared" si="195"/>
        <v>21.791616941831091</v>
      </c>
      <c r="Z550" s="24">
        <f t="shared" si="190"/>
        <v>6.13</v>
      </c>
      <c r="AA550" s="25">
        <f t="shared" si="196"/>
        <v>10.817647058823518</v>
      </c>
      <c r="AB550" s="24">
        <f t="shared" si="184"/>
        <v>1</v>
      </c>
      <c r="AC550" s="24">
        <f t="shared" si="185"/>
        <v>4.0160585704632794</v>
      </c>
      <c r="AD550" s="24">
        <f t="shared" si="186"/>
        <v>4.8657588877506992</v>
      </c>
      <c r="AE550" s="24">
        <f t="shared" si="187"/>
        <v>5.7691056286069475</v>
      </c>
      <c r="AF550" s="119" t="str">
        <f>VLOOKUP(P550*1,Referencias!$G:$H,2,0)</f>
        <v>ter</v>
      </c>
      <c r="BF550"/>
      <c r="BG550"/>
    </row>
    <row r="551" spans="1:59" ht="14.4" x14ac:dyDescent="0.3">
      <c r="A551" s="163"/>
      <c r="B551" s="164"/>
      <c r="C551" s="134">
        <v>0.9243055555555556</v>
      </c>
      <c r="D551" s="165"/>
      <c r="E551" s="165"/>
      <c r="F551" s="165"/>
      <c r="G551" s="166"/>
      <c r="H551" s="167"/>
      <c r="I551" s="165"/>
      <c r="N551" s="7" t="str">
        <f t="shared" si="192"/>
        <v>#LI5NCRWZT </v>
      </c>
      <c r="O551" s="7">
        <f t="shared" si="180"/>
        <v>0</v>
      </c>
      <c r="P551" s="21">
        <f t="shared" si="188"/>
        <v>43249</v>
      </c>
      <c r="Q551" s="22">
        <f>VLOOKUP(R551,Referencias!$D$1:$E$13,2,0)</f>
        <v>5</v>
      </c>
      <c r="R551" s="7" t="str">
        <f t="shared" si="193"/>
        <v>MAI</v>
      </c>
      <c r="S551" s="7">
        <f t="shared" si="181"/>
        <v>0</v>
      </c>
      <c r="T551" s="11">
        <f t="shared" si="194"/>
        <v>29</v>
      </c>
      <c r="U551" s="11">
        <f t="shared" si="182"/>
        <v>0</v>
      </c>
      <c r="V551" s="11" t="str">
        <f>VLOOKUP(C551,Referencias!$A$2:$B$33,2,1)</f>
        <v>22 - 23</v>
      </c>
      <c r="W551" s="23" t="str">
        <f t="shared" si="191"/>
        <v/>
      </c>
      <c r="X551" s="11">
        <f t="shared" si="183"/>
        <v>0</v>
      </c>
      <c r="Y551" s="11">
        <f t="shared" si="195"/>
        <v>0</v>
      </c>
      <c r="Z551" s="24">
        <f t="shared" si="190"/>
        <v>0</v>
      </c>
      <c r="AA551" s="25">
        <f t="shared" si="196"/>
        <v>0</v>
      </c>
      <c r="AB551" s="24">
        <f t="shared" si="184"/>
        <v>0</v>
      </c>
      <c r="AC551" s="24">
        <f t="shared" si="185"/>
        <v>0</v>
      </c>
      <c r="AD551" s="24">
        <f t="shared" si="186"/>
        <v>0</v>
      </c>
      <c r="AE551" s="24">
        <f t="shared" si="187"/>
        <v>0</v>
      </c>
      <c r="AF551" s="119" t="str">
        <f>VLOOKUP(P551*1,Referencias!$G:$H,2,0)</f>
        <v>ter</v>
      </c>
      <c r="BF551"/>
      <c r="BG551"/>
    </row>
    <row r="552" spans="1:59" ht="15" thickBot="1" x14ac:dyDescent="0.35">
      <c r="A552" s="172"/>
      <c r="B552" s="172"/>
      <c r="C552" s="172"/>
      <c r="D552" s="172"/>
      <c r="E552" s="172"/>
      <c r="F552" s="172"/>
      <c r="G552" s="172"/>
      <c r="H552" s="172"/>
      <c r="I552" s="172"/>
      <c r="N552" s="7" t="str">
        <f t="shared" si="192"/>
        <v>#LI5NCRWZT </v>
      </c>
      <c r="O552" s="7">
        <f t="shared" si="180"/>
        <v>0</v>
      </c>
      <c r="P552" s="21">
        <f t="shared" si="188"/>
        <v>43249</v>
      </c>
      <c r="Q552" s="22">
        <f>VLOOKUP(R552,Referencias!$D$1:$E$13,2,0)</f>
        <v>5</v>
      </c>
      <c r="R552" s="7" t="str">
        <f t="shared" si="193"/>
        <v>MAI</v>
      </c>
      <c r="S552" s="7">
        <f t="shared" si="181"/>
        <v>0</v>
      </c>
      <c r="T552" s="11">
        <f t="shared" si="194"/>
        <v>29</v>
      </c>
      <c r="U552" s="11">
        <f t="shared" si="182"/>
        <v>0</v>
      </c>
      <c r="V552" s="11" t="e">
        <f>VLOOKUP(C552,Referencias!$A$2:$B$33,2,1)</f>
        <v>#N/A</v>
      </c>
      <c r="W552" s="23" t="str">
        <f t="shared" si="191"/>
        <v/>
      </c>
      <c r="X552" s="11">
        <f t="shared" si="183"/>
        <v>0</v>
      </c>
      <c r="Y552" s="11">
        <f t="shared" si="195"/>
        <v>0</v>
      </c>
      <c r="Z552" s="24">
        <f t="shared" si="190"/>
        <v>0</v>
      </c>
      <c r="AA552" s="25">
        <f t="shared" si="196"/>
        <v>0</v>
      </c>
      <c r="AB552" s="24">
        <f t="shared" si="184"/>
        <v>0</v>
      </c>
      <c r="AC552" s="24">
        <f t="shared" si="185"/>
        <v>0</v>
      </c>
      <c r="AD552" s="24">
        <f t="shared" si="186"/>
        <v>0</v>
      </c>
      <c r="AE552" s="24">
        <f t="shared" si="187"/>
        <v>0</v>
      </c>
      <c r="AF552" s="119" t="str">
        <f>VLOOKUP(P552*1,Referencias!$G:$H,2,0)</f>
        <v>ter</v>
      </c>
      <c r="BF552"/>
      <c r="BG552"/>
    </row>
    <row r="553" spans="1:59" ht="14.4" x14ac:dyDescent="0.3">
      <c r="A553" s="147">
        <v>30</v>
      </c>
      <c r="B553" s="168" t="s">
        <v>405</v>
      </c>
      <c r="C553" s="134">
        <v>0.50208333333333333</v>
      </c>
      <c r="D553" s="169">
        <v>7.28</v>
      </c>
      <c r="E553" s="169" t="s">
        <v>17</v>
      </c>
      <c r="F553" s="169"/>
      <c r="G553" s="170">
        <v>4.04</v>
      </c>
      <c r="H553" s="171">
        <v>54.5</v>
      </c>
      <c r="I553" s="169"/>
      <c r="N553" s="7" t="str">
        <f t="shared" si="192"/>
        <v>#LIL2LC8WQ </v>
      </c>
      <c r="O553" s="7" t="str">
        <f t="shared" si="180"/>
        <v>#LIL2LC8WQ </v>
      </c>
      <c r="P553" s="21">
        <f t="shared" si="188"/>
        <v>43250</v>
      </c>
      <c r="Q553" s="22">
        <f>VLOOKUP(R553,Referencias!$D$1:$E$13,2,0)</f>
        <v>5</v>
      </c>
      <c r="R553" s="7" t="str">
        <f t="shared" si="193"/>
        <v>MAI</v>
      </c>
      <c r="S553" s="7" t="str">
        <f t="shared" si="181"/>
        <v>MAI</v>
      </c>
      <c r="T553" s="11">
        <f t="shared" si="194"/>
        <v>30</v>
      </c>
      <c r="U553" s="11">
        <f t="shared" si="182"/>
        <v>30</v>
      </c>
      <c r="V553" s="11" t="str">
        <f>VLOOKUP(C553,Referencias!$A$2:$B$33,2,1)</f>
        <v>12 - 13</v>
      </c>
      <c r="W553" s="23">
        <f t="shared" si="191"/>
        <v>2.777777777777779E-2</v>
      </c>
      <c r="X553" s="11">
        <f t="shared" si="183"/>
        <v>7.28</v>
      </c>
      <c r="Y553" s="11">
        <f t="shared" si="195"/>
        <v>12.855994435699381</v>
      </c>
      <c r="Z553" s="24">
        <f t="shared" si="190"/>
        <v>4.04</v>
      </c>
      <c r="AA553" s="25">
        <f t="shared" si="196"/>
        <v>6.0599999999999969</v>
      </c>
      <c r="AB553" s="24">
        <f t="shared" si="184"/>
        <v>1</v>
      </c>
      <c r="AC553" s="24">
        <f t="shared" si="185"/>
        <v>2.6467987968469253</v>
      </c>
      <c r="AD553" s="24">
        <f t="shared" si="186"/>
        <v>3.2067970483707708</v>
      </c>
      <c r="AE553" s="24">
        <f t="shared" si="187"/>
        <v>3.8021511810068627</v>
      </c>
      <c r="AF553" s="119" t="str">
        <f>VLOOKUP(P553*1,Referencias!$G:$H,2,0)</f>
        <v>qua</v>
      </c>
      <c r="BF553"/>
      <c r="BG553"/>
    </row>
    <row r="554" spans="1:59" ht="14.4" x14ac:dyDescent="0.3">
      <c r="A554" s="147" t="s">
        <v>19</v>
      </c>
      <c r="B554" s="164"/>
      <c r="C554" s="134">
        <v>0.52986111111111112</v>
      </c>
      <c r="D554" s="165"/>
      <c r="E554" s="165"/>
      <c r="F554" s="165"/>
      <c r="G554" s="166"/>
      <c r="H554" s="167"/>
      <c r="I554" s="165"/>
      <c r="N554" s="7" t="str">
        <f t="shared" si="192"/>
        <v>#LIL2LC8WQ </v>
      </c>
      <c r="O554" s="7">
        <f t="shared" si="180"/>
        <v>0</v>
      </c>
      <c r="P554" s="21">
        <f t="shared" si="188"/>
        <v>43250</v>
      </c>
      <c r="Q554" s="22">
        <f>VLOOKUP(R554,Referencias!$D$1:$E$13,2,0)</f>
        <v>5</v>
      </c>
      <c r="R554" s="7" t="str">
        <f t="shared" si="193"/>
        <v>MAI</v>
      </c>
      <c r="S554" s="7">
        <f t="shared" si="181"/>
        <v>0</v>
      </c>
      <c r="T554" s="11">
        <f t="shared" si="194"/>
        <v>30</v>
      </c>
      <c r="U554" s="11">
        <f t="shared" si="182"/>
        <v>0</v>
      </c>
      <c r="V554" s="11" t="str">
        <f>VLOOKUP(C554,Referencias!$A$2:$B$33,2,1)</f>
        <v>12 - 13</v>
      </c>
      <c r="W554" s="23" t="str">
        <f t="shared" si="191"/>
        <v/>
      </c>
      <c r="X554" s="11">
        <f t="shared" si="183"/>
        <v>0</v>
      </c>
      <c r="Y554" s="11">
        <f t="shared" si="195"/>
        <v>0</v>
      </c>
      <c r="Z554" s="24">
        <f t="shared" si="190"/>
        <v>0</v>
      </c>
      <c r="AA554" s="25">
        <f t="shared" si="196"/>
        <v>0</v>
      </c>
      <c r="AB554" s="24">
        <f t="shared" si="184"/>
        <v>0</v>
      </c>
      <c r="AC554" s="24">
        <f t="shared" si="185"/>
        <v>0</v>
      </c>
      <c r="AD554" s="24">
        <f t="shared" si="186"/>
        <v>0</v>
      </c>
      <c r="AE554" s="24">
        <f t="shared" si="187"/>
        <v>0</v>
      </c>
      <c r="AF554" s="119" t="str">
        <f>VLOOKUP(P554*1,Referencias!$G:$H,2,0)</f>
        <v>qua</v>
      </c>
      <c r="BF554"/>
      <c r="BG554"/>
    </row>
    <row r="555" spans="1:59" ht="14.4" x14ac:dyDescent="0.3">
      <c r="A555" s="161"/>
      <c r="B555" s="161"/>
      <c r="C555" s="161"/>
      <c r="D555" s="161"/>
      <c r="E555" s="161"/>
      <c r="F555" s="161"/>
      <c r="G555" s="161"/>
      <c r="H555" s="161"/>
      <c r="I555" s="161"/>
      <c r="N555" s="7" t="str">
        <f t="shared" si="192"/>
        <v>#LIL2LC8WQ </v>
      </c>
      <c r="O555" s="7">
        <f t="shared" si="180"/>
        <v>0</v>
      </c>
      <c r="P555" s="21">
        <f t="shared" si="188"/>
        <v>43250</v>
      </c>
      <c r="Q555" s="22">
        <f>VLOOKUP(R555,Referencias!$D$1:$E$13,2,0)</f>
        <v>5</v>
      </c>
      <c r="R555" s="7" t="str">
        <f t="shared" si="193"/>
        <v>MAI</v>
      </c>
      <c r="S555" s="7">
        <f t="shared" si="181"/>
        <v>0</v>
      </c>
      <c r="T555" s="11">
        <f t="shared" si="194"/>
        <v>30</v>
      </c>
      <c r="U555" s="11">
        <f t="shared" si="182"/>
        <v>0</v>
      </c>
      <c r="V555" s="11" t="e">
        <f>VLOOKUP(C555,Referencias!$A$2:$B$33,2,1)</f>
        <v>#N/A</v>
      </c>
      <c r="W555" s="23" t="str">
        <f t="shared" si="191"/>
        <v/>
      </c>
      <c r="X555" s="11">
        <f t="shared" si="183"/>
        <v>0</v>
      </c>
      <c r="Y555" s="11">
        <f t="shared" si="195"/>
        <v>0</v>
      </c>
      <c r="Z555" s="24">
        <f t="shared" si="190"/>
        <v>0</v>
      </c>
      <c r="AA555" s="25">
        <f t="shared" si="196"/>
        <v>0</v>
      </c>
      <c r="AB555" s="24">
        <f t="shared" si="184"/>
        <v>0</v>
      </c>
      <c r="AC555" s="24">
        <f t="shared" si="185"/>
        <v>0</v>
      </c>
      <c r="AD555" s="24">
        <f t="shared" si="186"/>
        <v>0</v>
      </c>
      <c r="AE555" s="24">
        <f t="shared" si="187"/>
        <v>0</v>
      </c>
      <c r="AF555" s="119" t="str">
        <f>VLOOKUP(P555*1,Referencias!$G:$H,2,0)</f>
        <v>qua</v>
      </c>
      <c r="BF555"/>
      <c r="BG555"/>
    </row>
    <row r="556" spans="1:59" ht="14.4" x14ac:dyDescent="0.3">
      <c r="A556" s="162"/>
      <c r="B556" s="162"/>
      <c r="C556" s="162"/>
      <c r="D556" s="162"/>
      <c r="E556" s="162"/>
      <c r="F556" s="162"/>
      <c r="G556" s="162"/>
      <c r="H556" s="162"/>
      <c r="I556" s="162"/>
      <c r="N556" s="7" t="str">
        <f t="shared" si="192"/>
        <v>#LIL2LC8WQ </v>
      </c>
      <c r="O556" s="7">
        <f t="shared" si="180"/>
        <v>0</v>
      </c>
      <c r="P556" s="21">
        <f t="shared" si="188"/>
        <v>43250</v>
      </c>
      <c r="Q556" s="22">
        <f>VLOOKUP(R556,Referencias!$D$1:$E$13,2,0)</f>
        <v>5</v>
      </c>
      <c r="R556" s="7" t="str">
        <f t="shared" si="193"/>
        <v>MAI</v>
      </c>
      <c r="S556" s="7">
        <f t="shared" si="181"/>
        <v>0</v>
      </c>
      <c r="T556" s="11">
        <f t="shared" si="194"/>
        <v>30</v>
      </c>
      <c r="U556" s="11">
        <f t="shared" si="182"/>
        <v>0</v>
      </c>
      <c r="V556" s="11" t="e">
        <f>VLOOKUP(C556,Referencias!$A$2:$B$33,2,1)</f>
        <v>#N/A</v>
      </c>
      <c r="W556" s="23" t="str">
        <f t="shared" si="191"/>
        <v/>
      </c>
      <c r="X556" s="11">
        <f t="shared" si="183"/>
        <v>0</v>
      </c>
      <c r="Y556" s="11">
        <f t="shared" si="195"/>
        <v>0</v>
      </c>
      <c r="Z556" s="24">
        <f t="shared" si="190"/>
        <v>0</v>
      </c>
      <c r="AA556" s="25">
        <f t="shared" si="196"/>
        <v>0</v>
      </c>
      <c r="AB556" s="24">
        <f t="shared" si="184"/>
        <v>0</v>
      </c>
      <c r="AC556" s="24">
        <f t="shared" si="185"/>
        <v>0</v>
      </c>
      <c r="AD556" s="24">
        <f t="shared" si="186"/>
        <v>0</v>
      </c>
      <c r="AE556" s="24">
        <f t="shared" si="187"/>
        <v>0</v>
      </c>
      <c r="AF556" s="119" t="str">
        <f>VLOOKUP(P556*1,Referencias!$G:$H,2,0)</f>
        <v>qua</v>
      </c>
      <c r="BF556"/>
      <c r="BG556"/>
    </row>
    <row r="557" spans="1:59" ht="14.4" x14ac:dyDescent="0.3">
      <c r="A557" s="163"/>
      <c r="B557" s="164" t="s">
        <v>406</v>
      </c>
      <c r="C557" s="134">
        <v>0.52986111111111112</v>
      </c>
      <c r="D557" s="165">
        <v>5.23</v>
      </c>
      <c r="E557" s="165" t="s">
        <v>36</v>
      </c>
      <c r="F557" s="149">
        <v>0.99</v>
      </c>
      <c r="G557" s="166">
        <v>4.32</v>
      </c>
      <c r="H557" s="167">
        <v>58.82</v>
      </c>
      <c r="I557" s="165"/>
      <c r="N557" s="7" t="str">
        <f t="shared" si="192"/>
        <v>#LIEV1PAUV </v>
      </c>
      <c r="O557" s="7" t="str">
        <f t="shared" si="180"/>
        <v>#LIEV1PAUV </v>
      </c>
      <c r="P557" s="21">
        <f t="shared" si="188"/>
        <v>43250</v>
      </c>
      <c r="Q557" s="22">
        <f>VLOOKUP(R557,Referencias!$D$1:$E$13,2,0)</f>
        <v>5</v>
      </c>
      <c r="R557" s="7" t="str">
        <f t="shared" si="193"/>
        <v>MAI</v>
      </c>
      <c r="S557" s="7">
        <f t="shared" si="181"/>
        <v>0</v>
      </c>
      <c r="T557" s="11">
        <f t="shared" si="194"/>
        <v>30</v>
      </c>
      <c r="U557" s="11">
        <f t="shared" si="182"/>
        <v>0</v>
      </c>
      <c r="V557" s="11" t="str">
        <f>VLOOKUP(C557,Referencias!$A$2:$B$33,2,1)</f>
        <v>12 - 13</v>
      </c>
      <c r="W557" s="23">
        <f t="shared" si="191"/>
        <v>1.5972222222222165E-2</v>
      </c>
      <c r="X557" s="11">
        <f t="shared" si="183"/>
        <v>5.23</v>
      </c>
      <c r="Y557" s="11">
        <f t="shared" si="195"/>
        <v>9.2358311674049123</v>
      </c>
      <c r="Z557" s="24">
        <f t="shared" si="190"/>
        <v>4.32</v>
      </c>
      <c r="AA557" s="25">
        <f t="shared" si="196"/>
        <v>11.269565217391348</v>
      </c>
      <c r="AB557" s="24">
        <f t="shared" si="184"/>
        <v>1</v>
      </c>
      <c r="AC557" s="24">
        <f t="shared" si="185"/>
        <v>2.8302402976184942</v>
      </c>
      <c r="AD557" s="24">
        <f t="shared" si="186"/>
        <v>3.4290503091489435</v>
      </c>
      <c r="AE557" s="24">
        <f t="shared" si="187"/>
        <v>4.0656666093934772</v>
      </c>
      <c r="AF557" s="119" t="str">
        <f>VLOOKUP(P557*1,Referencias!$G:$H,2,0)</f>
        <v>qua</v>
      </c>
      <c r="BF557"/>
      <c r="BG557"/>
    </row>
    <row r="558" spans="1:59" ht="20.399999999999999" x14ac:dyDescent="0.3">
      <c r="A558" s="163"/>
      <c r="B558" s="164"/>
      <c r="C558" s="134">
        <v>0.54583333333333328</v>
      </c>
      <c r="D558" s="165"/>
      <c r="E558" s="165"/>
      <c r="F558" s="145" t="s">
        <v>236</v>
      </c>
      <c r="G558" s="166"/>
      <c r="H558" s="167"/>
      <c r="I558" s="165"/>
      <c r="N558" s="7" t="str">
        <f t="shared" si="192"/>
        <v>#LIEV1PAUV </v>
      </c>
      <c r="O558" s="7">
        <f t="shared" si="180"/>
        <v>0</v>
      </c>
      <c r="P558" s="21">
        <f t="shared" si="188"/>
        <v>43250</v>
      </c>
      <c r="Q558" s="22">
        <f>VLOOKUP(R558,Referencias!$D$1:$E$13,2,0)</f>
        <v>5</v>
      </c>
      <c r="R558" s="7" t="str">
        <f t="shared" si="193"/>
        <v>MAI</v>
      </c>
      <c r="S558" s="7">
        <f t="shared" si="181"/>
        <v>0</v>
      </c>
      <c r="T558" s="11">
        <f t="shared" si="194"/>
        <v>30</v>
      </c>
      <c r="U558" s="11">
        <f t="shared" si="182"/>
        <v>0</v>
      </c>
      <c r="V558" s="11" t="str">
        <f>VLOOKUP(C558,Referencias!$A$2:$B$33,2,1)</f>
        <v>13 - 14</v>
      </c>
      <c r="W558" s="23" t="str">
        <f t="shared" si="191"/>
        <v/>
      </c>
      <c r="X558" s="11">
        <f t="shared" si="183"/>
        <v>0</v>
      </c>
      <c r="Y558" s="11">
        <f t="shared" si="195"/>
        <v>0</v>
      </c>
      <c r="Z558" s="24">
        <f t="shared" si="190"/>
        <v>0</v>
      </c>
      <c r="AA558" s="25">
        <f t="shared" si="196"/>
        <v>0</v>
      </c>
      <c r="AB558" s="24">
        <f t="shared" si="184"/>
        <v>0</v>
      </c>
      <c r="AC558" s="24">
        <f t="shared" si="185"/>
        <v>0</v>
      </c>
      <c r="AD558" s="24">
        <f t="shared" si="186"/>
        <v>0</v>
      </c>
      <c r="AE558" s="24">
        <f t="shared" si="187"/>
        <v>0</v>
      </c>
      <c r="AF558" s="119" t="str">
        <f>VLOOKUP(P558*1,Referencias!$G:$H,2,0)</f>
        <v>qua</v>
      </c>
      <c r="BF558"/>
      <c r="BG558"/>
    </row>
    <row r="559" spans="1:59" ht="14.4" x14ac:dyDescent="0.3">
      <c r="A559" s="161"/>
      <c r="B559" s="161"/>
      <c r="C559" s="161"/>
      <c r="D559" s="161"/>
      <c r="E559" s="161"/>
      <c r="F559" s="161"/>
      <c r="G559" s="161"/>
      <c r="H559" s="161"/>
      <c r="I559" s="161"/>
      <c r="N559" s="7" t="str">
        <f t="shared" si="192"/>
        <v>#LIEV1PAUV </v>
      </c>
      <c r="O559" s="7">
        <f t="shared" si="180"/>
        <v>0</v>
      </c>
      <c r="P559" s="21">
        <f t="shared" si="188"/>
        <v>43250</v>
      </c>
      <c r="Q559" s="22">
        <f>VLOOKUP(R559,Referencias!$D$1:$E$13,2,0)</f>
        <v>5</v>
      </c>
      <c r="R559" s="7" t="str">
        <f t="shared" si="193"/>
        <v>MAI</v>
      </c>
      <c r="S559" s="7">
        <f t="shared" si="181"/>
        <v>0</v>
      </c>
      <c r="T559" s="11">
        <f t="shared" si="194"/>
        <v>30</v>
      </c>
      <c r="U559" s="11">
        <f t="shared" si="182"/>
        <v>0</v>
      </c>
      <c r="V559" s="11" t="e">
        <f>VLOOKUP(C559,Referencias!$A$2:$B$33,2,1)</f>
        <v>#N/A</v>
      </c>
      <c r="W559" s="23" t="str">
        <f t="shared" si="191"/>
        <v/>
      </c>
      <c r="X559" s="11">
        <f t="shared" si="183"/>
        <v>0</v>
      </c>
      <c r="Y559" s="11">
        <f t="shared" si="195"/>
        <v>0</v>
      </c>
      <c r="Z559" s="24">
        <f t="shared" si="190"/>
        <v>0</v>
      </c>
      <c r="AA559" s="25">
        <f t="shared" si="196"/>
        <v>0</v>
      </c>
      <c r="AB559" s="24">
        <f t="shared" si="184"/>
        <v>0</v>
      </c>
      <c r="AC559" s="24">
        <f t="shared" si="185"/>
        <v>0</v>
      </c>
      <c r="AD559" s="24">
        <f t="shared" si="186"/>
        <v>0</v>
      </c>
      <c r="AE559" s="24">
        <f t="shared" si="187"/>
        <v>0</v>
      </c>
      <c r="AF559" s="119" t="str">
        <f>VLOOKUP(P559*1,Referencias!$G:$H,2,0)</f>
        <v>qua</v>
      </c>
      <c r="BF559"/>
      <c r="BG559"/>
    </row>
    <row r="560" spans="1:59" ht="14.4" x14ac:dyDescent="0.3">
      <c r="A560" s="162"/>
      <c r="B560" s="162"/>
      <c r="C560" s="162"/>
      <c r="D560" s="162"/>
      <c r="E560" s="162"/>
      <c r="F560" s="162"/>
      <c r="G560" s="162"/>
      <c r="H560" s="162"/>
      <c r="I560" s="162"/>
      <c r="N560" s="7" t="str">
        <f t="shared" si="192"/>
        <v>#LIEV1PAUV </v>
      </c>
      <c r="O560" s="7">
        <f t="shared" si="180"/>
        <v>0</v>
      </c>
      <c r="P560" s="21">
        <f t="shared" si="188"/>
        <v>43250</v>
      </c>
      <c r="Q560" s="22">
        <f>VLOOKUP(R560,Referencias!$D$1:$E$13,2,0)</f>
        <v>5</v>
      </c>
      <c r="R560" s="7" t="str">
        <f t="shared" si="193"/>
        <v>MAI</v>
      </c>
      <c r="S560" s="7">
        <f t="shared" si="181"/>
        <v>0</v>
      </c>
      <c r="T560" s="11">
        <f t="shared" si="194"/>
        <v>30</v>
      </c>
      <c r="U560" s="11">
        <f t="shared" si="182"/>
        <v>0</v>
      </c>
      <c r="V560" s="11" t="e">
        <f>VLOOKUP(C560,Referencias!$A$2:$B$33,2,1)</f>
        <v>#N/A</v>
      </c>
      <c r="W560" s="23" t="str">
        <f t="shared" si="191"/>
        <v/>
      </c>
      <c r="X560" s="11">
        <f t="shared" si="183"/>
        <v>0</v>
      </c>
      <c r="Y560" s="11">
        <f t="shared" si="195"/>
        <v>0</v>
      </c>
      <c r="Z560" s="24">
        <f t="shared" si="190"/>
        <v>0</v>
      </c>
      <c r="AA560" s="25">
        <f t="shared" si="196"/>
        <v>0</v>
      </c>
      <c r="AB560" s="24">
        <f t="shared" si="184"/>
        <v>0</v>
      </c>
      <c r="AC560" s="24">
        <f t="shared" si="185"/>
        <v>0</v>
      </c>
      <c r="AD560" s="24">
        <f t="shared" si="186"/>
        <v>0</v>
      </c>
      <c r="AE560" s="24">
        <f t="shared" si="187"/>
        <v>0</v>
      </c>
      <c r="AF560" s="119" t="str">
        <f>VLOOKUP(P560*1,Referencias!$G:$H,2,0)</f>
        <v>qua</v>
      </c>
      <c r="BF560"/>
      <c r="BG560"/>
    </row>
    <row r="561" spans="1:59" ht="14.4" x14ac:dyDescent="0.3">
      <c r="A561" s="163"/>
      <c r="B561" s="164" t="s">
        <v>407</v>
      </c>
      <c r="C561" s="134">
        <v>0.54583333333333328</v>
      </c>
      <c r="D561" s="165">
        <v>3.81</v>
      </c>
      <c r="E561" s="165" t="s">
        <v>36</v>
      </c>
      <c r="F561" s="165"/>
      <c r="G561" s="166">
        <v>2.83</v>
      </c>
      <c r="H561" s="167">
        <v>61.65</v>
      </c>
      <c r="I561" s="165"/>
      <c r="N561" s="7" t="str">
        <f t="shared" si="192"/>
        <v>#LIA4FV9AQ </v>
      </c>
      <c r="O561" s="7" t="str">
        <f t="shared" si="180"/>
        <v>#LIA4FV9AQ </v>
      </c>
      <c r="P561" s="21">
        <f t="shared" si="188"/>
        <v>43250</v>
      </c>
      <c r="Q561" s="22">
        <f>VLOOKUP(R561,Referencias!$D$1:$E$13,2,0)</f>
        <v>5</v>
      </c>
      <c r="R561" s="7" t="str">
        <f t="shared" si="193"/>
        <v>MAI</v>
      </c>
      <c r="S561" s="7">
        <f t="shared" si="181"/>
        <v>0</v>
      </c>
      <c r="T561" s="11">
        <f t="shared" si="194"/>
        <v>30</v>
      </c>
      <c r="U561" s="11">
        <f t="shared" si="182"/>
        <v>0</v>
      </c>
      <c r="V561" s="11" t="str">
        <f>VLOOKUP(C561,Referencias!$A$2:$B$33,2,1)</f>
        <v>13 - 14</v>
      </c>
      <c r="W561" s="23">
        <f t="shared" si="191"/>
        <v>1.8750000000000044E-2</v>
      </c>
      <c r="X561" s="11">
        <f t="shared" si="183"/>
        <v>3.81</v>
      </c>
      <c r="Y561" s="11">
        <f t="shared" si="195"/>
        <v>6.72820587912289</v>
      </c>
      <c r="Z561" s="24">
        <f t="shared" si="190"/>
        <v>2.83</v>
      </c>
      <c r="AA561" s="25">
        <f t="shared" si="196"/>
        <v>6.2888888888888745</v>
      </c>
      <c r="AB561" s="24">
        <f t="shared" si="184"/>
        <v>1</v>
      </c>
      <c r="AC561" s="24">
        <f t="shared" si="185"/>
        <v>1.8540694542269303</v>
      </c>
      <c r="AD561" s="24">
        <f t="shared" si="186"/>
        <v>2.2463454571508126</v>
      </c>
      <c r="AE561" s="24">
        <f t="shared" si="187"/>
        <v>2.663388079764708</v>
      </c>
      <c r="AF561" s="119" t="str">
        <f>VLOOKUP(P561*1,Referencias!$G:$H,2,0)</f>
        <v>qua</v>
      </c>
      <c r="BF561"/>
      <c r="BG561"/>
    </row>
    <row r="562" spans="1:59" ht="14.4" x14ac:dyDescent="0.3">
      <c r="A562" s="163"/>
      <c r="B562" s="164"/>
      <c r="C562" s="134">
        <v>0.56458333333333333</v>
      </c>
      <c r="D562" s="165"/>
      <c r="E562" s="165"/>
      <c r="F562" s="165"/>
      <c r="G562" s="166"/>
      <c r="H562" s="167"/>
      <c r="I562" s="165"/>
      <c r="N562" s="7" t="str">
        <f t="shared" si="192"/>
        <v>#LIA4FV9AQ </v>
      </c>
      <c r="O562" s="7">
        <f t="shared" si="180"/>
        <v>0</v>
      </c>
      <c r="P562" s="21">
        <f t="shared" si="188"/>
        <v>43250</v>
      </c>
      <c r="Q562" s="22">
        <f>VLOOKUP(R562,Referencias!$D$1:$E$13,2,0)</f>
        <v>5</v>
      </c>
      <c r="R562" s="7" t="str">
        <f t="shared" si="193"/>
        <v>MAI</v>
      </c>
      <c r="S562" s="7">
        <f t="shared" si="181"/>
        <v>0</v>
      </c>
      <c r="T562" s="11">
        <f t="shared" si="194"/>
        <v>30</v>
      </c>
      <c r="U562" s="11">
        <f t="shared" si="182"/>
        <v>0</v>
      </c>
      <c r="V562" s="11" t="str">
        <f>VLOOKUP(C562,Referencias!$A$2:$B$33,2,1)</f>
        <v>13 - 14</v>
      </c>
      <c r="W562" s="23" t="str">
        <f t="shared" si="191"/>
        <v/>
      </c>
      <c r="X562" s="11">
        <f t="shared" si="183"/>
        <v>0</v>
      </c>
      <c r="Y562" s="11">
        <f t="shared" si="195"/>
        <v>0</v>
      </c>
      <c r="Z562" s="24">
        <f t="shared" si="190"/>
        <v>0</v>
      </c>
      <c r="AA562" s="25">
        <f t="shared" si="196"/>
        <v>0</v>
      </c>
      <c r="AB562" s="24">
        <f t="shared" si="184"/>
        <v>0</v>
      </c>
      <c r="AC562" s="24">
        <f t="shared" si="185"/>
        <v>0</v>
      </c>
      <c r="AD562" s="24">
        <f t="shared" si="186"/>
        <v>0</v>
      </c>
      <c r="AE562" s="24">
        <f t="shared" si="187"/>
        <v>0</v>
      </c>
      <c r="AF562" s="119" t="str">
        <f>VLOOKUP(P562*1,Referencias!$G:$H,2,0)</f>
        <v>qua</v>
      </c>
      <c r="BF562"/>
      <c r="BG562"/>
    </row>
    <row r="563" spans="1:59" ht="14.4" x14ac:dyDescent="0.3">
      <c r="A563" s="161"/>
      <c r="B563" s="161"/>
      <c r="C563" s="161"/>
      <c r="D563" s="161"/>
      <c r="E563" s="161"/>
      <c r="F563" s="161"/>
      <c r="G563" s="161"/>
      <c r="H563" s="161"/>
      <c r="I563" s="161"/>
      <c r="N563" s="7" t="str">
        <f t="shared" si="192"/>
        <v>#LIA4FV9AQ </v>
      </c>
      <c r="O563" s="7">
        <f t="shared" si="180"/>
        <v>0</v>
      </c>
      <c r="P563" s="21">
        <f t="shared" si="188"/>
        <v>43250</v>
      </c>
      <c r="Q563" s="22">
        <f>VLOOKUP(R563,Referencias!$D$1:$E$13,2,0)</f>
        <v>5</v>
      </c>
      <c r="R563" s="7" t="str">
        <f t="shared" si="193"/>
        <v>MAI</v>
      </c>
      <c r="S563" s="7">
        <f t="shared" si="181"/>
        <v>0</v>
      </c>
      <c r="T563" s="11">
        <f t="shared" si="194"/>
        <v>30</v>
      </c>
      <c r="U563" s="11">
        <f t="shared" si="182"/>
        <v>0</v>
      </c>
      <c r="V563" s="11" t="e">
        <f>VLOOKUP(C563,Referencias!$A$2:$B$33,2,1)</f>
        <v>#N/A</v>
      </c>
      <c r="W563" s="23" t="str">
        <f t="shared" si="191"/>
        <v/>
      </c>
      <c r="X563" s="11">
        <f t="shared" si="183"/>
        <v>0</v>
      </c>
      <c r="Y563" s="11">
        <f t="shared" si="195"/>
        <v>0</v>
      </c>
      <c r="Z563" s="24">
        <f t="shared" si="190"/>
        <v>0</v>
      </c>
      <c r="AA563" s="25">
        <f t="shared" si="196"/>
        <v>0</v>
      </c>
      <c r="AB563" s="24">
        <f t="shared" si="184"/>
        <v>0</v>
      </c>
      <c r="AC563" s="24">
        <f t="shared" si="185"/>
        <v>0</v>
      </c>
      <c r="AD563" s="24">
        <f t="shared" si="186"/>
        <v>0</v>
      </c>
      <c r="AE563" s="24">
        <f t="shared" si="187"/>
        <v>0</v>
      </c>
      <c r="AF563" s="119" t="str">
        <f>VLOOKUP(P563*1,Referencias!$G:$H,2,0)</f>
        <v>qua</v>
      </c>
      <c r="BF563"/>
      <c r="BG563"/>
    </row>
    <row r="564" spans="1:59" ht="14.4" x14ac:dyDescent="0.3">
      <c r="A564" s="162"/>
      <c r="B564" s="162"/>
      <c r="C564" s="162"/>
      <c r="D564" s="162"/>
      <c r="E564" s="162"/>
      <c r="F564" s="162"/>
      <c r="G564" s="162"/>
      <c r="H564" s="162"/>
      <c r="I564" s="162"/>
      <c r="N564" s="7" t="str">
        <f t="shared" si="192"/>
        <v>#LIA4FV9AQ </v>
      </c>
      <c r="O564" s="7">
        <f t="shared" si="180"/>
        <v>0</v>
      </c>
      <c r="P564" s="21">
        <f t="shared" si="188"/>
        <v>43250</v>
      </c>
      <c r="Q564" s="22">
        <f>VLOOKUP(R564,Referencias!$D$1:$E$13,2,0)</f>
        <v>5</v>
      </c>
      <c r="R564" s="7" t="str">
        <f t="shared" si="193"/>
        <v>MAI</v>
      </c>
      <c r="S564" s="7">
        <f t="shared" si="181"/>
        <v>0</v>
      </c>
      <c r="T564" s="11">
        <f t="shared" si="194"/>
        <v>30</v>
      </c>
      <c r="U564" s="11">
        <f t="shared" si="182"/>
        <v>0</v>
      </c>
      <c r="V564" s="11" t="e">
        <f>VLOOKUP(C564,Referencias!$A$2:$B$33,2,1)</f>
        <v>#N/A</v>
      </c>
      <c r="W564" s="23" t="str">
        <f t="shared" si="191"/>
        <v/>
      </c>
      <c r="X564" s="11">
        <f t="shared" si="183"/>
        <v>0</v>
      </c>
      <c r="Y564" s="11">
        <f t="shared" si="195"/>
        <v>0</v>
      </c>
      <c r="Z564" s="24">
        <f t="shared" si="190"/>
        <v>0</v>
      </c>
      <c r="AA564" s="25">
        <f t="shared" si="196"/>
        <v>0</v>
      </c>
      <c r="AB564" s="24">
        <f t="shared" si="184"/>
        <v>0</v>
      </c>
      <c r="AC564" s="24">
        <f t="shared" si="185"/>
        <v>0</v>
      </c>
      <c r="AD564" s="24">
        <f t="shared" si="186"/>
        <v>0</v>
      </c>
      <c r="AE564" s="24">
        <f t="shared" si="187"/>
        <v>0</v>
      </c>
      <c r="AF564" s="119" t="str">
        <f>VLOOKUP(P564*1,Referencias!$G:$H,2,0)</f>
        <v>qua</v>
      </c>
      <c r="BF564"/>
      <c r="BG564"/>
    </row>
    <row r="565" spans="1:59" ht="14.4" x14ac:dyDescent="0.3">
      <c r="A565" s="163"/>
      <c r="B565" s="164" t="s">
        <v>408</v>
      </c>
      <c r="C565" s="134">
        <v>0.5625</v>
      </c>
      <c r="D565" s="165">
        <v>6.79</v>
      </c>
      <c r="E565" s="165" t="s">
        <v>55</v>
      </c>
      <c r="F565" s="165"/>
      <c r="G565" s="166">
        <v>3.87</v>
      </c>
      <c r="H565" s="167">
        <v>65.52</v>
      </c>
      <c r="I565" s="165"/>
      <c r="N565" s="7" t="str">
        <f t="shared" si="192"/>
        <v>#LIUDVJDU4 </v>
      </c>
      <c r="O565" s="7" t="str">
        <f t="shared" si="180"/>
        <v>#LIUDVJDU4 </v>
      </c>
      <c r="P565" s="21">
        <f t="shared" si="188"/>
        <v>43250</v>
      </c>
      <c r="Q565" s="22">
        <f>VLOOKUP(R565,Referencias!$D$1:$E$13,2,0)</f>
        <v>5</v>
      </c>
      <c r="R565" s="7" t="str">
        <f t="shared" si="193"/>
        <v>MAI</v>
      </c>
      <c r="S565" s="7">
        <f t="shared" si="181"/>
        <v>0</v>
      </c>
      <c r="T565" s="11">
        <f t="shared" si="194"/>
        <v>30</v>
      </c>
      <c r="U565" s="11">
        <f t="shared" si="182"/>
        <v>0</v>
      </c>
      <c r="V565" s="11" t="str">
        <f>VLOOKUP(C565,Referencias!$A$2:$B$33,2,1)</f>
        <v>13 - 14</v>
      </c>
      <c r="W565" s="23">
        <f t="shared" si="191"/>
        <v>2.3611111111111138E-2</v>
      </c>
      <c r="X565" s="11">
        <f t="shared" si="183"/>
        <v>6.79</v>
      </c>
      <c r="Y565" s="11">
        <f t="shared" si="195"/>
        <v>11.990687117911921</v>
      </c>
      <c r="Z565" s="24">
        <f t="shared" si="190"/>
        <v>3.87</v>
      </c>
      <c r="AA565" s="25">
        <f t="shared" si="196"/>
        <v>6.829411764705875</v>
      </c>
      <c r="AB565" s="24">
        <f t="shared" si="184"/>
        <v>1</v>
      </c>
      <c r="AC565" s="24">
        <f t="shared" si="185"/>
        <v>2.5354235999499011</v>
      </c>
      <c r="AD565" s="24">
        <f t="shared" si="186"/>
        <v>3.0718575686125948</v>
      </c>
      <c r="AE565" s="24">
        <f t="shared" si="187"/>
        <v>3.6421596709149897</v>
      </c>
      <c r="AF565" s="119" t="str">
        <f>VLOOKUP(P565*1,Referencias!$G:$H,2,0)</f>
        <v>qua</v>
      </c>
      <c r="BF565"/>
      <c r="BG565"/>
    </row>
    <row r="566" spans="1:59" ht="14.4" x14ac:dyDescent="0.3">
      <c r="A566" s="163"/>
      <c r="B566" s="164"/>
      <c r="C566" s="134">
        <v>0.58611111111111114</v>
      </c>
      <c r="D566" s="165"/>
      <c r="E566" s="165"/>
      <c r="F566" s="165"/>
      <c r="G566" s="166"/>
      <c r="H566" s="167"/>
      <c r="I566" s="165"/>
      <c r="N566" s="7" t="str">
        <f t="shared" si="192"/>
        <v>#LIUDVJDU4 </v>
      </c>
      <c r="O566" s="7">
        <f t="shared" si="180"/>
        <v>0</v>
      </c>
      <c r="P566" s="21">
        <f t="shared" si="188"/>
        <v>43250</v>
      </c>
      <c r="Q566" s="22">
        <f>VLOOKUP(R566,Referencias!$D$1:$E$13,2,0)</f>
        <v>5</v>
      </c>
      <c r="R566" s="7" t="str">
        <f t="shared" si="193"/>
        <v>MAI</v>
      </c>
      <c r="S566" s="7">
        <f t="shared" si="181"/>
        <v>0</v>
      </c>
      <c r="T566" s="11">
        <f t="shared" si="194"/>
        <v>30</v>
      </c>
      <c r="U566" s="11">
        <f t="shared" si="182"/>
        <v>0</v>
      </c>
      <c r="V566" s="11" t="str">
        <f>VLOOKUP(C566,Referencias!$A$2:$B$33,2,1)</f>
        <v>14 - 15</v>
      </c>
      <c r="W566" s="23" t="str">
        <f t="shared" si="191"/>
        <v/>
      </c>
      <c r="X566" s="11">
        <f t="shared" si="183"/>
        <v>0</v>
      </c>
      <c r="Y566" s="11">
        <f t="shared" si="195"/>
        <v>0</v>
      </c>
      <c r="Z566" s="24">
        <f t="shared" si="190"/>
        <v>0</v>
      </c>
      <c r="AA566" s="25">
        <f t="shared" si="196"/>
        <v>0</v>
      </c>
      <c r="AB566" s="24">
        <f t="shared" si="184"/>
        <v>0</v>
      </c>
      <c r="AC566" s="24">
        <f t="shared" si="185"/>
        <v>0</v>
      </c>
      <c r="AD566" s="24">
        <f t="shared" si="186"/>
        <v>0</v>
      </c>
      <c r="AE566" s="24">
        <f t="shared" si="187"/>
        <v>0</v>
      </c>
      <c r="AF566" s="119" t="str">
        <f>VLOOKUP(P566*1,Referencias!$G:$H,2,0)</f>
        <v>qua</v>
      </c>
      <c r="BF566"/>
      <c r="BG566"/>
    </row>
    <row r="567" spans="1:59" ht="14.4" x14ac:dyDescent="0.3">
      <c r="A567" s="161"/>
      <c r="B567" s="161"/>
      <c r="C567" s="161"/>
      <c r="D567" s="161"/>
      <c r="E567" s="161"/>
      <c r="F567" s="161"/>
      <c r="G567" s="161"/>
      <c r="H567" s="161"/>
      <c r="I567" s="161"/>
      <c r="N567" s="7" t="str">
        <f t="shared" si="192"/>
        <v>#LIUDVJDU4 </v>
      </c>
      <c r="O567" s="7">
        <f t="shared" si="180"/>
        <v>0</v>
      </c>
      <c r="P567" s="21">
        <f t="shared" si="188"/>
        <v>43250</v>
      </c>
      <c r="Q567" s="22">
        <f>VLOOKUP(R567,Referencias!$D$1:$E$13,2,0)</f>
        <v>5</v>
      </c>
      <c r="R567" s="7" t="str">
        <f t="shared" si="193"/>
        <v>MAI</v>
      </c>
      <c r="S567" s="7">
        <f t="shared" si="181"/>
        <v>0</v>
      </c>
      <c r="T567" s="11">
        <f t="shared" si="194"/>
        <v>30</v>
      </c>
      <c r="U567" s="11">
        <f t="shared" si="182"/>
        <v>0</v>
      </c>
      <c r="V567" s="11" t="e">
        <f>VLOOKUP(C567,Referencias!$A$2:$B$33,2,1)</f>
        <v>#N/A</v>
      </c>
      <c r="W567" s="23" t="str">
        <f t="shared" si="191"/>
        <v/>
      </c>
      <c r="X567" s="11">
        <f t="shared" si="183"/>
        <v>0</v>
      </c>
      <c r="Y567" s="11">
        <f t="shared" si="195"/>
        <v>0</v>
      </c>
      <c r="Z567" s="24">
        <f t="shared" si="190"/>
        <v>0</v>
      </c>
      <c r="AA567" s="25">
        <f t="shared" si="196"/>
        <v>0</v>
      </c>
      <c r="AB567" s="24">
        <f t="shared" si="184"/>
        <v>0</v>
      </c>
      <c r="AC567" s="24">
        <f t="shared" si="185"/>
        <v>0</v>
      </c>
      <c r="AD567" s="24">
        <f t="shared" si="186"/>
        <v>0</v>
      </c>
      <c r="AE567" s="24">
        <f t="shared" si="187"/>
        <v>0</v>
      </c>
      <c r="AF567" s="119" t="str">
        <f>VLOOKUP(P567*1,Referencias!$G:$H,2,0)</f>
        <v>qua</v>
      </c>
      <c r="BF567"/>
      <c r="BG567"/>
    </row>
    <row r="568" spans="1:59" ht="14.4" x14ac:dyDescent="0.3">
      <c r="A568" s="162"/>
      <c r="B568" s="162"/>
      <c r="C568" s="162"/>
      <c r="D568" s="162"/>
      <c r="E568" s="162"/>
      <c r="F568" s="162"/>
      <c r="G568" s="162"/>
      <c r="H568" s="162"/>
      <c r="I568" s="162"/>
      <c r="N568" s="7" t="str">
        <f t="shared" si="192"/>
        <v>#LIUDVJDU4 </v>
      </c>
      <c r="O568" s="7">
        <f t="shared" si="180"/>
        <v>0</v>
      </c>
      <c r="P568" s="21">
        <f t="shared" si="188"/>
        <v>43250</v>
      </c>
      <c r="Q568" s="22">
        <f>VLOOKUP(R568,Referencias!$D$1:$E$13,2,0)</f>
        <v>5</v>
      </c>
      <c r="R568" s="7" t="str">
        <f t="shared" si="193"/>
        <v>MAI</v>
      </c>
      <c r="S568" s="7">
        <f t="shared" si="181"/>
        <v>0</v>
      </c>
      <c r="T568" s="11">
        <f t="shared" si="194"/>
        <v>30</v>
      </c>
      <c r="U568" s="11">
        <f t="shared" si="182"/>
        <v>0</v>
      </c>
      <c r="V568" s="11" t="e">
        <f>VLOOKUP(C568,Referencias!$A$2:$B$33,2,1)</f>
        <v>#N/A</v>
      </c>
      <c r="W568" s="23" t="str">
        <f t="shared" si="191"/>
        <v/>
      </c>
      <c r="X568" s="11">
        <f t="shared" si="183"/>
        <v>0</v>
      </c>
      <c r="Y568" s="11">
        <f t="shared" si="195"/>
        <v>0</v>
      </c>
      <c r="Z568" s="24">
        <f t="shared" si="190"/>
        <v>0</v>
      </c>
      <c r="AA568" s="25">
        <f t="shared" si="196"/>
        <v>0</v>
      </c>
      <c r="AB568" s="24">
        <f t="shared" si="184"/>
        <v>0</v>
      </c>
      <c r="AC568" s="24">
        <f t="shared" si="185"/>
        <v>0</v>
      </c>
      <c r="AD568" s="24">
        <f t="shared" si="186"/>
        <v>0</v>
      </c>
      <c r="AE568" s="24">
        <f t="shared" si="187"/>
        <v>0</v>
      </c>
      <c r="AF568" s="119" t="str">
        <f>VLOOKUP(P568*1,Referencias!$G:$H,2,0)</f>
        <v>qua</v>
      </c>
      <c r="BF568"/>
      <c r="BG568"/>
    </row>
    <row r="569" spans="1:59" ht="14.4" x14ac:dyDescent="0.3">
      <c r="A569" s="163"/>
      <c r="B569" s="164" t="s">
        <v>409</v>
      </c>
      <c r="C569" s="134">
        <v>0.58611111111111114</v>
      </c>
      <c r="D569" s="165">
        <v>5.42</v>
      </c>
      <c r="E569" s="165" t="s">
        <v>36</v>
      </c>
      <c r="F569" s="165"/>
      <c r="G569" s="166">
        <v>3.39</v>
      </c>
      <c r="H569" s="167">
        <v>68.91</v>
      </c>
      <c r="I569" s="165"/>
      <c r="N569" s="7" t="str">
        <f t="shared" si="192"/>
        <v>#LIBNSL1MN </v>
      </c>
      <c r="O569" s="7" t="str">
        <f t="shared" si="180"/>
        <v>#LIBNSL1MN </v>
      </c>
      <c r="P569" s="21">
        <f t="shared" si="188"/>
        <v>43250</v>
      </c>
      <c r="Q569" s="22">
        <f>VLOOKUP(R569,Referencias!$D$1:$E$13,2,0)</f>
        <v>5</v>
      </c>
      <c r="R569" s="7" t="str">
        <f t="shared" si="193"/>
        <v>MAI</v>
      </c>
      <c r="S569" s="7">
        <f t="shared" si="181"/>
        <v>0</v>
      </c>
      <c r="T569" s="11">
        <f t="shared" si="194"/>
        <v>30</v>
      </c>
      <c r="U569" s="11">
        <f t="shared" si="182"/>
        <v>0</v>
      </c>
      <c r="V569" s="11" t="str">
        <f>VLOOKUP(C569,Referencias!$A$2:$B$33,2,1)</f>
        <v>14 - 15</v>
      </c>
      <c r="W569" s="23">
        <f t="shared" si="191"/>
        <v>2.7777777777777679E-2</v>
      </c>
      <c r="X569" s="11">
        <f t="shared" si="183"/>
        <v>5.42</v>
      </c>
      <c r="Y569" s="11">
        <f t="shared" si="195"/>
        <v>9.5713584947102532</v>
      </c>
      <c r="Z569" s="24">
        <f t="shared" si="190"/>
        <v>3.39</v>
      </c>
      <c r="AA569" s="25">
        <f t="shared" si="196"/>
        <v>5.0850000000000186</v>
      </c>
      <c r="AB569" s="24">
        <f t="shared" si="184"/>
        <v>1</v>
      </c>
      <c r="AC569" s="24">
        <f t="shared" si="185"/>
        <v>2.2209524557700684</v>
      </c>
      <c r="AD569" s="24">
        <f t="shared" si="186"/>
        <v>2.690851978707157</v>
      </c>
      <c r="AE569" s="24">
        <f t="shared" si="187"/>
        <v>3.1904189365379367</v>
      </c>
      <c r="AF569" s="119" t="str">
        <f>VLOOKUP(P569*1,Referencias!$G:$H,2,0)</f>
        <v>qua</v>
      </c>
      <c r="BF569"/>
      <c r="BG569"/>
    </row>
    <row r="570" spans="1:59" ht="14.4" x14ac:dyDescent="0.3">
      <c r="A570" s="163"/>
      <c r="B570" s="164"/>
      <c r="C570" s="134">
        <v>0.61388888888888882</v>
      </c>
      <c r="D570" s="165"/>
      <c r="E570" s="165"/>
      <c r="F570" s="165"/>
      <c r="G570" s="166"/>
      <c r="H570" s="167"/>
      <c r="I570" s="165"/>
      <c r="N570" s="7" t="str">
        <f t="shared" si="192"/>
        <v>#LIBNSL1MN </v>
      </c>
      <c r="O570" s="7">
        <f t="shared" si="180"/>
        <v>0</v>
      </c>
      <c r="P570" s="21">
        <f t="shared" si="188"/>
        <v>43250</v>
      </c>
      <c r="Q570" s="22">
        <f>VLOOKUP(R570,Referencias!$D$1:$E$13,2,0)</f>
        <v>5</v>
      </c>
      <c r="R570" s="7" t="str">
        <f t="shared" si="193"/>
        <v>MAI</v>
      </c>
      <c r="S570" s="7">
        <f t="shared" si="181"/>
        <v>0</v>
      </c>
      <c r="T570" s="11">
        <f t="shared" si="194"/>
        <v>30</v>
      </c>
      <c r="U570" s="11">
        <f t="shared" si="182"/>
        <v>0</v>
      </c>
      <c r="V570" s="11" t="str">
        <f>VLOOKUP(C570,Referencias!$A$2:$B$33,2,1)</f>
        <v>14 - 15</v>
      </c>
      <c r="W570" s="23" t="str">
        <f t="shared" si="191"/>
        <v/>
      </c>
      <c r="X570" s="11">
        <f t="shared" si="183"/>
        <v>0</v>
      </c>
      <c r="Y570" s="11">
        <f t="shared" si="195"/>
        <v>0</v>
      </c>
      <c r="Z570" s="24">
        <f t="shared" si="190"/>
        <v>0</v>
      </c>
      <c r="AA570" s="25">
        <f t="shared" si="196"/>
        <v>0</v>
      </c>
      <c r="AB570" s="24">
        <f t="shared" si="184"/>
        <v>0</v>
      </c>
      <c r="AC570" s="24">
        <f t="shared" si="185"/>
        <v>0</v>
      </c>
      <c r="AD570" s="24">
        <f t="shared" si="186"/>
        <v>0</v>
      </c>
      <c r="AE570" s="24">
        <f t="shared" si="187"/>
        <v>0</v>
      </c>
      <c r="AF570" s="119" t="str">
        <f>VLOOKUP(P570*1,Referencias!$G:$H,2,0)</f>
        <v>qua</v>
      </c>
      <c r="BF570"/>
      <c r="BG570"/>
    </row>
    <row r="571" spans="1:59" ht="14.4" x14ac:dyDescent="0.3">
      <c r="A571" s="161"/>
      <c r="B571" s="161"/>
      <c r="C571" s="161"/>
      <c r="D571" s="161"/>
      <c r="E571" s="161"/>
      <c r="F571" s="161"/>
      <c r="G571" s="161"/>
      <c r="H571" s="161"/>
      <c r="I571" s="161"/>
      <c r="N571" s="7" t="str">
        <f t="shared" si="192"/>
        <v>#LIBNSL1MN </v>
      </c>
      <c r="O571" s="7">
        <f t="shared" si="180"/>
        <v>0</v>
      </c>
      <c r="P571" s="21">
        <f t="shared" si="188"/>
        <v>43250</v>
      </c>
      <c r="Q571" s="22">
        <f>VLOOKUP(R571,Referencias!$D$1:$E$13,2,0)</f>
        <v>5</v>
      </c>
      <c r="R571" s="7" t="str">
        <f t="shared" si="193"/>
        <v>MAI</v>
      </c>
      <c r="S571" s="7">
        <f t="shared" si="181"/>
        <v>0</v>
      </c>
      <c r="T571" s="11">
        <f t="shared" si="194"/>
        <v>30</v>
      </c>
      <c r="U571" s="11">
        <f t="shared" si="182"/>
        <v>0</v>
      </c>
      <c r="V571" s="11" t="e">
        <f>VLOOKUP(C571,Referencias!$A$2:$B$33,2,1)</f>
        <v>#N/A</v>
      </c>
      <c r="W571" s="23" t="str">
        <f t="shared" si="191"/>
        <v/>
      </c>
      <c r="X571" s="11">
        <f t="shared" si="183"/>
        <v>0</v>
      </c>
      <c r="Y571" s="11">
        <f t="shared" si="195"/>
        <v>0</v>
      </c>
      <c r="Z571" s="24">
        <f t="shared" si="190"/>
        <v>0</v>
      </c>
      <c r="AA571" s="25">
        <f t="shared" si="196"/>
        <v>0</v>
      </c>
      <c r="AB571" s="24">
        <f t="shared" si="184"/>
        <v>0</v>
      </c>
      <c r="AC571" s="24">
        <f t="shared" si="185"/>
        <v>0</v>
      </c>
      <c r="AD571" s="24">
        <f t="shared" si="186"/>
        <v>0</v>
      </c>
      <c r="AE571" s="24">
        <f t="shared" si="187"/>
        <v>0</v>
      </c>
      <c r="AF571" s="119" t="str">
        <f>VLOOKUP(P571*1,Referencias!$G:$H,2,0)</f>
        <v>qua</v>
      </c>
      <c r="BF571"/>
      <c r="BG571"/>
    </row>
    <row r="572" spans="1:59" ht="14.4" x14ac:dyDescent="0.3">
      <c r="A572" s="162"/>
      <c r="B572" s="162"/>
      <c r="C572" s="162"/>
      <c r="D572" s="162"/>
      <c r="E572" s="162"/>
      <c r="F572" s="162"/>
      <c r="G572" s="162"/>
      <c r="H572" s="162"/>
      <c r="I572" s="162"/>
      <c r="N572" s="7" t="str">
        <f t="shared" si="192"/>
        <v>#LIBNSL1MN </v>
      </c>
      <c r="O572" s="7">
        <f t="shared" si="180"/>
        <v>0</v>
      </c>
      <c r="P572" s="21">
        <f t="shared" si="188"/>
        <v>43250</v>
      </c>
      <c r="Q572" s="22">
        <f>VLOOKUP(R572,Referencias!$D$1:$E$13,2,0)</f>
        <v>5</v>
      </c>
      <c r="R572" s="7" t="str">
        <f t="shared" si="193"/>
        <v>MAI</v>
      </c>
      <c r="S572" s="7">
        <f t="shared" si="181"/>
        <v>0</v>
      </c>
      <c r="T572" s="11">
        <f t="shared" si="194"/>
        <v>30</v>
      </c>
      <c r="U572" s="11">
        <f t="shared" si="182"/>
        <v>0</v>
      </c>
      <c r="V572" s="11" t="e">
        <f>VLOOKUP(C572,Referencias!$A$2:$B$33,2,1)</f>
        <v>#N/A</v>
      </c>
      <c r="W572" s="23" t="str">
        <f t="shared" si="191"/>
        <v/>
      </c>
      <c r="X572" s="11">
        <f t="shared" si="183"/>
        <v>0</v>
      </c>
      <c r="Y572" s="11">
        <f t="shared" si="195"/>
        <v>0</v>
      </c>
      <c r="Z572" s="24">
        <f t="shared" si="190"/>
        <v>0</v>
      </c>
      <c r="AA572" s="25">
        <f t="shared" si="196"/>
        <v>0</v>
      </c>
      <c r="AB572" s="24">
        <f t="shared" si="184"/>
        <v>0</v>
      </c>
      <c r="AC572" s="24">
        <f t="shared" si="185"/>
        <v>0</v>
      </c>
      <c r="AD572" s="24">
        <f t="shared" si="186"/>
        <v>0</v>
      </c>
      <c r="AE572" s="24">
        <f t="shared" si="187"/>
        <v>0</v>
      </c>
      <c r="AF572" s="119" t="str">
        <f>VLOOKUP(P572*1,Referencias!$G:$H,2,0)</f>
        <v>qua</v>
      </c>
      <c r="BF572"/>
      <c r="BG572"/>
    </row>
    <row r="573" spans="1:59" ht="14.4" x14ac:dyDescent="0.3">
      <c r="A573" s="163"/>
      <c r="B573" s="164" t="s">
        <v>410</v>
      </c>
      <c r="C573" s="134">
        <v>0.81319444444444444</v>
      </c>
      <c r="D573" s="165">
        <v>4.09</v>
      </c>
      <c r="E573" s="165" t="s">
        <v>62</v>
      </c>
      <c r="F573" s="165"/>
      <c r="G573" s="166">
        <v>2.98</v>
      </c>
      <c r="H573" s="167">
        <v>71.89</v>
      </c>
      <c r="I573" s="165"/>
      <c r="N573" s="7" t="str">
        <f t="shared" si="192"/>
        <v>#LIVTHPDHY </v>
      </c>
      <c r="O573" s="7" t="str">
        <f t="shared" si="180"/>
        <v>#LIVTHPDHY </v>
      </c>
      <c r="P573" s="21">
        <f t="shared" si="188"/>
        <v>43250</v>
      </c>
      <c r="Q573" s="22">
        <f>VLOOKUP(R573,Referencias!$D$1:$E$13,2,0)</f>
        <v>5</v>
      </c>
      <c r="R573" s="7" t="str">
        <f t="shared" si="193"/>
        <v>MAI</v>
      </c>
      <c r="S573" s="7">
        <f t="shared" si="181"/>
        <v>0</v>
      </c>
      <c r="T573" s="11">
        <f t="shared" si="194"/>
        <v>30</v>
      </c>
      <c r="U573" s="11">
        <f t="shared" si="182"/>
        <v>0</v>
      </c>
      <c r="V573" s="11" t="str">
        <f>VLOOKUP(C573,Referencias!$A$2:$B$33,2,1)</f>
        <v>19 - 20</v>
      </c>
      <c r="W573" s="23">
        <f t="shared" si="191"/>
        <v>1.8055555555555491E-2</v>
      </c>
      <c r="X573" s="11">
        <f t="shared" si="183"/>
        <v>4.09</v>
      </c>
      <c r="Y573" s="11">
        <f t="shared" si="195"/>
        <v>7.2226672035728656</v>
      </c>
      <c r="Z573" s="24">
        <f t="shared" si="190"/>
        <v>2.98</v>
      </c>
      <c r="AA573" s="25">
        <f t="shared" si="196"/>
        <v>6.8769230769231013</v>
      </c>
      <c r="AB573" s="24">
        <f t="shared" si="184"/>
        <v>1</v>
      </c>
      <c r="AC573" s="24">
        <f t="shared" si="185"/>
        <v>1.9523416867831278</v>
      </c>
      <c r="AD573" s="24">
        <f t="shared" si="186"/>
        <v>2.3654097039962618</v>
      </c>
      <c r="AE573" s="24">
        <f t="shared" si="187"/>
        <v>2.8045570592575371</v>
      </c>
      <c r="AF573" s="119" t="str">
        <f>VLOOKUP(P573*1,Referencias!$G:$H,2,0)</f>
        <v>qua</v>
      </c>
      <c r="BF573"/>
      <c r="BG573"/>
    </row>
    <row r="574" spans="1:59" ht="14.4" x14ac:dyDescent="0.3">
      <c r="A574" s="163"/>
      <c r="B574" s="164"/>
      <c r="C574" s="134">
        <v>0.83124999999999993</v>
      </c>
      <c r="D574" s="165"/>
      <c r="E574" s="165"/>
      <c r="F574" s="165"/>
      <c r="G574" s="166"/>
      <c r="H574" s="167"/>
      <c r="I574" s="165"/>
      <c r="N574" s="7" t="str">
        <f t="shared" si="192"/>
        <v>#LIVTHPDHY </v>
      </c>
      <c r="O574" s="7">
        <f t="shared" si="180"/>
        <v>0</v>
      </c>
      <c r="P574" s="21">
        <f t="shared" si="188"/>
        <v>43250</v>
      </c>
      <c r="Q574" s="22">
        <f>VLOOKUP(R574,Referencias!$D$1:$E$13,2,0)</f>
        <v>5</v>
      </c>
      <c r="R574" s="7" t="str">
        <f t="shared" si="193"/>
        <v>MAI</v>
      </c>
      <c r="S574" s="7">
        <f t="shared" si="181"/>
        <v>0</v>
      </c>
      <c r="T574" s="11">
        <f t="shared" si="194"/>
        <v>30</v>
      </c>
      <c r="U574" s="11">
        <f t="shared" si="182"/>
        <v>0</v>
      </c>
      <c r="V574" s="11" t="str">
        <f>VLOOKUP(C574,Referencias!$A$2:$B$33,2,1)</f>
        <v>19 - 20</v>
      </c>
      <c r="W574" s="23" t="str">
        <f t="shared" si="191"/>
        <v/>
      </c>
      <c r="X574" s="11">
        <f t="shared" si="183"/>
        <v>0</v>
      </c>
      <c r="Y574" s="11">
        <f t="shared" si="195"/>
        <v>0</v>
      </c>
      <c r="Z574" s="24">
        <f t="shared" si="190"/>
        <v>0</v>
      </c>
      <c r="AA574" s="25">
        <f t="shared" si="196"/>
        <v>0</v>
      </c>
      <c r="AB574" s="24">
        <f t="shared" si="184"/>
        <v>0</v>
      </c>
      <c r="AC574" s="24">
        <f t="shared" si="185"/>
        <v>0</v>
      </c>
      <c r="AD574" s="24">
        <f t="shared" si="186"/>
        <v>0</v>
      </c>
      <c r="AE574" s="24">
        <f t="shared" si="187"/>
        <v>0</v>
      </c>
      <c r="AF574" s="119" t="str">
        <f>VLOOKUP(P574*1,Referencias!$G:$H,2,0)</f>
        <v>qua</v>
      </c>
      <c r="BF574"/>
      <c r="BG574"/>
    </row>
    <row r="575" spans="1:59" ht="14.4" x14ac:dyDescent="0.3">
      <c r="A575" s="161"/>
      <c r="B575" s="161"/>
      <c r="C575" s="161"/>
      <c r="D575" s="161"/>
      <c r="E575" s="161"/>
      <c r="F575" s="161"/>
      <c r="G575" s="161"/>
      <c r="H575" s="161"/>
      <c r="I575" s="161"/>
      <c r="N575" s="7" t="str">
        <f t="shared" si="192"/>
        <v>#LIVTHPDHY </v>
      </c>
      <c r="O575" s="7">
        <f t="shared" si="180"/>
        <v>0</v>
      </c>
      <c r="P575" s="21">
        <f t="shared" si="188"/>
        <v>43250</v>
      </c>
      <c r="Q575" s="22">
        <f>VLOOKUP(R575,Referencias!$D$1:$E$13,2,0)</f>
        <v>5</v>
      </c>
      <c r="R575" s="7" t="str">
        <f t="shared" si="193"/>
        <v>MAI</v>
      </c>
      <c r="S575" s="7">
        <f t="shared" si="181"/>
        <v>0</v>
      </c>
      <c r="T575" s="11">
        <f t="shared" si="194"/>
        <v>30</v>
      </c>
      <c r="U575" s="11">
        <f t="shared" si="182"/>
        <v>0</v>
      </c>
      <c r="V575" s="11" t="e">
        <f>VLOOKUP(C575,Referencias!$A$2:$B$33,2,1)</f>
        <v>#N/A</v>
      </c>
      <c r="W575" s="23" t="str">
        <f t="shared" si="191"/>
        <v/>
      </c>
      <c r="X575" s="11">
        <f t="shared" si="183"/>
        <v>0</v>
      </c>
      <c r="Y575" s="11">
        <f t="shared" si="195"/>
        <v>0</v>
      </c>
      <c r="Z575" s="24">
        <f t="shared" si="190"/>
        <v>0</v>
      </c>
      <c r="AA575" s="25">
        <f t="shared" si="196"/>
        <v>0</v>
      </c>
      <c r="AB575" s="24">
        <f t="shared" si="184"/>
        <v>0</v>
      </c>
      <c r="AC575" s="24">
        <f t="shared" si="185"/>
        <v>0</v>
      </c>
      <c r="AD575" s="24">
        <f t="shared" si="186"/>
        <v>0</v>
      </c>
      <c r="AE575" s="24">
        <f t="shared" si="187"/>
        <v>0</v>
      </c>
      <c r="AF575" s="119" t="str">
        <f>VLOOKUP(P575*1,Referencias!$G:$H,2,0)</f>
        <v>qua</v>
      </c>
      <c r="BF575"/>
      <c r="BG575"/>
    </row>
    <row r="576" spans="1:59" ht="14.4" x14ac:dyDescent="0.3">
      <c r="A576" s="162"/>
      <c r="B576" s="162"/>
      <c r="C576" s="162"/>
      <c r="D576" s="162"/>
      <c r="E576" s="162"/>
      <c r="F576" s="162"/>
      <c r="G576" s="162"/>
      <c r="H576" s="162"/>
      <c r="I576" s="162"/>
      <c r="N576" s="7" t="str">
        <f t="shared" si="192"/>
        <v>#LIVTHPDHY </v>
      </c>
      <c r="O576" s="7">
        <f t="shared" si="180"/>
        <v>0</v>
      </c>
      <c r="P576" s="21">
        <f t="shared" si="188"/>
        <v>43250</v>
      </c>
      <c r="Q576" s="22">
        <f>VLOOKUP(R576,Referencias!$D$1:$E$13,2,0)</f>
        <v>5</v>
      </c>
      <c r="R576" s="7" t="str">
        <f t="shared" si="193"/>
        <v>MAI</v>
      </c>
      <c r="S576" s="7">
        <f t="shared" si="181"/>
        <v>0</v>
      </c>
      <c r="T576" s="11">
        <f t="shared" si="194"/>
        <v>30</v>
      </c>
      <c r="U576" s="11">
        <f t="shared" si="182"/>
        <v>0</v>
      </c>
      <c r="V576" s="11" t="e">
        <f>VLOOKUP(C576,Referencias!$A$2:$B$33,2,1)</f>
        <v>#N/A</v>
      </c>
      <c r="W576" s="23" t="str">
        <f t="shared" si="191"/>
        <v/>
      </c>
      <c r="X576" s="11">
        <f t="shared" si="183"/>
        <v>0</v>
      </c>
      <c r="Y576" s="11">
        <f t="shared" si="195"/>
        <v>0</v>
      </c>
      <c r="Z576" s="24">
        <f t="shared" si="190"/>
        <v>0</v>
      </c>
      <c r="AA576" s="25">
        <f t="shared" si="196"/>
        <v>0</v>
      </c>
      <c r="AB576" s="24">
        <f t="shared" si="184"/>
        <v>0</v>
      </c>
      <c r="AC576" s="24">
        <f t="shared" si="185"/>
        <v>0</v>
      </c>
      <c r="AD576" s="24">
        <f t="shared" si="186"/>
        <v>0</v>
      </c>
      <c r="AE576" s="24">
        <f t="shared" si="187"/>
        <v>0</v>
      </c>
      <c r="AF576" s="119" t="str">
        <f>VLOOKUP(P576*1,Referencias!$G:$H,2,0)</f>
        <v>qua</v>
      </c>
      <c r="BF576"/>
      <c r="BG576"/>
    </row>
    <row r="577" spans="1:59" ht="14.4" x14ac:dyDescent="0.3">
      <c r="A577" s="163"/>
      <c r="B577" s="164" t="s">
        <v>411</v>
      </c>
      <c r="C577" s="134">
        <v>0.83124999999999993</v>
      </c>
      <c r="D577" s="165">
        <v>6.52</v>
      </c>
      <c r="E577" s="165" t="s">
        <v>36</v>
      </c>
      <c r="F577" s="165"/>
      <c r="G577" s="166">
        <v>3.78</v>
      </c>
      <c r="H577" s="167">
        <v>75.67</v>
      </c>
      <c r="I577" s="165"/>
      <c r="N577" s="7" t="str">
        <f t="shared" si="192"/>
        <v>#LIW8MG1AF </v>
      </c>
      <c r="O577" s="7" t="str">
        <f t="shared" si="180"/>
        <v>#LIW8MG1AF </v>
      </c>
      <c r="P577" s="21">
        <f t="shared" si="188"/>
        <v>43250</v>
      </c>
      <c r="Q577" s="22">
        <f>VLOOKUP(R577,Referencias!$D$1:$E$13,2,0)</f>
        <v>5</v>
      </c>
      <c r="R577" s="7" t="str">
        <f t="shared" si="193"/>
        <v>MAI</v>
      </c>
      <c r="S577" s="7">
        <f t="shared" si="181"/>
        <v>0</v>
      </c>
      <c r="T577" s="11">
        <f t="shared" si="194"/>
        <v>30</v>
      </c>
      <c r="U577" s="11">
        <f t="shared" si="182"/>
        <v>0</v>
      </c>
      <c r="V577" s="11" t="str">
        <f>VLOOKUP(C577,Referencias!$A$2:$B$33,2,1)</f>
        <v>19 - 20</v>
      </c>
      <c r="W577" s="23">
        <f t="shared" si="191"/>
        <v>3.1944444444444442E-2</v>
      </c>
      <c r="X577" s="11">
        <f t="shared" si="183"/>
        <v>6.52</v>
      </c>
      <c r="Y577" s="11">
        <f t="shared" si="195"/>
        <v>11.513885126478016</v>
      </c>
      <c r="Z577" s="24">
        <f t="shared" si="190"/>
        <v>3.78</v>
      </c>
      <c r="AA577" s="25">
        <f t="shared" si="196"/>
        <v>4.9304347826086952</v>
      </c>
      <c r="AB577" s="24">
        <f t="shared" si="184"/>
        <v>1</v>
      </c>
      <c r="AC577" s="24">
        <f t="shared" si="185"/>
        <v>2.4764602604161823</v>
      </c>
      <c r="AD577" s="24">
        <f t="shared" si="186"/>
        <v>3.0004190205053254</v>
      </c>
      <c r="AE577" s="24">
        <f t="shared" si="187"/>
        <v>3.557458283219292</v>
      </c>
      <c r="AF577" s="119" t="str">
        <f>VLOOKUP(P577*1,Referencias!$G:$H,2,0)</f>
        <v>qua</v>
      </c>
      <c r="BF577"/>
      <c r="BG577"/>
    </row>
    <row r="578" spans="1:59" ht="14.4" x14ac:dyDescent="0.3">
      <c r="A578" s="163"/>
      <c r="B578" s="164"/>
      <c r="C578" s="134">
        <v>0.86319444444444438</v>
      </c>
      <c r="D578" s="165"/>
      <c r="E578" s="165"/>
      <c r="F578" s="165"/>
      <c r="G578" s="166"/>
      <c r="H578" s="167"/>
      <c r="I578" s="165"/>
      <c r="N578" s="7" t="str">
        <f t="shared" si="192"/>
        <v>#LIW8MG1AF </v>
      </c>
      <c r="O578" s="7">
        <f t="shared" ref="O578:O594" si="197">IF(X578&gt;0,B578,0)</f>
        <v>0</v>
      </c>
      <c r="P578" s="21">
        <f t="shared" si="188"/>
        <v>43250</v>
      </c>
      <c r="Q578" s="22">
        <f>VLOOKUP(R578,Referencias!$D$1:$E$13,2,0)</f>
        <v>5</v>
      </c>
      <c r="R578" s="7" t="str">
        <f t="shared" si="193"/>
        <v>MAI</v>
      </c>
      <c r="S578" s="7">
        <f t="shared" ref="S578:S594" si="198">IF(X578&gt;0,A579,0)</f>
        <v>0</v>
      </c>
      <c r="T578" s="11">
        <f t="shared" si="194"/>
        <v>30</v>
      </c>
      <c r="U578" s="11">
        <f t="shared" ref="U578:U594" si="199">IF(X578&gt;0,A578,0)</f>
        <v>0</v>
      </c>
      <c r="V578" s="11" t="str">
        <f>VLOOKUP(C578,Referencias!$A$2:$B$33,2,1)</f>
        <v>20 - 21</v>
      </c>
      <c r="W578" s="23" t="str">
        <f t="shared" si="191"/>
        <v/>
      </c>
      <c r="X578" s="11">
        <f t="shared" ref="X578:X594" si="200">D578*1</f>
        <v>0</v>
      </c>
      <c r="Y578" s="11">
        <f t="shared" si="195"/>
        <v>0</v>
      </c>
      <c r="Z578" s="24">
        <f t="shared" si="190"/>
        <v>0</v>
      </c>
      <c r="AA578" s="25">
        <f t="shared" si="196"/>
        <v>0</v>
      </c>
      <c r="AB578" s="24">
        <f t="shared" ref="AB578:AB594" si="201">IF(O578&gt;0,1,0)</f>
        <v>0</v>
      </c>
      <c r="AC578" s="24">
        <f t="shared" ref="AC578:AC641" si="202">Z578*$AL$14</f>
        <v>0</v>
      </c>
      <c r="AD578" s="24">
        <f t="shared" ref="AD578:AD641" si="203">Z578*$AN$14</f>
        <v>0</v>
      </c>
      <c r="AE578" s="24">
        <f t="shared" ref="AE578:AE641" si="204">Z578*$AL$26</f>
        <v>0</v>
      </c>
      <c r="AF578" s="119" t="str">
        <f>VLOOKUP(P578*1,Referencias!$G:$H,2,0)</f>
        <v>qua</v>
      </c>
      <c r="BF578"/>
      <c r="BG578"/>
    </row>
    <row r="579" spans="1:59" ht="14.4" x14ac:dyDescent="0.3">
      <c r="A579" s="161"/>
      <c r="B579" s="161"/>
      <c r="C579" s="161"/>
      <c r="D579" s="161"/>
      <c r="E579" s="161"/>
      <c r="F579" s="161"/>
      <c r="G579" s="161"/>
      <c r="H579" s="161"/>
      <c r="I579" s="161"/>
      <c r="N579" s="7" t="str">
        <f t="shared" si="192"/>
        <v>#LIW8MG1AF </v>
      </c>
      <c r="O579" s="7">
        <f t="shared" si="197"/>
        <v>0</v>
      </c>
      <c r="P579" s="21">
        <f t="shared" ref="P579:P642" si="205">(T579&amp;"/"&amp;Q579&amp;"/2018")*1</f>
        <v>43250</v>
      </c>
      <c r="Q579" s="22">
        <f>VLOOKUP(R579,Referencias!$D$1:$E$13,2,0)</f>
        <v>5</v>
      </c>
      <c r="R579" s="7" t="str">
        <f t="shared" si="193"/>
        <v>MAI</v>
      </c>
      <c r="S579" s="7">
        <f t="shared" si="198"/>
        <v>0</v>
      </c>
      <c r="T579" s="11">
        <f t="shared" si="194"/>
        <v>30</v>
      </c>
      <c r="U579" s="11">
        <f t="shared" si="199"/>
        <v>0</v>
      </c>
      <c r="V579" s="11" t="e">
        <f>VLOOKUP(C579,Referencias!$A$2:$B$33,2,1)</f>
        <v>#N/A</v>
      </c>
      <c r="W579" s="23" t="str">
        <f t="shared" si="191"/>
        <v/>
      </c>
      <c r="X579" s="11">
        <f t="shared" si="200"/>
        <v>0</v>
      </c>
      <c r="Y579" s="11">
        <f t="shared" si="195"/>
        <v>0</v>
      </c>
      <c r="Z579" s="24">
        <f t="shared" ref="Z579:Z642" si="206">IF(A579="Ganhos Garantidos",G579,IF(X579&gt;0,G579*1,0))</f>
        <v>0</v>
      </c>
      <c r="AA579" s="25">
        <f t="shared" si="196"/>
        <v>0</v>
      </c>
      <c r="AB579" s="24">
        <f t="shared" si="201"/>
        <v>0</v>
      </c>
      <c r="AC579" s="24">
        <f t="shared" si="202"/>
        <v>0</v>
      </c>
      <c r="AD579" s="24">
        <f t="shared" si="203"/>
        <v>0</v>
      </c>
      <c r="AE579" s="24">
        <f t="shared" si="204"/>
        <v>0</v>
      </c>
      <c r="AF579" s="119" t="str">
        <f>VLOOKUP(P579*1,Referencias!$G:$H,2,0)</f>
        <v>qua</v>
      </c>
      <c r="BF579"/>
      <c r="BG579"/>
    </row>
    <row r="580" spans="1:59" ht="14.4" x14ac:dyDescent="0.3">
      <c r="A580" s="162"/>
      <c r="B580" s="162"/>
      <c r="C580" s="162"/>
      <c r="D580" s="162"/>
      <c r="E580" s="162"/>
      <c r="F580" s="162"/>
      <c r="G580" s="162"/>
      <c r="H580" s="162"/>
      <c r="I580" s="162"/>
      <c r="N580" s="7" t="str">
        <f t="shared" si="192"/>
        <v>#LIW8MG1AF </v>
      </c>
      <c r="O580" s="7">
        <f t="shared" si="197"/>
        <v>0</v>
      </c>
      <c r="P580" s="21">
        <f t="shared" si="205"/>
        <v>43250</v>
      </c>
      <c r="Q580" s="22">
        <f>VLOOKUP(R580,Referencias!$D$1:$E$13,2,0)</f>
        <v>5</v>
      </c>
      <c r="R580" s="7" t="str">
        <f t="shared" si="193"/>
        <v>MAI</v>
      </c>
      <c r="S580" s="7">
        <f t="shared" si="198"/>
        <v>0</v>
      </c>
      <c r="T580" s="11">
        <f t="shared" si="194"/>
        <v>30</v>
      </c>
      <c r="U580" s="11">
        <f t="shared" si="199"/>
        <v>0</v>
      </c>
      <c r="V580" s="11" t="e">
        <f>VLOOKUP(C580,Referencias!$A$2:$B$33,2,1)</f>
        <v>#N/A</v>
      </c>
      <c r="W580" s="23" t="str">
        <f t="shared" ref="W580:W594" si="207">IF(X580&gt;0,C581-C580,"")</f>
        <v/>
      </c>
      <c r="X580" s="11">
        <f t="shared" si="200"/>
        <v>0</v>
      </c>
      <c r="Y580" s="11">
        <f t="shared" si="195"/>
        <v>0</v>
      </c>
      <c r="Z580" s="24">
        <f t="shared" si="206"/>
        <v>0</v>
      </c>
      <c r="AA580" s="25">
        <f t="shared" si="196"/>
        <v>0</v>
      </c>
      <c r="AB580" s="24">
        <f t="shared" si="201"/>
        <v>0</v>
      </c>
      <c r="AC580" s="24">
        <f t="shared" si="202"/>
        <v>0</v>
      </c>
      <c r="AD580" s="24">
        <f t="shared" si="203"/>
        <v>0</v>
      </c>
      <c r="AE580" s="24">
        <f t="shared" si="204"/>
        <v>0</v>
      </c>
      <c r="AF580" s="119" t="str">
        <f>VLOOKUP(P580*1,Referencias!$G:$H,2,0)</f>
        <v>qua</v>
      </c>
      <c r="BF580"/>
      <c r="BG580"/>
    </row>
    <row r="581" spans="1:59" ht="14.4" x14ac:dyDescent="0.3">
      <c r="A581" s="163"/>
      <c r="B581" s="164" t="s">
        <v>412</v>
      </c>
      <c r="C581" s="134">
        <v>0.86319444444444438</v>
      </c>
      <c r="D581" s="165">
        <v>17.43</v>
      </c>
      <c r="E581" s="165" t="s">
        <v>24</v>
      </c>
      <c r="F581" s="149">
        <v>1.1599999999999999</v>
      </c>
      <c r="G581" s="166">
        <v>8.91</v>
      </c>
      <c r="H581" s="167">
        <v>84.58</v>
      </c>
      <c r="I581" s="165"/>
      <c r="N581" s="7" t="str">
        <f t="shared" si="192"/>
        <v>#LIJJ4HGLV </v>
      </c>
      <c r="O581" s="7" t="str">
        <f t="shared" si="197"/>
        <v>#LIJJ4HGLV </v>
      </c>
      <c r="P581" s="21">
        <f t="shared" si="205"/>
        <v>43250</v>
      </c>
      <c r="Q581" s="22">
        <f>VLOOKUP(R581,Referencias!$D$1:$E$13,2,0)</f>
        <v>5</v>
      </c>
      <c r="R581" s="7" t="str">
        <f t="shared" si="193"/>
        <v>MAI</v>
      </c>
      <c r="S581" s="7">
        <f t="shared" si="198"/>
        <v>0</v>
      </c>
      <c r="T581" s="11">
        <f t="shared" si="194"/>
        <v>30</v>
      </c>
      <c r="U581" s="11">
        <f t="shared" si="199"/>
        <v>0</v>
      </c>
      <c r="V581" s="11" t="str">
        <f>VLOOKUP(C581,Referencias!$A$2:$B$33,2,1)</f>
        <v>20 - 21</v>
      </c>
      <c r="W581" s="23">
        <f t="shared" si="207"/>
        <v>3.4722222222222321E-2</v>
      </c>
      <c r="X581" s="11">
        <f t="shared" si="200"/>
        <v>17.43</v>
      </c>
      <c r="Y581" s="11">
        <f t="shared" si="195"/>
        <v>30.780217447011015</v>
      </c>
      <c r="Z581" s="24">
        <f t="shared" si="206"/>
        <v>8.91</v>
      </c>
      <c r="AA581" s="25">
        <f t="shared" si="196"/>
        <v>10.69199999999997</v>
      </c>
      <c r="AB581" s="24">
        <f t="shared" si="201"/>
        <v>1</v>
      </c>
      <c r="AC581" s="24">
        <f t="shared" si="202"/>
        <v>5.8373706138381447</v>
      </c>
      <c r="AD581" s="24">
        <f t="shared" si="203"/>
        <v>7.0724162626196954</v>
      </c>
      <c r="AE581" s="24">
        <f t="shared" si="204"/>
        <v>8.3854373818740466</v>
      </c>
      <c r="AF581" s="119" t="str">
        <f>VLOOKUP(P581*1,Referencias!$G:$H,2,0)</f>
        <v>qua</v>
      </c>
      <c r="BF581"/>
      <c r="BG581"/>
    </row>
    <row r="582" spans="1:59" ht="14.4" x14ac:dyDescent="0.3">
      <c r="A582" s="163"/>
      <c r="B582" s="164"/>
      <c r="C582" s="134">
        <v>0.8979166666666667</v>
      </c>
      <c r="D582" s="165"/>
      <c r="E582" s="165"/>
      <c r="F582" s="145" t="s">
        <v>237</v>
      </c>
      <c r="G582" s="166"/>
      <c r="H582" s="167"/>
      <c r="I582" s="165"/>
      <c r="N582" s="7" t="str">
        <f t="shared" si="192"/>
        <v>#LIJJ4HGLV </v>
      </c>
      <c r="O582" s="7">
        <f t="shared" si="197"/>
        <v>0</v>
      </c>
      <c r="P582" s="21">
        <f t="shared" si="205"/>
        <v>43250</v>
      </c>
      <c r="Q582" s="22">
        <f>VLOOKUP(R582,Referencias!$D$1:$E$13,2,0)</f>
        <v>5</v>
      </c>
      <c r="R582" s="7" t="str">
        <f t="shared" si="193"/>
        <v>MAI</v>
      </c>
      <c r="S582" s="7">
        <f t="shared" si="198"/>
        <v>0</v>
      </c>
      <c r="T582" s="11">
        <f t="shared" si="194"/>
        <v>30</v>
      </c>
      <c r="U582" s="11">
        <f t="shared" si="199"/>
        <v>0</v>
      </c>
      <c r="V582" s="11" t="str">
        <f>VLOOKUP(C582,Referencias!$A$2:$B$33,2,1)</f>
        <v>21 - 22</v>
      </c>
      <c r="W582" s="23" t="str">
        <f t="shared" si="207"/>
        <v/>
      </c>
      <c r="X582" s="11">
        <f t="shared" si="200"/>
        <v>0</v>
      </c>
      <c r="Y582" s="11">
        <f t="shared" si="195"/>
        <v>0</v>
      </c>
      <c r="Z582" s="24">
        <f t="shared" si="206"/>
        <v>0</v>
      </c>
      <c r="AA582" s="25">
        <f t="shared" si="196"/>
        <v>0</v>
      </c>
      <c r="AB582" s="24">
        <f t="shared" si="201"/>
        <v>0</v>
      </c>
      <c r="AC582" s="24">
        <f t="shared" si="202"/>
        <v>0</v>
      </c>
      <c r="AD582" s="24">
        <f t="shared" si="203"/>
        <v>0</v>
      </c>
      <c r="AE582" s="24">
        <f t="shared" si="204"/>
        <v>0</v>
      </c>
      <c r="AF582" s="119" t="str">
        <f>VLOOKUP(P582*1,Referencias!$G:$H,2,0)</f>
        <v>qua</v>
      </c>
      <c r="BF582"/>
      <c r="BG582"/>
    </row>
    <row r="583" spans="1:59" ht="14.4" x14ac:dyDescent="0.3">
      <c r="A583" s="161"/>
      <c r="B583" s="161"/>
      <c r="C583" s="161"/>
      <c r="D583" s="161"/>
      <c r="E583" s="161"/>
      <c r="F583" s="161"/>
      <c r="G583" s="161"/>
      <c r="H583" s="161"/>
      <c r="I583" s="161"/>
      <c r="N583" s="7" t="str">
        <f t="shared" si="192"/>
        <v>#LIJJ4HGLV </v>
      </c>
      <c r="O583" s="7">
        <f t="shared" si="197"/>
        <v>0</v>
      </c>
      <c r="P583" s="21">
        <f t="shared" si="205"/>
        <v>43250</v>
      </c>
      <c r="Q583" s="22">
        <f>VLOOKUP(R583,Referencias!$D$1:$E$13,2,0)</f>
        <v>5</v>
      </c>
      <c r="R583" s="7" t="str">
        <f t="shared" si="193"/>
        <v>MAI</v>
      </c>
      <c r="S583" s="7">
        <f t="shared" si="198"/>
        <v>0</v>
      </c>
      <c r="T583" s="11">
        <f t="shared" si="194"/>
        <v>30</v>
      </c>
      <c r="U583" s="11">
        <f t="shared" si="199"/>
        <v>0</v>
      </c>
      <c r="V583" s="11" t="e">
        <f>VLOOKUP(C583,Referencias!$A$2:$B$33,2,1)</f>
        <v>#N/A</v>
      </c>
      <c r="W583" s="23" t="str">
        <f t="shared" si="207"/>
        <v/>
      </c>
      <c r="X583" s="11">
        <f t="shared" si="200"/>
        <v>0</v>
      </c>
      <c r="Y583" s="11">
        <f t="shared" si="195"/>
        <v>0</v>
      </c>
      <c r="Z583" s="24">
        <f t="shared" si="206"/>
        <v>0</v>
      </c>
      <c r="AA583" s="25">
        <f t="shared" si="196"/>
        <v>0</v>
      </c>
      <c r="AB583" s="24">
        <f t="shared" si="201"/>
        <v>0</v>
      </c>
      <c r="AC583" s="24">
        <f t="shared" si="202"/>
        <v>0</v>
      </c>
      <c r="AD583" s="24">
        <f t="shared" si="203"/>
        <v>0</v>
      </c>
      <c r="AE583" s="24">
        <f t="shared" si="204"/>
        <v>0</v>
      </c>
      <c r="AF583" s="119" t="str">
        <f>VLOOKUP(P583*1,Referencias!$G:$H,2,0)</f>
        <v>qua</v>
      </c>
      <c r="BF583"/>
      <c r="BG583"/>
    </row>
    <row r="584" spans="1:59" ht="14.4" x14ac:dyDescent="0.3">
      <c r="A584" s="162"/>
      <c r="B584" s="162"/>
      <c r="C584" s="162"/>
      <c r="D584" s="162"/>
      <c r="E584" s="162"/>
      <c r="F584" s="162"/>
      <c r="G584" s="162"/>
      <c r="H584" s="162"/>
      <c r="I584" s="162"/>
      <c r="N584" s="7" t="str">
        <f t="shared" si="192"/>
        <v>#LIJJ4HGLV </v>
      </c>
      <c r="O584" s="7">
        <f t="shared" si="197"/>
        <v>0</v>
      </c>
      <c r="P584" s="21">
        <f t="shared" si="205"/>
        <v>43250</v>
      </c>
      <c r="Q584" s="22">
        <f>VLOOKUP(R584,Referencias!$D$1:$E$13,2,0)</f>
        <v>5</v>
      </c>
      <c r="R584" s="7" t="str">
        <f t="shared" si="193"/>
        <v>MAI</v>
      </c>
      <c r="S584" s="7">
        <f t="shared" si="198"/>
        <v>0</v>
      </c>
      <c r="T584" s="11">
        <f t="shared" si="194"/>
        <v>30</v>
      </c>
      <c r="U584" s="11">
        <f t="shared" si="199"/>
        <v>0</v>
      </c>
      <c r="V584" s="11" t="e">
        <f>VLOOKUP(C584,Referencias!$A$2:$B$33,2,1)</f>
        <v>#N/A</v>
      </c>
      <c r="W584" s="23" t="str">
        <f t="shared" si="207"/>
        <v/>
      </c>
      <c r="X584" s="11">
        <f t="shared" si="200"/>
        <v>0</v>
      </c>
      <c r="Y584" s="11">
        <f t="shared" si="195"/>
        <v>0</v>
      </c>
      <c r="Z584" s="24">
        <f t="shared" si="206"/>
        <v>0</v>
      </c>
      <c r="AA584" s="25">
        <f t="shared" si="196"/>
        <v>0</v>
      </c>
      <c r="AB584" s="24">
        <f t="shared" si="201"/>
        <v>0</v>
      </c>
      <c r="AC584" s="24">
        <f t="shared" si="202"/>
        <v>0</v>
      </c>
      <c r="AD584" s="24">
        <f t="shared" si="203"/>
        <v>0</v>
      </c>
      <c r="AE584" s="24">
        <f t="shared" si="204"/>
        <v>0</v>
      </c>
      <c r="AF584" s="119" t="str">
        <f>VLOOKUP(P584*1,Referencias!$G:$H,2,0)</f>
        <v>qua</v>
      </c>
      <c r="BF584"/>
      <c r="BG584"/>
    </row>
    <row r="585" spans="1:59" ht="14.4" x14ac:dyDescent="0.3">
      <c r="A585" s="163"/>
      <c r="B585" s="164" t="s">
        <v>413</v>
      </c>
      <c r="C585" s="134">
        <v>0.92361111111111116</v>
      </c>
      <c r="D585" s="165">
        <v>2.92</v>
      </c>
      <c r="E585" s="165" t="s">
        <v>29</v>
      </c>
      <c r="F585" s="165"/>
      <c r="G585" s="166">
        <v>2.52</v>
      </c>
      <c r="H585" s="167">
        <v>87.1</v>
      </c>
      <c r="I585" s="165"/>
      <c r="N585" s="7" t="str">
        <f t="shared" si="192"/>
        <v>#LIUAHR5F1 </v>
      </c>
      <c r="O585" s="7" t="str">
        <f t="shared" si="197"/>
        <v>#LIUAHR5F1 </v>
      </c>
      <c r="P585" s="21">
        <f t="shared" si="205"/>
        <v>43250</v>
      </c>
      <c r="Q585" s="22">
        <f>VLOOKUP(R585,Referencias!$D$1:$E$13,2,0)</f>
        <v>5</v>
      </c>
      <c r="R585" s="7" t="str">
        <f t="shared" si="193"/>
        <v>MAI</v>
      </c>
      <c r="S585" s="7">
        <f t="shared" si="198"/>
        <v>0</v>
      </c>
      <c r="T585" s="11">
        <f t="shared" si="194"/>
        <v>30</v>
      </c>
      <c r="U585" s="11">
        <f t="shared" si="199"/>
        <v>0</v>
      </c>
      <c r="V585" s="11" t="str">
        <f>VLOOKUP(C585,Referencias!$A$2:$B$33,2,1)</f>
        <v>22 - 23</v>
      </c>
      <c r="W585" s="23">
        <f t="shared" si="207"/>
        <v>6.9444444444443088E-3</v>
      </c>
      <c r="X585" s="11">
        <f t="shared" si="200"/>
        <v>2.92</v>
      </c>
      <c r="Y585" s="11">
        <f t="shared" si="195"/>
        <v>5.1565252406926083</v>
      </c>
      <c r="Z585" s="24">
        <f t="shared" si="206"/>
        <v>2.52</v>
      </c>
      <c r="AA585" s="25">
        <f t="shared" si="196"/>
        <v>15.120000000000296</v>
      </c>
      <c r="AB585" s="24">
        <f t="shared" si="201"/>
        <v>1</v>
      </c>
      <c r="AC585" s="24">
        <f t="shared" si="202"/>
        <v>1.6509735069441216</v>
      </c>
      <c r="AD585" s="24">
        <f t="shared" si="203"/>
        <v>2.0002793470035503</v>
      </c>
      <c r="AE585" s="24">
        <f t="shared" si="204"/>
        <v>2.371638855479528</v>
      </c>
      <c r="AF585" s="119" t="str">
        <f>VLOOKUP(P585*1,Referencias!$G:$H,2,0)</f>
        <v>qua</v>
      </c>
      <c r="BF585"/>
      <c r="BG585"/>
    </row>
    <row r="586" spans="1:59" ht="14.4" x14ac:dyDescent="0.3">
      <c r="A586" s="163"/>
      <c r="B586" s="164"/>
      <c r="C586" s="134">
        <v>0.93055555555555547</v>
      </c>
      <c r="D586" s="165"/>
      <c r="E586" s="165"/>
      <c r="F586" s="165"/>
      <c r="G586" s="166"/>
      <c r="H586" s="167"/>
      <c r="I586" s="165"/>
      <c r="N586" s="7" t="str">
        <f t="shared" si="192"/>
        <v>#LIUAHR5F1 </v>
      </c>
      <c r="O586" s="7">
        <f t="shared" si="197"/>
        <v>0</v>
      </c>
      <c r="P586" s="21">
        <f t="shared" si="205"/>
        <v>43250</v>
      </c>
      <c r="Q586" s="22">
        <f>VLOOKUP(R586,Referencias!$D$1:$E$13,2,0)</f>
        <v>5</v>
      </c>
      <c r="R586" s="7" t="str">
        <f t="shared" si="193"/>
        <v>MAI</v>
      </c>
      <c r="S586" s="7">
        <f t="shared" si="198"/>
        <v>0</v>
      </c>
      <c r="T586" s="11">
        <f t="shared" si="194"/>
        <v>30</v>
      </c>
      <c r="U586" s="11">
        <f t="shared" si="199"/>
        <v>0</v>
      </c>
      <c r="V586" s="11" t="str">
        <f>VLOOKUP(C586,Referencias!$A$2:$B$33,2,1)</f>
        <v>22 - 23</v>
      </c>
      <c r="W586" s="23" t="str">
        <f t="shared" si="207"/>
        <v/>
      </c>
      <c r="X586" s="11">
        <f t="shared" si="200"/>
        <v>0</v>
      </c>
      <c r="Y586" s="11">
        <f t="shared" si="195"/>
        <v>0</v>
      </c>
      <c r="Z586" s="24">
        <f t="shared" si="206"/>
        <v>0</v>
      </c>
      <c r="AA586" s="25">
        <f t="shared" si="196"/>
        <v>0</v>
      </c>
      <c r="AB586" s="24">
        <f t="shared" si="201"/>
        <v>0</v>
      </c>
      <c r="AC586" s="24">
        <f t="shared" si="202"/>
        <v>0</v>
      </c>
      <c r="AD586" s="24">
        <f t="shared" si="203"/>
        <v>0</v>
      </c>
      <c r="AE586" s="24">
        <f t="shared" si="204"/>
        <v>0</v>
      </c>
      <c r="AF586" s="119" t="str">
        <f>VLOOKUP(P586*1,Referencias!$G:$H,2,0)</f>
        <v>qua</v>
      </c>
      <c r="BF586"/>
      <c r="BG586"/>
    </row>
    <row r="587" spans="1:59" ht="14.4" x14ac:dyDescent="0.3">
      <c r="A587" s="161"/>
      <c r="B587" s="161"/>
      <c r="C587" s="161"/>
      <c r="D587" s="161"/>
      <c r="E587" s="161"/>
      <c r="F587" s="161"/>
      <c r="G587" s="161"/>
      <c r="H587" s="161"/>
      <c r="I587" s="161"/>
      <c r="N587" s="7" t="str">
        <f t="shared" si="192"/>
        <v>#LIUAHR5F1 </v>
      </c>
      <c r="O587" s="7">
        <f t="shared" si="197"/>
        <v>0</v>
      </c>
      <c r="P587" s="21">
        <f t="shared" si="205"/>
        <v>43250</v>
      </c>
      <c r="Q587" s="22">
        <f>VLOOKUP(R587,Referencias!$D$1:$E$13,2,0)</f>
        <v>5</v>
      </c>
      <c r="R587" s="7" t="str">
        <f t="shared" si="193"/>
        <v>MAI</v>
      </c>
      <c r="S587" s="7">
        <f t="shared" si="198"/>
        <v>0</v>
      </c>
      <c r="T587" s="11">
        <f t="shared" si="194"/>
        <v>30</v>
      </c>
      <c r="U587" s="11">
        <f t="shared" si="199"/>
        <v>0</v>
      </c>
      <c r="V587" s="11" t="e">
        <f>VLOOKUP(C587,Referencias!$A$2:$B$33,2,1)</f>
        <v>#N/A</v>
      </c>
      <c r="W587" s="23" t="str">
        <f t="shared" si="207"/>
        <v/>
      </c>
      <c r="X587" s="11">
        <f t="shared" si="200"/>
        <v>0</v>
      </c>
      <c r="Y587" s="11">
        <f t="shared" si="195"/>
        <v>0</v>
      </c>
      <c r="Z587" s="24">
        <f t="shared" si="206"/>
        <v>0</v>
      </c>
      <c r="AA587" s="25">
        <f t="shared" si="196"/>
        <v>0</v>
      </c>
      <c r="AB587" s="24">
        <f t="shared" si="201"/>
        <v>0</v>
      </c>
      <c r="AC587" s="24">
        <f t="shared" si="202"/>
        <v>0</v>
      </c>
      <c r="AD587" s="24">
        <f t="shared" si="203"/>
        <v>0</v>
      </c>
      <c r="AE587" s="24">
        <f t="shared" si="204"/>
        <v>0</v>
      </c>
      <c r="AF587" s="119" t="str">
        <f>VLOOKUP(P587*1,Referencias!$G:$H,2,0)</f>
        <v>qua</v>
      </c>
      <c r="BF587"/>
      <c r="BG587"/>
    </row>
    <row r="588" spans="1:59" ht="14.4" x14ac:dyDescent="0.3">
      <c r="A588" s="162"/>
      <c r="B588" s="162"/>
      <c r="C588" s="162"/>
      <c r="D588" s="162"/>
      <c r="E588" s="162"/>
      <c r="F588" s="162"/>
      <c r="G588" s="162"/>
      <c r="H588" s="162"/>
      <c r="I588" s="162"/>
      <c r="N588" s="7" t="str">
        <f t="shared" si="192"/>
        <v>#LIUAHR5F1 </v>
      </c>
      <c r="O588" s="7">
        <f t="shared" si="197"/>
        <v>0</v>
      </c>
      <c r="P588" s="21">
        <f t="shared" si="205"/>
        <v>43250</v>
      </c>
      <c r="Q588" s="22">
        <f>VLOOKUP(R588,Referencias!$D$1:$E$13,2,0)</f>
        <v>5</v>
      </c>
      <c r="R588" s="7" t="str">
        <f t="shared" si="193"/>
        <v>MAI</v>
      </c>
      <c r="S588" s="7">
        <f t="shared" si="198"/>
        <v>0</v>
      </c>
      <c r="T588" s="11">
        <f t="shared" si="194"/>
        <v>30</v>
      </c>
      <c r="U588" s="11">
        <f t="shared" si="199"/>
        <v>0</v>
      </c>
      <c r="V588" s="11" t="e">
        <f>VLOOKUP(C588,Referencias!$A$2:$B$33,2,1)</f>
        <v>#N/A</v>
      </c>
      <c r="W588" s="23" t="str">
        <f t="shared" si="207"/>
        <v/>
      </c>
      <c r="X588" s="11">
        <f t="shared" si="200"/>
        <v>0</v>
      </c>
      <c r="Y588" s="11">
        <f t="shared" si="195"/>
        <v>0</v>
      </c>
      <c r="Z588" s="24">
        <f t="shared" si="206"/>
        <v>0</v>
      </c>
      <c r="AA588" s="25">
        <f t="shared" si="196"/>
        <v>0</v>
      </c>
      <c r="AB588" s="24">
        <f t="shared" si="201"/>
        <v>0</v>
      </c>
      <c r="AC588" s="24">
        <f t="shared" si="202"/>
        <v>0</v>
      </c>
      <c r="AD588" s="24">
        <f t="shared" si="203"/>
        <v>0</v>
      </c>
      <c r="AE588" s="24">
        <f t="shared" si="204"/>
        <v>0</v>
      </c>
      <c r="AF588" s="119" t="str">
        <f>VLOOKUP(P588*1,Referencias!$G:$H,2,0)</f>
        <v>qua</v>
      </c>
      <c r="BF588"/>
      <c r="BG588"/>
    </row>
    <row r="589" spans="1:59" ht="14.4" x14ac:dyDescent="0.3">
      <c r="A589" s="163"/>
      <c r="B589" s="164" t="s">
        <v>414</v>
      </c>
      <c r="C589" s="134">
        <v>0.93055555555555547</v>
      </c>
      <c r="D589" s="165">
        <v>11.11</v>
      </c>
      <c r="E589" s="165" t="s">
        <v>72</v>
      </c>
      <c r="F589" s="149">
        <v>0.84</v>
      </c>
      <c r="G589" s="166">
        <v>6.46</v>
      </c>
      <c r="H589" s="167">
        <v>93.56</v>
      </c>
      <c r="I589" s="165"/>
      <c r="N589" s="7" t="str">
        <f t="shared" si="192"/>
        <v>#LIVFTHRQT </v>
      </c>
      <c r="O589" s="7" t="str">
        <f t="shared" si="197"/>
        <v>#LIVFTHRQT </v>
      </c>
      <c r="P589" s="21">
        <f t="shared" si="205"/>
        <v>43250</v>
      </c>
      <c r="Q589" s="22">
        <f>VLOOKUP(R589,Referencias!$D$1:$E$13,2,0)</f>
        <v>5</v>
      </c>
      <c r="R589" s="7" t="str">
        <f t="shared" si="193"/>
        <v>MAI</v>
      </c>
      <c r="S589" s="7">
        <f t="shared" si="198"/>
        <v>0</v>
      </c>
      <c r="T589" s="11">
        <f t="shared" si="194"/>
        <v>30</v>
      </c>
      <c r="U589" s="11">
        <f t="shared" si="199"/>
        <v>0</v>
      </c>
      <c r="V589" s="11" t="str">
        <f>VLOOKUP(C589,Referencias!$A$2:$B$33,2,1)</f>
        <v>22 - 23</v>
      </c>
      <c r="W589" s="23">
        <f t="shared" si="207"/>
        <v>2.5000000000000133E-2</v>
      </c>
      <c r="X589" s="11">
        <f t="shared" si="200"/>
        <v>11.11</v>
      </c>
      <c r="Y589" s="11">
        <f t="shared" si="195"/>
        <v>19.619518980854412</v>
      </c>
      <c r="Z589" s="24">
        <f t="shared" si="206"/>
        <v>6.46</v>
      </c>
      <c r="AA589" s="25">
        <f t="shared" si="196"/>
        <v>10.766666666666609</v>
      </c>
      <c r="AB589" s="24">
        <f t="shared" si="201"/>
        <v>1</v>
      </c>
      <c r="AC589" s="24">
        <f t="shared" si="202"/>
        <v>4.232257482086915</v>
      </c>
      <c r="AD589" s="24">
        <f t="shared" si="203"/>
        <v>5.1277002308106878</v>
      </c>
      <c r="AE589" s="24">
        <f t="shared" si="204"/>
        <v>6.0796773834911715</v>
      </c>
      <c r="AF589" s="119" t="str">
        <f>VLOOKUP(P589*1,Referencias!$G:$H,2,0)</f>
        <v>qua</v>
      </c>
      <c r="BF589"/>
      <c r="BG589"/>
    </row>
    <row r="590" spans="1:59" ht="14.4" x14ac:dyDescent="0.3">
      <c r="A590" s="163"/>
      <c r="B590" s="164"/>
      <c r="C590" s="134">
        <v>0.9555555555555556</v>
      </c>
      <c r="D590" s="165"/>
      <c r="E590" s="165"/>
      <c r="F590" s="145" t="s">
        <v>238</v>
      </c>
      <c r="G590" s="166"/>
      <c r="H590" s="167"/>
      <c r="I590" s="165"/>
      <c r="N590" s="7" t="str">
        <f t="shared" si="192"/>
        <v>#LIVFTHRQT </v>
      </c>
      <c r="O590" s="7">
        <f t="shared" si="197"/>
        <v>0</v>
      </c>
      <c r="P590" s="21">
        <f t="shared" si="205"/>
        <v>43250</v>
      </c>
      <c r="Q590" s="22">
        <f>VLOOKUP(R590,Referencias!$D$1:$E$13,2,0)</f>
        <v>5</v>
      </c>
      <c r="R590" s="7" t="str">
        <f t="shared" si="193"/>
        <v>MAI</v>
      </c>
      <c r="S590" s="7">
        <f t="shared" si="198"/>
        <v>0</v>
      </c>
      <c r="T590" s="11">
        <f t="shared" si="194"/>
        <v>30</v>
      </c>
      <c r="U590" s="11">
        <f t="shared" si="199"/>
        <v>0</v>
      </c>
      <c r="V590" s="11" t="str">
        <f>VLOOKUP(C590,Referencias!$A$2:$B$33,2,1)</f>
        <v>22 - 23</v>
      </c>
      <c r="W590" s="23" t="str">
        <f t="shared" si="207"/>
        <v/>
      </c>
      <c r="X590" s="11">
        <f t="shared" si="200"/>
        <v>0</v>
      </c>
      <c r="Y590" s="11">
        <f t="shared" si="195"/>
        <v>0</v>
      </c>
      <c r="Z590" s="24">
        <f t="shared" si="206"/>
        <v>0</v>
      </c>
      <c r="AA590" s="25">
        <f t="shared" si="196"/>
        <v>0</v>
      </c>
      <c r="AB590" s="24">
        <f t="shared" si="201"/>
        <v>0</v>
      </c>
      <c r="AC590" s="24">
        <f t="shared" si="202"/>
        <v>0</v>
      </c>
      <c r="AD590" s="24">
        <f t="shared" si="203"/>
        <v>0</v>
      </c>
      <c r="AE590" s="24">
        <f t="shared" si="204"/>
        <v>0</v>
      </c>
      <c r="AF590" s="119" t="str">
        <f>VLOOKUP(P590*1,Referencias!$G:$H,2,0)</f>
        <v>qua</v>
      </c>
      <c r="BF590"/>
      <c r="BG590"/>
    </row>
    <row r="591" spans="1:59" ht="14.4" x14ac:dyDescent="0.3">
      <c r="A591" s="161"/>
      <c r="B591" s="161"/>
      <c r="C591" s="161"/>
      <c r="D591" s="161"/>
      <c r="E591" s="161"/>
      <c r="F591" s="161"/>
      <c r="G591" s="161"/>
      <c r="H591" s="161"/>
      <c r="I591" s="161"/>
      <c r="N591" s="7" t="str">
        <f t="shared" si="192"/>
        <v>#LIVFTHRQT </v>
      </c>
      <c r="O591" s="7">
        <f t="shared" si="197"/>
        <v>0</v>
      </c>
      <c r="P591" s="21">
        <f t="shared" si="205"/>
        <v>43250</v>
      </c>
      <c r="Q591" s="22">
        <f>VLOOKUP(R591,Referencias!$D$1:$E$13,2,0)</f>
        <v>5</v>
      </c>
      <c r="R591" s="7" t="str">
        <f t="shared" si="193"/>
        <v>MAI</v>
      </c>
      <c r="S591" s="7">
        <f t="shared" si="198"/>
        <v>0</v>
      </c>
      <c r="T591" s="11">
        <f t="shared" si="194"/>
        <v>30</v>
      </c>
      <c r="U591" s="11">
        <f t="shared" si="199"/>
        <v>0</v>
      </c>
      <c r="V591" s="11" t="e">
        <f>VLOOKUP(C591,Referencias!$A$2:$B$33,2,1)</f>
        <v>#N/A</v>
      </c>
      <c r="W591" s="23" t="str">
        <f t="shared" si="207"/>
        <v/>
      </c>
      <c r="X591" s="11">
        <f t="shared" si="200"/>
        <v>0</v>
      </c>
      <c r="Y591" s="11">
        <f t="shared" si="195"/>
        <v>0</v>
      </c>
      <c r="Z591" s="24">
        <f t="shared" si="206"/>
        <v>0</v>
      </c>
      <c r="AA591" s="25">
        <f t="shared" si="196"/>
        <v>0</v>
      </c>
      <c r="AB591" s="24">
        <f t="shared" si="201"/>
        <v>0</v>
      </c>
      <c r="AC591" s="24">
        <f t="shared" si="202"/>
        <v>0</v>
      </c>
      <c r="AD591" s="24">
        <f t="shared" si="203"/>
        <v>0</v>
      </c>
      <c r="AE591" s="24">
        <f t="shared" si="204"/>
        <v>0</v>
      </c>
      <c r="AF591" s="119" t="str">
        <f>VLOOKUP(P591*1,Referencias!$G:$H,2,0)</f>
        <v>qua</v>
      </c>
      <c r="BF591"/>
      <c r="BG591"/>
    </row>
    <row r="592" spans="1:59" ht="14.4" x14ac:dyDescent="0.3">
      <c r="A592" s="162"/>
      <c r="B592" s="162"/>
      <c r="C592" s="162"/>
      <c r="D592" s="162"/>
      <c r="E592" s="162"/>
      <c r="F592" s="162"/>
      <c r="G592" s="162"/>
      <c r="H592" s="162"/>
      <c r="I592" s="162"/>
      <c r="N592" s="7" t="str">
        <f t="shared" si="192"/>
        <v>#LIVFTHRQT </v>
      </c>
      <c r="O592" s="7">
        <f t="shared" si="197"/>
        <v>0</v>
      </c>
      <c r="P592" s="21">
        <f t="shared" si="205"/>
        <v>43250</v>
      </c>
      <c r="Q592" s="22">
        <f>VLOOKUP(R592,Referencias!$D$1:$E$13,2,0)</f>
        <v>5</v>
      </c>
      <c r="R592" s="7" t="str">
        <f t="shared" si="193"/>
        <v>MAI</v>
      </c>
      <c r="S592" s="7">
        <f t="shared" si="198"/>
        <v>0</v>
      </c>
      <c r="T592" s="11">
        <f t="shared" si="194"/>
        <v>30</v>
      </c>
      <c r="U592" s="11">
        <f t="shared" si="199"/>
        <v>0</v>
      </c>
      <c r="V592" s="11" t="e">
        <f>VLOOKUP(C592,Referencias!$A$2:$B$33,2,1)</f>
        <v>#N/A</v>
      </c>
      <c r="W592" s="23" t="str">
        <f t="shared" si="207"/>
        <v/>
      </c>
      <c r="X592" s="11">
        <f t="shared" si="200"/>
        <v>0</v>
      </c>
      <c r="Y592" s="11">
        <f t="shared" si="195"/>
        <v>0</v>
      </c>
      <c r="Z592" s="24">
        <f t="shared" si="206"/>
        <v>0</v>
      </c>
      <c r="AA592" s="25">
        <f t="shared" si="196"/>
        <v>0</v>
      </c>
      <c r="AB592" s="24">
        <f t="shared" si="201"/>
        <v>0</v>
      </c>
      <c r="AC592" s="24">
        <f t="shared" si="202"/>
        <v>0</v>
      </c>
      <c r="AD592" s="24">
        <f t="shared" si="203"/>
        <v>0</v>
      </c>
      <c r="AE592" s="24">
        <f t="shared" si="204"/>
        <v>0</v>
      </c>
      <c r="AF592" s="119" t="str">
        <f>VLOOKUP(P592*1,Referencias!$G:$H,2,0)</f>
        <v>qua</v>
      </c>
      <c r="BF592"/>
      <c r="BG592"/>
    </row>
    <row r="593" spans="1:59" ht="14.4" x14ac:dyDescent="0.3">
      <c r="A593" s="163"/>
      <c r="B593" s="164" t="s">
        <v>415</v>
      </c>
      <c r="C593" s="134">
        <v>0.95694444444444438</v>
      </c>
      <c r="D593" s="165">
        <v>15.25</v>
      </c>
      <c r="E593" s="165" t="s">
        <v>17</v>
      </c>
      <c r="F593" s="149">
        <v>1.02</v>
      </c>
      <c r="G593" s="166">
        <v>7.85</v>
      </c>
      <c r="H593" s="167">
        <v>101.41</v>
      </c>
      <c r="I593" s="165"/>
      <c r="N593" s="7" t="str">
        <f>IF(O593&lt;&gt;0,O593,N592)</f>
        <v>#LILK1C1J4 </v>
      </c>
      <c r="O593" s="7" t="str">
        <f t="shared" si="197"/>
        <v>#LILK1C1J4 </v>
      </c>
      <c r="P593" s="21">
        <f t="shared" si="205"/>
        <v>43250</v>
      </c>
      <c r="Q593" s="22">
        <f>VLOOKUP(R593,Referencias!$D$1:$E$13,2,0)</f>
        <v>5</v>
      </c>
      <c r="R593" s="7" t="str">
        <f>IF(S593="ganhos garantidos",R592,IF(S593&lt;&gt;0,S593,R592))</f>
        <v>MAI</v>
      </c>
      <c r="S593" s="7">
        <f t="shared" si="198"/>
        <v>0</v>
      </c>
      <c r="T593" s="11">
        <f>IF(U593&lt;&gt;0,U593,T592)</f>
        <v>30</v>
      </c>
      <c r="U593" s="11">
        <f t="shared" si="199"/>
        <v>0</v>
      </c>
      <c r="V593" s="11" t="str">
        <f>VLOOKUP(C593,Referencias!$A$2:$B$33,2,1)</f>
        <v>22 - 23</v>
      </c>
      <c r="W593" s="23">
        <f t="shared" si="207"/>
        <v>2.5000000000000022E-2</v>
      </c>
      <c r="X593" s="11">
        <f t="shared" si="200"/>
        <v>15.25</v>
      </c>
      <c r="Y593" s="11">
        <f>X593*$AK$2</f>
        <v>26.93048284950763</v>
      </c>
      <c r="Z593" s="24">
        <f t="shared" si="206"/>
        <v>7.85</v>
      </c>
      <c r="AA593" s="25">
        <f>IFERROR(Z593/(86400*(W593)/360/10),0)</f>
        <v>13.083333333333321</v>
      </c>
      <c r="AB593" s="24">
        <f t="shared" si="201"/>
        <v>1</v>
      </c>
      <c r="AC593" s="24">
        <f t="shared" si="202"/>
        <v>5.1429135037743468</v>
      </c>
      <c r="AD593" s="24">
        <f t="shared" si="203"/>
        <v>6.2310289182451859</v>
      </c>
      <c r="AE593" s="24">
        <f t="shared" si="204"/>
        <v>7.3878432601247201</v>
      </c>
      <c r="AF593" s="119" t="str">
        <f>VLOOKUP(P593*1,Referencias!$G:$H,2,0)</f>
        <v>qua</v>
      </c>
      <c r="BF593"/>
      <c r="BG593"/>
    </row>
    <row r="594" spans="1:59" ht="14.4" x14ac:dyDescent="0.3">
      <c r="A594" s="163"/>
      <c r="B594" s="164"/>
      <c r="C594" s="134">
        <v>0.9819444444444444</v>
      </c>
      <c r="D594" s="165"/>
      <c r="E594" s="165"/>
      <c r="F594" s="145" t="s">
        <v>238</v>
      </c>
      <c r="G594" s="166"/>
      <c r="H594" s="167"/>
      <c r="I594" s="165"/>
      <c r="N594" s="7" t="str">
        <f>IF(O594&lt;&gt;0,O594,N593)</f>
        <v>#LILK1C1J4 </v>
      </c>
      <c r="O594" s="7">
        <f t="shared" si="197"/>
        <v>0</v>
      </c>
      <c r="P594" s="21">
        <f t="shared" si="205"/>
        <v>43250</v>
      </c>
      <c r="Q594" s="22">
        <f>VLOOKUP(R594,Referencias!$D$1:$E$13,2,0)</f>
        <v>5</v>
      </c>
      <c r="R594" s="7" t="str">
        <f>IF(S594="ganhos garantidos",R593,IF(S594&lt;&gt;0,S594,R593))</f>
        <v>MAI</v>
      </c>
      <c r="S594" s="7">
        <f t="shared" si="198"/>
        <v>0</v>
      </c>
      <c r="T594" s="11">
        <f>IF(U594&lt;&gt;0,U594,T593)</f>
        <v>30</v>
      </c>
      <c r="U594" s="11">
        <f t="shared" si="199"/>
        <v>0</v>
      </c>
      <c r="V594" s="11" t="str">
        <f>VLOOKUP(C594,Referencias!$A$2:$B$33,2,1)</f>
        <v>23 - 24</v>
      </c>
      <c r="W594" s="23" t="str">
        <f t="shared" si="207"/>
        <v/>
      </c>
      <c r="X594" s="11">
        <f t="shared" si="200"/>
        <v>0</v>
      </c>
      <c r="Y594" s="11">
        <f>X594*$AK$2</f>
        <v>0</v>
      </c>
      <c r="Z594" s="24">
        <f t="shared" si="206"/>
        <v>0</v>
      </c>
      <c r="AA594" s="25">
        <f>IFERROR(Z594/(86400*(W594)/360/10),0)</f>
        <v>0</v>
      </c>
      <c r="AB594" s="24">
        <f t="shared" si="201"/>
        <v>0</v>
      </c>
      <c r="AC594" s="24">
        <f t="shared" si="202"/>
        <v>0</v>
      </c>
      <c r="AD594" s="24">
        <f t="shared" si="203"/>
        <v>0</v>
      </c>
      <c r="AE594" s="24">
        <f t="shared" si="204"/>
        <v>0</v>
      </c>
      <c r="AF594" s="119" t="str">
        <f>VLOOKUP(P594*1,Referencias!$G:$H,2,0)</f>
        <v>qua</v>
      </c>
      <c r="BF594"/>
      <c r="BG594"/>
    </row>
    <row r="595" spans="1:59" ht="15" thickBot="1" x14ac:dyDescent="0.35">
      <c r="A595" s="172"/>
      <c r="B595" s="172"/>
      <c r="C595" s="172"/>
      <c r="D595" s="172"/>
      <c r="E595" s="172"/>
      <c r="F595" s="172"/>
      <c r="G595" s="172"/>
      <c r="H595" s="172"/>
      <c r="I595" s="172"/>
      <c r="N595" s="7" t="str">
        <f t="shared" ref="N595:N642" si="208">IF(O595&lt;&gt;0,O595,N594)</f>
        <v>#LILK1C1J4 </v>
      </c>
      <c r="O595" s="7">
        <f t="shared" ref="O595:O642" si="209">IF(X595&gt;0,B595,0)</f>
        <v>0</v>
      </c>
      <c r="P595" s="21">
        <f t="shared" si="205"/>
        <v>43250</v>
      </c>
      <c r="Q595" s="22">
        <f>VLOOKUP(R595,Referencias!$D$1:$E$13,2,0)</f>
        <v>5</v>
      </c>
      <c r="R595" s="7" t="str">
        <f t="shared" ref="R595:R642" si="210">IF(S595="ganhos garantidos",R594,IF(S595&lt;&gt;0,S595,R594))</f>
        <v>MAI</v>
      </c>
      <c r="S595" s="7">
        <f t="shared" ref="S595:S641" si="211">IF(X595&gt;0,A596,0)</f>
        <v>0</v>
      </c>
      <c r="T595" s="11">
        <f t="shared" ref="T595:T642" si="212">IF(U595&lt;&gt;0,U595,T594)</f>
        <v>30</v>
      </c>
      <c r="U595" s="11">
        <f t="shared" ref="U595:U642" si="213">IF(X595&gt;0,A595,0)</f>
        <v>0</v>
      </c>
      <c r="V595" s="11" t="e">
        <f>VLOOKUP(C595,Referencias!$A$2:$B$33,2,1)</f>
        <v>#N/A</v>
      </c>
      <c r="W595" s="23" t="str">
        <f t="shared" ref="W595:W641" si="214">IF(X595&gt;0,C596-C595,"")</f>
        <v/>
      </c>
      <c r="X595" s="11">
        <f t="shared" ref="X595:X642" si="215">D595*1</f>
        <v>0</v>
      </c>
      <c r="Y595" s="11">
        <f t="shared" ref="Y595:Y642" si="216">X595*$AK$2</f>
        <v>0</v>
      </c>
      <c r="Z595" s="24">
        <f t="shared" si="206"/>
        <v>0</v>
      </c>
      <c r="AA595" s="25">
        <f t="shared" ref="AA595:AA642" si="217">IFERROR(Z595/(86400*(W595)/360/10),0)</f>
        <v>0</v>
      </c>
      <c r="AB595" s="24">
        <f t="shared" ref="AB595:AB642" si="218">IF(O595&gt;0,1,0)</f>
        <v>0</v>
      </c>
      <c r="AC595" s="24">
        <f t="shared" si="202"/>
        <v>0</v>
      </c>
      <c r="AD595" s="24">
        <f t="shared" si="203"/>
        <v>0</v>
      </c>
      <c r="AE595" s="24">
        <f t="shared" si="204"/>
        <v>0</v>
      </c>
      <c r="AF595" s="119" t="str">
        <f>VLOOKUP(P595*1,Referencias!$G:$H,2,0)</f>
        <v>qua</v>
      </c>
      <c r="BF595"/>
      <c r="BG595"/>
    </row>
    <row r="596" spans="1:59" ht="14.4" x14ac:dyDescent="0.3">
      <c r="A596" s="147">
        <v>1</v>
      </c>
      <c r="B596" s="168" t="s">
        <v>258</v>
      </c>
      <c r="C596" s="134">
        <v>0.42222222222222222</v>
      </c>
      <c r="D596" s="169">
        <v>3.87</v>
      </c>
      <c r="E596" s="169" t="s">
        <v>74</v>
      </c>
      <c r="F596" s="169"/>
      <c r="G596" s="170">
        <v>3.32</v>
      </c>
      <c r="H596" s="171">
        <v>104.73</v>
      </c>
      <c r="I596" s="147" t="s">
        <v>416</v>
      </c>
      <c r="N596" s="7" t="str">
        <f t="shared" si="208"/>
        <v>#LIL47E3ZX </v>
      </c>
      <c r="O596" s="7" t="str">
        <f t="shared" si="209"/>
        <v>#LIL47E3ZX </v>
      </c>
      <c r="P596" s="21">
        <f t="shared" si="205"/>
        <v>43252</v>
      </c>
      <c r="Q596" s="22">
        <f>VLOOKUP(R596,Referencias!$D$1:$E$13,2,0)</f>
        <v>6</v>
      </c>
      <c r="R596" s="7" t="str">
        <f t="shared" si="210"/>
        <v>JUN</v>
      </c>
      <c r="S596" s="7" t="str">
        <f t="shared" si="211"/>
        <v>JUN</v>
      </c>
      <c r="T596" s="11">
        <f t="shared" si="212"/>
        <v>1</v>
      </c>
      <c r="U596" s="11">
        <f t="shared" si="213"/>
        <v>1</v>
      </c>
      <c r="V596" s="11" t="str">
        <f>VLOOKUP(C596,Referencias!$A$2:$B$33,2,1)</f>
        <v>10 - 11</v>
      </c>
      <c r="W596" s="23">
        <f t="shared" si="214"/>
        <v>3.3333333333333326E-2</v>
      </c>
      <c r="X596" s="11">
        <f t="shared" si="215"/>
        <v>3.87</v>
      </c>
      <c r="Y596" s="11">
        <f t="shared" si="216"/>
        <v>6.834161877219314</v>
      </c>
      <c r="Z596" s="24">
        <f t="shared" si="206"/>
        <v>3.32</v>
      </c>
      <c r="AA596" s="25">
        <f t="shared" si="217"/>
        <v>4.1500000000000004</v>
      </c>
      <c r="AB596" s="24">
        <f t="shared" si="218"/>
        <v>1</v>
      </c>
      <c r="AC596" s="24">
        <f t="shared" si="202"/>
        <v>2.1750920805771758</v>
      </c>
      <c r="AD596" s="24">
        <f t="shared" si="203"/>
        <v>2.6352886635126138</v>
      </c>
      <c r="AE596" s="24">
        <f t="shared" si="204"/>
        <v>3.124540079441283</v>
      </c>
      <c r="AF596" s="119" t="str">
        <f>VLOOKUP(P596*1,Referencias!$G:$H,2,0)</f>
        <v>sex</v>
      </c>
      <c r="BF596"/>
      <c r="BG596"/>
    </row>
    <row r="597" spans="1:59" ht="14.4" x14ac:dyDescent="0.3">
      <c r="A597" s="147" t="s">
        <v>250</v>
      </c>
      <c r="B597" s="164"/>
      <c r="C597" s="134">
        <v>0.45555555555555555</v>
      </c>
      <c r="D597" s="165"/>
      <c r="E597" s="165"/>
      <c r="F597" s="165"/>
      <c r="G597" s="166"/>
      <c r="H597" s="167"/>
      <c r="I597" s="147" t="s">
        <v>417</v>
      </c>
      <c r="N597" s="7" t="str">
        <f t="shared" si="208"/>
        <v>#LIL47E3ZX </v>
      </c>
      <c r="O597" s="7">
        <f t="shared" si="209"/>
        <v>0</v>
      </c>
      <c r="P597" s="21">
        <f t="shared" si="205"/>
        <v>43252</v>
      </c>
      <c r="Q597" s="22">
        <f>VLOOKUP(R597,Referencias!$D$1:$E$13,2,0)</f>
        <v>6</v>
      </c>
      <c r="R597" s="7" t="str">
        <f t="shared" si="210"/>
        <v>JUN</v>
      </c>
      <c r="S597" s="7">
        <f t="shared" si="211"/>
        <v>0</v>
      </c>
      <c r="T597" s="11">
        <f t="shared" si="212"/>
        <v>1</v>
      </c>
      <c r="U597" s="11">
        <f t="shared" si="213"/>
        <v>0</v>
      </c>
      <c r="V597" s="11" t="str">
        <f>VLOOKUP(C597,Referencias!$A$2:$B$33,2,1)</f>
        <v>10 - 11</v>
      </c>
      <c r="W597" s="23" t="str">
        <f t="shared" si="214"/>
        <v/>
      </c>
      <c r="X597" s="11">
        <f t="shared" si="215"/>
        <v>0</v>
      </c>
      <c r="Y597" s="11">
        <f t="shared" si="216"/>
        <v>0</v>
      </c>
      <c r="Z597" s="24">
        <f t="shared" si="206"/>
        <v>0</v>
      </c>
      <c r="AA597" s="25">
        <f t="shared" si="217"/>
        <v>0</v>
      </c>
      <c r="AB597" s="24">
        <f t="shared" si="218"/>
        <v>0</v>
      </c>
      <c r="AC597" s="24">
        <f t="shared" si="202"/>
        <v>0</v>
      </c>
      <c r="AD597" s="24">
        <f t="shared" si="203"/>
        <v>0</v>
      </c>
      <c r="AE597" s="24">
        <f t="shared" si="204"/>
        <v>0</v>
      </c>
      <c r="AF597" s="119" t="str">
        <f>VLOOKUP(P597*1,Referencias!$G:$H,2,0)</f>
        <v>sex</v>
      </c>
      <c r="BF597"/>
      <c r="BG597"/>
    </row>
    <row r="598" spans="1:59" ht="14.4" x14ac:dyDescent="0.3">
      <c r="A598" s="161"/>
      <c r="B598" s="161"/>
      <c r="C598" s="161"/>
      <c r="D598" s="161"/>
      <c r="E598" s="161"/>
      <c r="F598" s="161"/>
      <c r="G598" s="161"/>
      <c r="H598" s="161"/>
      <c r="I598" s="161"/>
      <c r="N598" s="7" t="str">
        <f t="shared" si="208"/>
        <v>#LIL47E3ZX </v>
      </c>
      <c r="O598" s="7">
        <f t="shared" si="209"/>
        <v>0</v>
      </c>
      <c r="P598" s="21">
        <f t="shared" si="205"/>
        <v>43252</v>
      </c>
      <c r="Q598" s="22">
        <f>VLOOKUP(R598,Referencias!$D$1:$E$13,2,0)</f>
        <v>6</v>
      </c>
      <c r="R598" s="7" t="str">
        <f t="shared" si="210"/>
        <v>JUN</v>
      </c>
      <c r="S598" s="7">
        <f t="shared" si="211"/>
        <v>0</v>
      </c>
      <c r="T598" s="11">
        <f t="shared" si="212"/>
        <v>1</v>
      </c>
      <c r="U598" s="11">
        <f t="shared" si="213"/>
        <v>0</v>
      </c>
      <c r="V598" s="11" t="e">
        <f>VLOOKUP(C598,Referencias!$A$2:$B$33,2,1)</f>
        <v>#N/A</v>
      </c>
      <c r="W598" s="23" t="str">
        <f t="shared" si="214"/>
        <v/>
      </c>
      <c r="X598" s="11">
        <f t="shared" si="215"/>
        <v>0</v>
      </c>
      <c r="Y598" s="11">
        <f t="shared" si="216"/>
        <v>0</v>
      </c>
      <c r="Z598" s="24">
        <f t="shared" si="206"/>
        <v>0</v>
      </c>
      <c r="AA598" s="25">
        <f t="shared" si="217"/>
        <v>0</v>
      </c>
      <c r="AB598" s="24">
        <f t="shared" si="218"/>
        <v>0</v>
      </c>
      <c r="AC598" s="24">
        <f t="shared" si="202"/>
        <v>0</v>
      </c>
      <c r="AD598" s="24">
        <f t="shared" si="203"/>
        <v>0</v>
      </c>
      <c r="AE598" s="24">
        <f t="shared" si="204"/>
        <v>0</v>
      </c>
      <c r="AF598" s="119" t="str">
        <f>VLOOKUP(P598*1,Referencias!$G:$H,2,0)</f>
        <v>sex</v>
      </c>
      <c r="BF598"/>
      <c r="BG598"/>
    </row>
    <row r="599" spans="1:59" ht="14.4" x14ac:dyDescent="0.3">
      <c r="A599" s="162"/>
      <c r="B599" s="162"/>
      <c r="C599" s="162"/>
      <c r="D599" s="162"/>
      <c r="E599" s="162"/>
      <c r="F599" s="162"/>
      <c r="G599" s="162"/>
      <c r="H599" s="162"/>
      <c r="I599" s="162"/>
      <c r="N599" s="7" t="str">
        <f t="shared" si="208"/>
        <v>#LIL47E3ZX </v>
      </c>
      <c r="O599" s="7">
        <f t="shared" si="209"/>
        <v>0</v>
      </c>
      <c r="P599" s="21">
        <f t="shared" si="205"/>
        <v>43252</v>
      </c>
      <c r="Q599" s="22">
        <f>VLOOKUP(R599,Referencias!$D$1:$E$13,2,0)</f>
        <v>6</v>
      </c>
      <c r="R599" s="7" t="str">
        <f t="shared" si="210"/>
        <v>JUN</v>
      </c>
      <c r="S599" s="7">
        <f t="shared" si="211"/>
        <v>0</v>
      </c>
      <c r="T599" s="11">
        <f t="shared" si="212"/>
        <v>1</v>
      </c>
      <c r="U599" s="11">
        <f t="shared" si="213"/>
        <v>0</v>
      </c>
      <c r="V599" s="11" t="e">
        <f>VLOOKUP(C599,Referencias!$A$2:$B$33,2,1)</f>
        <v>#N/A</v>
      </c>
      <c r="W599" s="23" t="str">
        <f t="shared" si="214"/>
        <v/>
      </c>
      <c r="X599" s="11">
        <f t="shared" si="215"/>
        <v>0</v>
      </c>
      <c r="Y599" s="11">
        <f t="shared" si="216"/>
        <v>0</v>
      </c>
      <c r="Z599" s="24">
        <f t="shared" si="206"/>
        <v>0</v>
      </c>
      <c r="AA599" s="25">
        <f t="shared" si="217"/>
        <v>0</v>
      </c>
      <c r="AB599" s="24">
        <f t="shared" si="218"/>
        <v>0</v>
      </c>
      <c r="AC599" s="24">
        <f t="shared" si="202"/>
        <v>0</v>
      </c>
      <c r="AD599" s="24">
        <f t="shared" si="203"/>
        <v>0</v>
      </c>
      <c r="AE599" s="24">
        <f t="shared" si="204"/>
        <v>0</v>
      </c>
      <c r="AF599" s="119" t="str">
        <f>VLOOKUP(P599*1,Referencias!$G:$H,2,0)</f>
        <v>sex</v>
      </c>
      <c r="BF599"/>
      <c r="BG599"/>
    </row>
    <row r="600" spans="1:59" ht="14.4" x14ac:dyDescent="0.3">
      <c r="A600" s="163"/>
      <c r="B600" s="164" t="s">
        <v>259</v>
      </c>
      <c r="C600" s="134">
        <v>0.50069444444444444</v>
      </c>
      <c r="D600" s="165">
        <v>3.9</v>
      </c>
      <c r="E600" s="165" t="s">
        <v>62</v>
      </c>
      <c r="F600" s="165"/>
      <c r="G600" s="166">
        <v>2.93</v>
      </c>
      <c r="H600" s="167">
        <v>107.66</v>
      </c>
      <c r="I600" s="165"/>
      <c r="N600" s="7" t="str">
        <f t="shared" si="208"/>
        <v>#LIEL7LQAZ </v>
      </c>
      <c r="O600" s="7" t="str">
        <f t="shared" si="209"/>
        <v>#LIEL7LQAZ </v>
      </c>
      <c r="P600" s="21">
        <f t="shared" si="205"/>
        <v>43252</v>
      </c>
      <c r="Q600" s="22">
        <f>VLOOKUP(R600,Referencias!$D$1:$E$13,2,0)</f>
        <v>6</v>
      </c>
      <c r="R600" s="7" t="str">
        <f t="shared" si="210"/>
        <v>JUN</v>
      </c>
      <c r="S600" s="7">
        <f t="shared" si="211"/>
        <v>0</v>
      </c>
      <c r="T600" s="11">
        <f t="shared" si="212"/>
        <v>1</v>
      </c>
      <c r="U600" s="11">
        <f t="shared" si="213"/>
        <v>0</v>
      </c>
      <c r="V600" s="11" t="str">
        <f>VLOOKUP(C600,Referencias!$A$2:$B$33,2,1)</f>
        <v>12 - 13</v>
      </c>
      <c r="W600" s="23">
        <f t="shared" si="214"/>
        <v>1.8055555555555491E-2</v>
      </c>
      <c r="X600" s="11">
        <f t="shared" si="215"/>
        <v>3.9</v>
      </c>
      <c r="Y600" s="11">
        <f t="shared" si="216"/>
        <v>6.8871398762675247</v>
      </c>
      <c r="Z600" s="24">
        <f t="shared" si="206"/>
        <v>2.93</v>
      </c>
      <c r="AA600" s="25">
        <f t="shared" si="217"/>
        <v>6.7615384615384864</v>
      </c>
      <c r="AB600" s="24">
        <f t="shared" si="218"/>
        <v>1</v>
      </c>
      <c r="AC600" s="24">
        <f t="shared" si="202"/>
        <v>1.9195842759310622</v>
      </c>
      <c r="AD600" s="24">
        <f t="shared" si="203"/>
        <v>2.3257216217144454</v>
      </c>
      <c r="AE600" s="24">
        <f t="shared" si="204"/>
        <v>2.7575007327599277</v>
      </c>
      <c r="AF600" s="119" t="str">
        <f>VLOOKUP(P600*1,Referencias!$G:$H,2,0)</f>
        <v>sex</v>
      </c>
      <c r="BF600"/>
      <c r="BG600"/>
    </row>
    <row r="601" spans="1:59" ht="14.4" x14ac:dyDescent="0.3">
      <c r="A601" s="163"/>
      <c r="B601" s="164"/>
      <c r="C601" s="134">
        <v>0.51874999999999993</v>
      </c>
      <c r="D601" s="165"/>
      <c r="E601" s="165"/>
      <c r="F601" s="165"/>
      <c r="G601" s="166"/>
      <c r="H601" s="167"/>
      <c r="I601" s="165"/>
      <c r="N601" s="7" t="str">
        <f t="shared" si="208"/>
        <v>#LIEL7LQAZ </v>
      </c>
      <c r="O601" s="7">
        <f t="shared" si="209"/>
        <v>0</v>
      </c>
      <c r="P601" s="21">
        <f t="shared" si="205"/>
        <v>43252</v>
      </c>
      <c r="Q601" s="22">
        <f>VLOOKUP(R601,Referencias!$D$1:$E$13,2,0)</f>
        <v>6</v>
      </c>
      <c r="R601" s="7" t="str">
        <f t="shared" si="210"/>
        <v>JUN</v>
      </c>
      <c r="S601" s="7">
        <f t="shared" si="211"/>
        <v>0</v>
      </c>
      <c r="T601" s="11">
        <f t="shared" si="212"/>
        <v>1</v>
      </c>
      <c r="U601" s="11">
        <f t="shared" si="213"/>
        <v>0</v>
      </c>
      <c r="V601" s="11" t="str">
        <f>VLOOKUP(C601,Referencias!$A$2:$B$33,2,1)</f>
        <v>12 - 13</v>
      </c>
      <c r="W601" s="23" t="str">
        <f t="shared" si="214"/>
        <v/>
      </c>
      <c r="X601" s="11">
        <f t="shared" si="215"/>
        <v>0</v>
      </c>
      <c r="Y601" s="11">
        <f t="shared" si="216"/>
        <v>0</v>
      </c>
      <c r="Z601" s="24">
        <f t="shared" si="206"/>
        <v>0</v>
      </c>
      <c r="AA601" s="25">
        <f t="shared" si="217"/>
        <v>0</v>
      </c>
      <c r="AB601" s="24">
        <f t="shared" si="218"/>
        <v>0</v>
      </c>
      <c r="AC601" s="24">
        <f t="shared" si="202"/>
        <v>0</v>
      </c>
      <c r="AD601" s="24">
        <f t="shared" si="203"/>
        <v>0</v>
      </c>
      <c r="AE601" s="24">
        <f t="shared" si="204"/>
        <v>0</v>
      </c>
      <c r="AF601" s="119" t="str">
        <f>VLOOKUP(P601*1,Referencias!$G:$H,2,0)</f>
        <v>sex</v>
      </c>
      <c r="BF601"/>
      <c r="BG601"/>
    </row>
    <row r="602" spans="1:59" ht="14.4" x14ac:dyDescent="0.3">
      <c r="A602" s="161"/>
      <c r="B602" s="161"/>
      <c r="C602" s="161"/>
      <c r="D602" s="161"/>
      <c r="E602" s="161"/>
      <c r="F602" s="161"/>
      <c r="G602" s="161"/>
      <c r="H602" s="161"/>
      <c r="I602" s="161"/>
      <c r="N602" s="7" t="str">
        <f t="shared" si="208"/>
        <v>#LIEL7LQAZ </v>
      </c>
      <c r="O602" s="7">
        <f t="shared" si="209"/>
        <v>0</v>
      </c>
      <c r="P602" s="21">
        <f t="shared" si="205"/>
        <v>43252</v>
      </c>
      <c r="Q602" s="22">
        <f>VLOOKUP(R602,Referencias!$D$1:$E$13,2,0)</f>
        <v>6</v>
      </c>
      <c r="R602" s="7" t="str">
        <f t="shared" si="210"/>
        <v>JUN</v>
      </c>
      <c r="S602" s="7">
        <f t="shared" si="211"/>
        <v>0</v>
      </c>
      <c r="T602" s="11">
        <f t="shared" si="212"/>
        <v>1</v>
      </c>
      <c r="U602" s="11">
        <f t="shared" si="213"/>
        <v>0</v>
      </c>
      <c r="V602" s="11" t="e">
        <f>VLOOKUP(C602,Referencias!$A$2:$B$33,2,1)</f>
        <v>#N/A</v>
      </c>
      <c r="W602" s="23" t="str">
        <f t="shared" si="214"/>
        <v/>
      </c>
      <c r="X602" s="11">
        <f t="shared" si="215"/>
        <v>0</v>
      </c>
      <c r="Y602" s="11">
        <f t="shared" si="216"/>
        <v>0</v>
      </c>
      <c r="Z602" s="24">
        <f t="shared" si="206"/>
        <v>0</v>
      </c>
      <c r="AA602" s="25">
        <f t="shared" si="217"/>
        <v>0</v>
      </c>
      <c r="AB602" s="24">
        <f t="shared" si="218"/>
        <v>0</v>
      </c>
      <c r="AC602" s="24">
        <f t="shared" si="202"/>
        <v>0</v>
      </c>
      <c r="AD602" s="24">
        <f t="shared" si="203"/>
        <v>0</v>
      </c>
      <c r="AE602" s="24">
        <f t="shared" si="204"/>
        <v>0</v>
      </c>
      <c r="AF602" s="119" t="str">
        <f>VLOOKUP(P602*1,Referencias!$G:$H,2,0)</f>
        <v>sex</v>
      </c>
      <c r="BF602"/>
      <c r="BG602"/>
    </row>
    <row r="603" spans="1:59" ht="14.4" x14ac:dyDescent="0.3">
      <c r="A603" s="162"/>
      <c r="B603" s="162"/>
      <c r="C603" s="162"/>
      <c r="D603" s="162"/>
      <c r="E603" s="162"/>
      <c r="F603" s="162"/>
      <c r="G603" s="162"/>
      <c r="H603" s="162"/>
      <c r="I603" s="162"/>
      <c r="N603" s="7" t="str">
        <f t="shared" si="208"/>
        <v>#LIEL7LQAZ </v>
      </c>
      <c r="O603" s="7">
        <f t="shared" si="209"/>
        <v>0</v>
      </c>
      <c r="P603" s="21">
        <f t="shared" si="205"/>
        <v>43252</v>
      </c>
      <c r="Q603" s="22">
        <f>VLOOKUP(R603,Referencias!$D$1:$E$13,2,0)</f>
        <v>6</v>
      </c>
      <c r="R603" s="7" t="str">
        <f t="shared" si="210"/>
        <v>JUN</v>
      </c>
      <c r="S603" s="7">
        <f t="shared" si="211"/>
        <v>0</v>
      </c>
      <c r="T603" s="11">
        <f t="shared" si="212"/>
        <v>1</v>
      </c>
      <c r="U603" s="11">
        <f t="shared" si="213"/>
        <v>0</v>
      </c>
      <c r="V603" s="11" t="e">
        <f>VLOOKUP(C603,Referencias!$A$2:$B$33,2,1)</f>
        <v>#N/A</v>
      </c>
      <c r="W603" s="23" t="str">
        <f t="shared" si="214"/>
        <v/>
      </c>
      <c r="X603" s="11">
        <f t="shared" si="215"/>
        <v>0</v>
      </c>
      <c r="Y603" s="11">
        <f t="shared" si="216"/>
        <v>0</v>
      </c>
      <c r="Z603" s="24">
        <f t="shared" si="206"/>
        <v>0</v>
      </c>
      <c r="AA603" s="25">
        <f t="shared" si="217"/>
        <v>0</v>
      </c>
      <c r="AB603" s="24">
        <f t="shared" si="218"/>
        <v>0</v>
      </c>
      <c r="AC603" s="24">
        <f t="shared" si="202"/>
        <v>0</v>
      </c>
      <c r="AD603" s="24">
        <f t="shared" si="203"/>
        <v>0</v>
      </c>
      <c r="AE603" s="24">
        <f t="shared" si="204"/>
        <v>0</v>
      </c>
      <c r="AF603" s="119" t="str">
        <f>VLOOKUP(P603*1,Referencias!$G:$H,2,0)</f>
        <v>sex</v>
      </c>
      <c r="BF603"/>
      <c r="BG603"/>
    </row>
    <row r="604" spans="1:59" ht="14.4" x14ac:dyDescent="0.3">
      <c r="A604" s="163"/>
      <c r="B604" s="164" t="s">
        <v>260</v>
      </c>
      <c r="C604" s="134">
        <v>0.52430555555555558</v>
      </c>
      <c r="D604" s="165">
        <v>7.98</v>
      </c>
      <c r="E604" s="165" t="s">
        <v>230</v>
      </c>
      <c r="F604" s="165"/>
      <c r="G604" s="166">
        <v>5.05</v>
      </c>
      <c r="H604" s="167">
        <v>112.71</v>
      </c>
      <c r="I604" s="165"/>
      <c r="N604" s="7" t="str">
        <f t="shared" si="208"/>
        <v>#LIB3MBFVS </v>
      </c>
      <c r="O604" s="7" t="str">
        <f t="shared" si="209"/>
        <v>#LIB3MBFVS </v>
      </c>
      <c r="P604" s="21">
        <f t="shared" si="205"/>
        <v>43252</v>
      </c>
      <c r="Q604" s="22">
        <f>VLOOKUP(R604,Referencias!$D$1:$E$13,2,0)</f>
        <v>6</v>
      </c>
      <c r="R604" s="7" t="str">
        <f t="shared" si="210"/>
        <v>JUN</v>
      </c>
      <c r="S604" s="7">
        <f t="shared" si="211"/>
        <v>0</v>
      </c>
      <c r="T604" s="11">
        <f t="shared" si="212"/>
        <v>1</v>
      </c>
      <c r="U604" s="11">
        <f t="shared" si="213"/>
        <v>0</v>
      </c>
      <c r="V604" s="11" t="str">
        <f>VLOOKUP(C604,Referencias!$A$2:$B$33,2,1)</f>
        <v>12 - 13</v>
      </c>
      <c r="W604" s="23">
        <f t="shared" si="214"/>
        <v>3.5416666666666652E-2</v>
      </c>
      <c r="X604" s="11">
        <f t="shared" si="215"/>
        <v>7.98</v>
      </c>
      <c r="Y604" s="11">
        <f t="shared" si="216"/>
        <v>14.092147746824322</v>
      </c>
      <c r="Z604" s="24">
        <f t="shared" si="206"/>
        <v>5.05</v>
      </c>
      <c r="AA604" s="25">
        <f t="shared" si="217"/>
        <v>5.9411764705882373</v>
      </c>
      <c r="AB604" s="24">
        <f t="shared" si="218"/>
        <v>1</v>
      </c>
      <c r="AC604" s="24">
        <f t="shared" si="202"/>
        <v>3.3084984960586561</v>
      </c>
      <c r="AD604" s="24">
        <f t="shared" si="203"/>
        <v>4.0084963104634639</v>
      </c>
      <c r="AE604" s="24">
        <f t="shared" si="204"/>
        <v>4.752688976258578</v>
      </c>
      <c r="AF604" s="119" t="str">
        <f>VLOOKUP(P604*1,Referencias!$G:$H,2,0)</f>
        <v>sex</v>
      </c>
      <c r="BF604"/>
      <c r="BG604"/>
    </row>
    <row r="605" spans="1:59" ht="14.4" x14ac:dyDescent="0.3">
      <c r="A605" s="163"/>
      <c r="B605" s="164"/>
      <c r="C605" s="134">
        <v>0.55972222222222223</v>
      </c>
      <c r="D605" s="165"/>
      <c r="E605" s="165"/>
      <c r="F605" s="165"/>
      <c r="G605" s="166"/>
      <c r="H605" s="167"/>
      <c r="I605" s="165"/>
      <c r="N605" s="7" t="str">
        <f t="shared" si="208"/>
        <v>#LIB3MBFVS </v>
      </c>
      <c r="O605" s="7">
        <f t="shared" si="209"/>
        <v>0</v>
      </c>
      <c r="P605" s="21">
        <f t="shared" si="205"/>
        <v>43252</v>
      </c>
      <c r="Q605" s="22">
        <f>VLOOKUP(R605,Referencias!$D$1:$E$13,2,0)</f>
        <v>6</v>
      </c>
      <c r="R605" s="7" t="str">
        <f t="shared" si="210"/>
        <v>JUN</v>
      </c>
      <c r="S605" s="7">
        <f t="shared" si="211"/>
        <v>0</v>
      </c>
      <c r="T605" s="11">
        <f t="shared" si="212"/>
        <v>1</v>
      </c>
      <c r="U605" s="11">
        <f t="shared" si="213"/>
        <v>0</v>
      </c>
      <c r="V605" s="11" t="str">
        <f>VLOOKUP(C605,Referencias!$A$2:$B$33,2,1)</f>
        <v>13 - 14</v>
      </c>
      <c r="W605" s="23" t="str">
        <f t="shared" si="214"/>
        <v/>
      </c>
      <c r="X605" s="11">
        <f t="shared" si="215"/>
        <v>0</v>
      </c>
      <c r="Y605" s="11">
        <f t="shared" si="216"/>
        <v>0</v>
      </c>
      <c r="Z605" s="24">
        <f t="shared" si="206"/>
        <v>0</v>
      </c>
      <c r="AA605" s="25">
        <f t="shared" si="217"/>
        <v>0</v>
      </c>
      <c r="AB605" s="24">
        <f t="shared" si="218"/>
        <v>0</v>
      </c>
      <c r="AC605" s="24">
        <f t="shared" si="202"/>
        <v>0</v>
      </c>
      <c r="AD605" s="24">
        <f t="shared" si="203"/>
        <v>0</v>
      </c>
      <c r="AE605" s="24">
        <f t="shared" si="204"/>
        <v>0</v>
      </c>
      <c r="AF605" s="119" t="str">
        <f>VLOOKUP(P605*1,Referencias!$G:$H,2,0)</f>
        <v>sex</v>
      </c>
      <c r="BF605"/>
      <c r="BG605"/>
    </row>
    <row r="606" spans="1:59" ht="14.4" x14ac:dyDescent="0.3">
      <c r="A606" s="161"/>
      <c r="B606" s="161"/>
      <c r="C606" s="161"/>
      <c r="D606" s="161"/>
      <c r="E606" s="161"/>
      <c r="F606" s="161"/>
      <c r="G606" s="161"/>
      <c r="H606" s="161"/>
      <c r="I606" s="161"/>
      <c r="N606" s="7" t="str">
        <f t="shared" si="208"/>
        <v>#LIB3MBFVS </v>
      </c>
      <c r="O606" s="7">
        <f t="shared" si="209"/>
        <v>0</v>
      </c>
      <c r="P606" s="21">
        <f t="shared" si="205"/>
        <v>43252</v>
      </c>
      <c r="Q606" s="22">
        <f>VLOOKUP(R606,Referencias!$D$1:$E$13,2,0)</f>
        <v>6</v>
      </c>
      <c r="R606" s="7" t="str">
        <f t="shared" si="210"/>
        <v>JUN</v>
      </c>
      <c r="S606" s="7">
        <f t="shared" si="211"/>
        <v>0</v>
      </c>
      <c r="T606" s="11">
        <f t="shared" si="212"/>
        <v>1</v>
      </c>
      <c r="U606" s="11">
        <f t="shared" si="213"/>
        <v>0</v>
      </c>
      <c r="V606" s="11" t="e">
        <f>VLOOKUP(C606,Referencias!$A$2:$B$33,2,1)</f>
        <v>#N/A</v>
      </c>
      <c r="W606" s="23" t="str">
        <f t="shared" si="214"/>
        <v/>
      </c>
      <c r="X606" s="11">
        <f t="shared" si="215"/>
        <v>0</v>
      </c>
      <c r="Y606" s="11">
        <f t="shared" si="216"/>
        <v>0</v>
      </c>
      <c r="Z606" s="24">
        <f t="shared" si="206"/>
        <v>0</v>
      </c>
      <c r="AA606" s="25">
        <f t="shared" si="217"/>
        <v>0</v>
      </c>
      <c r="AB606" s="24">
        <f t="shared" si="218"/>
        <v>0</v>
      </c>
      <c r="AC606" s="24">
        <f t="shared" si="202"/>
        <v>0</v>
      </c>
      <c r="AD606" s="24">
        <f t="shared" si="203"/>
        <v>0</v>
      </c>
      <c r="AE606" s="24">
        <f t="shared" si="204"/>
        <v>0</v>
      </c>
      <c r="AF606" s="119" t="str">
        <f>VLOOKUP(P606*1,Referencias!$G:$H,2,0)</f>
        <v>sex</v>
      </c>
      <c r="BF606"/>
      <c r="BG606"/>
    </row>
    <row r="607" spans="1:59" ht="14.4" x14ac:dyDescent="0.3">
      <c r="A607" s="162"/>
      <c r="B607" s="162"/>
      <c r="C607" s="162"/>
      <c r="D607" s="162"/>
      <c r="E607" s="162"/>
      <c r="F607" s="162"/>
      <c r="G607" s="162"/>
      <c r="H607" s="162"/>
      <c r="I607" s="162"/>
      <c r="N607" s="7" t="str">
        <f t="shared" si="208"/>
        <v>#LIB3MBFVS </v>
      </c>
      <c r="O607" s="7">
        <f t="shared" si="209"/>
        <v>0</v>
      </c>
      <c r="P607" s="21">
        <f t="shared" si="205"/>
        <v>43252</v>
      </c>
      <c r="Q607" s="22">
        <f>VLOOKUP(R607,Referencias!$D$1:$E$13,2,0)</f>
        <v>6</v>
      </c>
      <c r="R607" s="7" t="str">
        <f t="shared" si="210"/>
        <v>JUN</v>
      </c>
      <c r="S607" s="7">
        <f t="shared" si="211"/>
        <v>0</v>
      </c>
      <c r="T607" s="11">
        <f t="shared" si="212"/>
        <v>1</v>
      </c>
      <c r="U607" s="11">
        <f t="shared" si="213"/>
        <v>0</v>
      </c>
      <c r="V607" s="11" t="e">
        <f>VLOOKUP(C607,Referencias!$A$2:$B$33,2,1)</f>
        <v>#N/A</v>
      </c>
      <c r="W607" s="23" t="str">
        <f t="shared" si="214"/>
        <v/>
      </c>
      <c r="X607" s="11">
        <f t="shared" si="215"/>
        <v>0</v>
      </c>
      <c r="Y607" s="11">
        <f t="shared" si="216"/>
        <v>0</v>
      </c>
      <c r="Z607" s="24">
        <f t="shared" si="206"/>
        <v>0</v>
      </c>
      <c r="AA607" s="25">
        <f t="shared" si="217"/>
        <v>0</v>
      </c>
      <c r="AB607" s="24">
        <f t="shared" si="218"/>
        <v>0</v>
      </c>
      <c r="AC607" s="24">
        <f t="shared" si="202"/>
        <v>0</v>
      </c>
      <c r="AD607" s="24">
        <f t="shared" si="203"/>
        <v>0</v>
      </c>
      <c r="AE607" s="24">
        <f t="shared" si="204"/>
        <v>0</v>
      </c>
      <c r="AF607" s="119" t="str">
        <f>VLOOKUP(P607*1,Referencias!$G:$H,2,0)</f>
        <v>sex</v>
      </c>
      <c r="BF607"/>
      <c r="BG607"/>
    </row>
    <row r="608" spans="1:59" ht="14.4" x14ac:dyDescent="0.3">
      <c r="A608" s="163"/>
      <c r="B608" s="164" t="s">
        <v>261</v>
      </c>
      <c r="C608" s="134">
        <v>0.55972222222222223</v>
      </c>
      <c r="D608" s="165">
        <v>5.66</v>
      </c>
      <c r="E608" s="165" t="s">
        <v>36</v>
      </c>
      <c r="F608" s="165"/>
      <c r="G608" s="166">
        <v>3.47</v>
      </c>
      <c r="H608" s="167">
        <v>116.18</v>
      </c>
      <c r="I608" s="165"/>
      <c r="N608" s="7" t="str">
        <f t="shared" si="208"/>
        <v>#LIFR26H9Y </v>
      </c>
      <c r="O608" s="7" t="str">
        <f t="shared" si="209"/>
        <v>#LIFR26H9Y </v>
      </c>
      <c r="P608" s="21">
        <f t="shared" si="205"/>
        <v>43252</v>
      </c>
      <c r="Q608" s="22">
        <f>VLOOKUP(R608,Referencias!$D$1:$E$13,2,0)</f>
        <v>6</v>
      </c>
      <c r="R608" s="7" t="str">
        <f t="shared" si="210"/>
        <v>JUN</v>
      </c>
      <c r="S608" s="7">
        <f t="shared" si="211"/>
        <v>0</v>
      </c>
      <c r="T608" s="11">
        <f t="shared" si="212"/>
        <v>1</v>
      </c>
      <c r="U608" s="11">
        <f t="shared" si="213"/>
        <v>0</v>
      </c>
      <c r="V608" s="11" t="str">
        <f>VLOOKUP(C608,Referencias!$A$2:$B$33,2,1)</f>
        <v>13 - 14</v>
      </c>
      <c r="W608" s="23">
        <f t="shared" si="214"/>
        <v>2.9166666666666674E-2</v>
      </c>
      <c r="X608" s="11">
        <f t="shared" si="215"/>
        <v>5.66</v>
      </c>
      <c r="Y608" s="11">
        <f t="shared" si="216"/>
        <v>9.9951824870959474</v>
      </c>
      <c r="Z608" s="24">
        <f t="shared" si="206"/>
        <v>3.47</v>
      </c>
      <c r="AA608" s="25">
        <f t="shared" si="217"/>
        <v>4.9571428571428573</v>
      </c>
      <c r="AB608" s="24">
        <f t="shared" si="218"/>
        <v>1</v>
      </c>
      <c r="AC608" s="24">
        <f t="shared" si="202"/>
        <v>2.2733643131333738</v>
      </c>
      <c r="AD608" s="24">
        <f t="shared" si="203"/>
        <v>2.7543529103580635</v>
      </c>
      <c r="AE608" s="24">
        <f t="shared" si="204"/>
        <v>3.2657090589341125</v>
      </c>
      <c r="AF608" s="119" t="str">
        <f>VLOOKUP(P608*1,Referencias!$G:$H,2,0)</f>
        <v>sex</v>
      </c>
      <c r="BF608"/>
      <c r="BG608"/>
    </row>
    <row r="609" spans="1:59" ht="14.4" x14ac:dyDescent="0.3">
      <c r="A609" s="163"/>
      <c r="B609" s="164"/>
      <c r="C609" s="134">
        <v>0.58888888888888891</v>
      </c>
      <c r="D609" s="165"/>
      <c r="E609" s="165"/>
      <c r="F609" s="165"/>
      <c r="G609" s="166"/>
      <c r="H609" s="167"/>
      <c r="I609" s="165"/>
      <c r="N609" s="7" t="str">
        <f t="shared" si="208"/>
        <v>#LIFR26H9Y </v>
      </c>
      <c r="O609" s="7">
        <f t="shared" si="209"/>
        <v>0</v>
      </c>
      <c r="P609" s="21">
        <f t="shared" si="205"/>
        <v>43252</v>
      </c>
      <c r="Q609" s="22">
        <f>VLOOKUP(R609,Referencias!$D$1:$E$13,2,0)</f>
        <v>6</v>
      </c>
      <c r="R609" s="7" t="str">
        <f t="shared" si="210"/>
        <v>JUN</v>
      </c>
      <c r="S609" s="7">
        <f t="shared" si="211"/>
        <v>0</v>
      </c>
      <c r="T609" s="11">
        <f t="shared" si="212"/>
        <v>1</v>
      </c>
      <c r="U609" s="11">
        <f t="shared" si="213"/>
        <v>0</v>
      </c>
      <c r="V609" s="11" t="str">
        <f>VLOOKUP(C609,Referencias!$A$2:$B$33,2,1)</f>
        <v>14 - 15</v>
      </c>
      <c r="W609" s="23" t="str">
        <f t="shared" si="214"/>
        <v/>
      </c>
      <c r="X609" s="11">
        <f t="shared" si="215"/>
        <v>0</v>
      </c>
      <c r="Y609" s="11">
        <f t="shared" si="216"/>
        <v>0</v>
      </c>
      <c r="Z609" s="24">
        <f t="shared" si="206"/>
        <v>0</v>
      </c>
      <c r="AA609" s="25">
        <f t="shared" si="217"/>
        <v>0</v>
      </c>
      <c r="AB609" s="24">
        <f t="shared" si="218"/>
        <v>0</v>
      </c>
      <c r="AC609" s="24">
        <f t="shared" si="202"/>
        <v>0</v>
      </c>
      <c r="AD609" s="24">
        <f t="shared" si="203"/>
        <v>0</v>
      </c>
      <c r="AE609" s="24">
        <f t="shared" si="204"/>
        <v>0</v>
      </c>
      <c r="AF609" s="119" t="str">
        <f>VLOOKUP(P609*1,Referencias!$G:$H,2,0)</f>
        <v>sex</v>
      </c>
      <c r="BF609"/>
      <c r="BG609"/>
    </row>
    <row r="610" spans="1:59" ht="14.4" x14ac:dyDescent="0.3">
      <c r="A610" s="161"/>
      <c r="B610" s="161"/>
      <c r="C610" s="161"/>
      <c r="D610" s="161"/>
      <c r="E610" s="161"/>
      <c r="F610" s="161"/>
      <c r="G610" s="161"/>
      <c r="H610" s="161"/>
      <c r="I610" s="161"/>
      <c r="N610" s="7" t="str">
        <f t="shared" si="208"/>
        <v>#LIFR26H9Y </v>
      </c>
      <c r="O610" s="7">
        <f t="shared" si="209"/>
        <v>0</v>
      </c>
      <c r="P610" s="21">
        <f t="shared" si="205"/>
        <v>43252</v>
      </c>
      <c r="Q610" s="22">
        <f>VLOOKUP(R610,Referencias!$D$1:$E$13,2,0)</f>
        <v>6</v>
      </c>
      <c r="R610" s="7" t="str">
        <f t="shared" si="210"/>
        <v>JUN</v>
      </c>
      <c r="S610" s="7">
        <f t="shared" si="211"/>
        <v>0</v>
      </c>
      <c r="T610" s="11">
        <f t="shared" si="212"/>
        <v>1</v>
      </c>
      <c r="U610" s="11">
        <f t="shared" si="213"/>
        <v>0</v>
      </c>
      <c r="V610" s="11" t="e">
        <f>VLOOKUP(C610,Referencias!$A$2:$B$33,2,1)</f>
        <v>#N/A</v>
      </c>
      <c r="W610" s="23" t="str">
        <f t="shared" si="214"/>
        <v/>
      </c>
      <c r="X610" s="11">
        <f t="shared" si="215"/>
        <v>0</v>
      </c>
      <c r="Y610" s="11">
        <f t="shared" si="216"/>
        <v>0</v>
      </c>
      <c r="Z610" s="24">
        <f t="shared" si="206"/>
        <v>0</v>
      </c>
      <c r="AA610" s="25">
        <f t="shared" si="217"/>
        <v>0</v>
      </c>
      <c r="AB610" s="24">
        <f t="shared" si="218"/>
        <v>0</v>
      </c>
      <c r="AC610" s="24">
        <f t="shared" si="202"/>
        <v>0</v>
      </c>
      <c r="AD610" s="24">
        <f t="shared" si="203"/>
        <v>0</v>
      </c>
      <c r="AE610" s="24">
        <f t="shared" si="204"/>
        <v>0</v>
      </c>
      <c r="AF610" s="119" t="str">
        <f>VLOOKUP(P610*1,Referencias!$G:$H,2,0)</f>
        <v>sex</v>
      </c>
      <c r="BF610"/>
      <c r="BG610"/>
    </row>
    <row r="611" spans="1:59" ht="14.4" x14ac:dyDescent="0.3">
      <c r="A611" s="162"/>
      <c r="B611" s="162"/>
      <c r="C611" s="162"/>
      <c r="D611" s="162"/>
      <c r="E611" s="162"/>
      <c r="F611" s="162"/>
      <c r="G611" s="162"/>
      <c r="H611" s="162"/>
      <c r="I611" s="162"/>
      <c r="N611" s="7" t="str">
        <f t="shared" si="208"/>
        <v>#LIFR26H9Y </v>
      </c>
      <c r="O611" s="7">
        <f t="shared" si="209"/>
        <v>0</v>
      </c>
      <c r="P611" s="21">
        <f t="shared" si="205"/>
        <v>43252</v>
      </c>
      <c r="Q611" s="22">
        <f>VLOOKUP(R611,Referencias!$D$1:$E$13,2,0)</f>
        <v>6</v>
      </c>
      <c r="R611" s="7" t="str">
        <f t="shared" si="210"/>
        <v>JUN</v>
      </c>
      <c r="S611" s="7">
        <f t="shared" si="211"/>
        <v>0</v>
      </c>
      <c r="T611" s="11">
        <f t="shared" si="212"/>
        <v>1</v>
      </c>
      <c r="U611" s="11">
        <f t="shared" si="213"/>
        <v>0</v>
      </c>
      <c r="V611" s="11" t="e">
        <f>VLOOKUP(C611,Referencias!$A$2:$B$33,2,1)</f>
        <v>#N/A</v>
      </c>
      <c r="W611" s="23" t="str">
        <f t="shared" si="214"/>
        <v/>
      </c>
      <c r="X611" s="11">
        <f t="shared" si="215"/>
        <v>0</v>
      </c>
      <c r="Y611" s="11">
        <f t="shared" si="216"/>
        <v>0</v>
      </c>
      <c r="Z611" s="24">
        <f t="shared" si="206"/>
        <v>0</v>
      </c>
      <c r="AA611" s="25">
        <f t="shared" si="217"/>
        <v>0</v>
      </c>
      <c r="AB611" s="24">
        <f t="shared" si="218"/>
        <v>0</v>
      </c>
      <c r="AC611" s="24">
        <f t="shared" si="202"/>
        <v>0</v>
      </c>
      <c r="AD611" s="24">
        <f t="shared" si="203"/>
        <v>0</v>
      </c>
      <c r="AE611" s="24">
        <f t="shared" si="204"/>
        <v>0</v>
      </c>
      <c r="AF611" s="119" t="str">
        <f>VLOOKUP(P611*1,Referencias!$G:$H,2,0)</f>
        <v>sex</v>
      </c>
      <c r="BF611"/>
      <c r="BG611"/>
    </row>
    <row r="612" spans="1:59" ht="14.4" x14ac:dyDescent="0.3">
      <c r="A612" s="163"/>
      <c r="B612" s="164" t="s">
        <v>262</v>
      </c>
      <c r="C612" s="134">
        <v>0.58888888888888891</v>
      </c>
      <c r="D612" s="165">
        <v>1.61</v>
      </c>
      <c r="E612" s="165" t="s">
        <v>53</v>
      </c>
      <c r="F612" s="165"/>
      <c r="G612" s="166">
        <v>2.06</v>
      </c>
      <c r="H612" s="167">
        <v>118.24</v>
      </c>
      <c r="I612" s="165"/>
      <c r="N612" s="7" t="str">
        <f t="shared" si="208"/>
        <v>#LISVLV2VP </v>
      </c>
      <c r="O612" s="7" t="str">
        <f t="shared" si="209"/>
        <v>#LISVLV2VP </v>
      </c>
      <c r="P612" s="21">
        <f t="shared" si="205"/>
        <v>43252</v>
      </c>
      <c r="Q612" s="22">
        <f>VLOOKUP(R612,Referencias!$D$1:$E$13,2,0)</f>
        <v>6</v>
      </c>
      <c r="R612" s="7" t="str">
        <f t="shared" si="210"/>
        <v>JUN</v>
      </c>
      <c r="S612" s="7">
        <f t="shared" si="211"/>
        <v>0</v>
      </c>
      <c r="T612" s="11">
        <f t="shared" si="212"/>
        <v>1</v>
      </c>
      <c r="U612" s="11">
        <f t="shared" si="213"/>
        <v>0</v>
      </c>
      <c r="V612" s="11" t="str">
        <f>VLOOKUP(C612,Referencias!$A$2:$B$33,2,1)</f>
        <v>14 - 15</v>
      </c>
      <c r="W612" s="23">
        <f t="shared" si="214"/>
        <v>2.0138888888888928E-2</v>
      </c>
      <c r="X612" s="11">
        <f t="shared" si="215"/>
        <v>1.61</v>
      </c>
      <c r="Y612" s="11">
        <f t="shared" si="216"/>
        <v>2.8431526155873632</v>
      </c>
      <c r="Z612" s="24">
        <f t="shared" si="206"/>
        <v>2.06</v>
      </c>
      <c r="AA612" s="25">
        <f t="shared" si="217"/>
        <v>4.2620689655172335</v>
      </c>
      <c r="AB612" s="24">
        <f t="shared" si="218"/>
        <v>1</v>
      </c>
      <c r="AC612" s="24">
        <f t="shared" si="202"/>
        <v>1.3496053271051154</v>
      </c>
      <c r="AD612" s="24">
        <f t="shared" si="203"/>
        <v>1.6351489900108387</v>
      </c>
      <c r="AE612" s="24">
        <f t="shared" si="204"/>
        <v>1.938720651701519</v>
      </c>
      <c r="AF612" s="119" t="str">
        <f>VLOOKUP(P612*1,Referencias!$G:$H,2,0)</f>
        <v>sex</v>
      </c>
      <c r="BF612"/>
      <c r="BG612"/>
    </row>
    <row r="613" spans="1:59" ht="14.4" x14ac:dyDescent="0.3">
      <c r="A613" s="163"/>
      <c r="B613" s="164"/>
      <c r="C613" s="134">
        <v>0.60902777777777783</v>
      </c>
      <c r="D613" s="165"/>
      <c r="E613" s="165"/>
      <c r="F613" s="165"/>
      <c r="G613" s="166"/>
      <c r="H613" s="167"/>
      <c r="I613" s="165"/>
      <c r="N613" s="7" t="str">
        <f t="shared" si="208"/>
        <v>#LISVLV2VP </v>
      </c>
      <c r="O613" s="7">
        <f t="shared" si="209"/>
        <v>0</v>
      </c>
      <c r="P613" s="21">
        <f t="shared" si="205"/>
        <v>43252</v>
      </c>
      <c r="Q613" s="22">
        <f>VLOOKUP(R613,Referencias!$D$1:$E$13,2,0)</f>
        <v>6</v>
      </c>
      <c r="R613" s="7" t="str">
        <f t="shared" si="210"/>
        <v>JUN</v>
      </c>
      <c r="S613" s="7">
        <f t="shared" si="211"/>
        <v>0</v>
      </c>
      <c r="T613" s="11">
        <f t="shared" si="212"/>
        <v>1</v>
      </c>
      <c r="U613" s="11">
        <f t="shared" si="213"/>
        <v>0</v>
      </c>
      <c r="V613" s="11" t="str">
        <f>VLOOKUP(C613,Referencias!$A$2:$B$33,2,1)</f>
        <v>14 - 15</v>
      </c>
      <c r="W613" s="23" t="str">
        <f t="shared" si="214"/>
        <v/>
      </c>
      <c r="X613" s="11">
        <f t="shared" si="215"/>
        <v>0</v>
      </c>
      <c r="Y613" s="11">
        <f t="shared" si="216"/>
        <v>0</v>
      </c>
      <c r="Z613" s="24">
        <f t="shared" si="206"/>
        <v>0</v>
      </c>
      <c r="AA613" s="25">
        <f t="shared" si="217"/>
        <v>0</v>
      </c>
      <c r="AB613" s="24">
        <f t="shared" si="218"/>
        <v>0</v>
      </c>
      <c r="AC613" s="24">
        <f t="shared" si="202"/>
        <v>0</v>
      </c>
      <c r="AD613" s="24">
        <f t="shared" si="203"/>
        <v>0</v>
      </c>
      <c r="AE613" s="24">
        <f t="shared" si="204"/>
        <v>0</v>
      </c>
      <c r="AF613" s="119" t="str">
        <f>VLOOKUP(P613*1,Referencias!$G:$H,2,0)</f>
        <v>sex</v>
      </c>
      <c r="BF613"/>
      <c r="BG613"/>
    </row>
    <row r="614" spans="1:59" ht="14.4" x14ac:dyDescent="0.3">
      <c r="A614" s="161"/>
      <c r="B614" s="161"/>
      <c r="C614" s="161"/>
      <c r="D614" s="161"/>
      <c r="E614" s="161"/>
      <c r="F614" s="161"/>
      <c r="G614" s="161"/>
      <c r="H614" s="161"/>
      <c r="I614" s="161"/>
      <c r="N614" s="7" t="str">
        <f t="shared" si="208"/>
        <v>#LISVLV2VP </v>
      </c>
      <c r="O614" s="7">
        <f t="shared" si="209"/>
        <v>0</v>
      </c>
      <c r="P614" s="21">
        <f t="shared" si="205"/>
        <v>43252</v>
      </c>
      <c r="Q614" s="22">
        <f>VLOOKUP(R614,Referencias!$D$1:$E$13,2,0)</f>
        <v>6</v>
      </c>
      <c r="R614" s="7" t="str">
        <f t="shared" si="210"/>
        <v>JUN</v>
      </c>
      <c r="S614" s="7">
        <f t="shared" si="211"/>
        <v>0</v>
      </c>
      <c r="T614" s="11">
        <f t="shared" si="212"/>
        <v>1</v>
      </c>
      <c r="U614" s="11">
        <f t="shared" si="213"/>
        <v>0</v>
      </c>
      <c r="V614" s="11" t="e">
        <f>VLOOKUP(C614,Referencias!$A$2:$B$33,2,1)</f>
        <v>#N/A</v>
      </c>
      <c r="W614" s="23" t="str">
        <f t="shared" si="214"/>
        <v/>
      </c>
      <c r="X614" s="11">
        <f t="shared" si="215"/>
        <v>0</v>
      </c>
      <c r="Y614" s="11">
        <f t="shared" si="216"/>
        <v>0</v>
      </c>
      <c r="Z614" s="24">
        <f t="shared" si="206"/>
        <v>0</v>
      </c>
      <c r="AA614" s="25">
        <f t="shared" si="217"/>
        <v>0</v>
      </c>
      <c r="AB614" s="24">
        <f t="shared" si="218"/>
        <v>0</v>
      </c>
      <c r="AC614" s="24">
        <f t="shared" si="202"/>
        <v>0</v>
      </c>
      <c r="AD614" s="24">
        <f t="shared" si="203"/>
        <v>0</v>
      </c>
      <c r="AE614" s="24">
        <f t="shared" si="204"/>
        <v>0</v>
      </c>
      <c r="AF614" s="119" t="str">
        <f>VLOOKUP(P614*1,Referencias!$G:$H,2,0)</f>
        <v>sex</v>
      </c>
      <c r="BF614"/>
      <c r="BG614"/>
    </row>
    <row r="615" spans="1:59" ht="14.4" x14ac:dyDescent="0.3">
      <c r="A615" s="162"/>
      <c r="B615" s="162"/>
      <c r="C615" s="162"/>
      <c r="D615" s="162"/>
      <c r="E615" s="162"/>
      <c r="F615" s="162"/>
      <c r="G615" s="162"/>
      <c r="H615" s="162"/>
      <c r="I615" s="162"/>
      <c r="N615" s="7" t="str">
        <f t="shared" si="208"/>
        <v>#LISVLV2VP </v>
      </c>
      <c r="O615" s="7">
        <f t="shared" si="209"/>
        <v>0</v>
      </c>
      <c r="P615" s="21">
        <f t="shared" si="205"/>
        <v>43252</v>
      </c>
      <c r="Q615" s="22">
        <f>VLOOKUP(R615,Referencias!$D$1:$E$13,2,0)</f>
        <v>6</v>
      </c>
      <c r="R615" s="7" t="str">
        <f t="shared" si="210"/>
        <v>JUN</v>
      </c>
      <c r="S615" s="7">
        <f t="shared" si="211"/>
        <v>0</v>
      </c>
      <c r="T615" s="11">
        <f t="shared" si="212"/>
        <v>1</v>
      </c>
      <c r="U615" s="11">
        <f t="shared" si="213"/>
        <v>0</v>
      </c>
      <c r="V615" s="11" t="e">
        <f>VLOOKUP(C615,Referencias!$A$2:$B$33,2,1)</f>
        <v>#N/A</v>
      </c>
      <c r="W615" s="23" t="str">
        <f t="shared" si="214"/>
        <v/>
      </c>
      <c r="X615" s="11">
        <f t="shared" si="215"/>
        <v>0</v>
      </c>
      <c r="Y615" s="11">
        <f t="shared" si="216"/>
        <v>0</v>
      </c>
      <c r="Z615" s="24">
        <f t="shared" si="206"/>
        <v>0</v>
      </c>
      <c r="AA615" s="25">
        <f t="shared" si="217"/>
        <v>0</v>
      </c>
      <c r="AB615" s="24">
        <f t="shared" si="218"/>
        <v>0</v>
      </c>
      <c r="AC615" s="24">
        <f t="shared" si="202"/>
        <v>0</v>
      </c>
      <c r="AD615" s="24">
        <f t="shared" si="203"/>
        <v>0</v>
      </c>
      <c r="AE615" s="24">
        <f t="shared" si="204"/>
        <v>0</v>
      </c>
      <c r="AF615" s="119" t="str">
        <f>VLOOKUP(P615*1,Referencias!$G:$H,2,0)</f>
        <v>sex</v>
      </c>
      <c r="BF615"/>
      <c r="BG615"/>
    </row>
    <row r="616" spans="1:59" ht="14.4" x14ac:dyDescent="0.3">
      <c r="A616" s="163"/>
      <c r="B616" s="164" t="s">
        <v>263</v>
      </c>
      <c r="C616" s="134">
        <v>0.61111111111111105</v>
      </c>
      <c r="D616" s="165">
        <v>9.5</v>
      </c>
      <c r="E616" s="165" t="s">
        <v>55</v>
      </c>
      <c r="F616" s="165"/>
      <c r="G616" s="166">
        <v>4.82</v>
      </c>
      <c r="H616" s="167">
        <v>123.06</v>
      </c>
      <c r="I616" s="165"/>
      <c r="N616" s="7" t="str">
        <f t="shared" si="208"/>
        <v>#LINVPVKD1 </v>
      </c>
      <c r="O616" s="7" t="str">
        <f t="shared" si="209"/>
        <v>#LINVPVKD1 </v>
      </c>
      <c r="P616" s="21">
        <f t="shared" si="205"/>
        <v>43252</v>
      </c>
      <c r="Q616" s="22">
        <f>VLOOKUP(R616,Referencias!$D$1:$E$13,2,0)</f>
        <v>6</v>
      </c>
      <c r="R616" s="7" t="str">
        <f t="shared" si="210"/>
        <v>JUN</v>
      </c>
      <c r="S616" s="7">
        <f t="shared" si="211"/>
        <v>0</v>
      </c>
      <c r="T616" s="11">
        <f t="shared" si="212"/>
        <v>1</v>
      </c>
      <c r="U616" s="11">
        <f t="shared" si="213"/>
        <v>0</v>
      </c>
      <c r="V616" s="11" t="str">
        <f>VLOOKUP(C616,Referencias!$A$2:$B$33,2,1)</f>
        <v>14 - 15</v>
      </c>
      <c r="W616" s="23">
        <f t="shared" si="214"/>
        <v>3.6111111111111205E-2</v>
      </c>
      <c r="X616" s="11">
        <f t="shared" si="215"/>
        <v>9.5</v>
      </c>
      <c r="Y616" s="11">
        <f t="shared" si="216"/>
        <v>16.776366365267048</v>
      </c>
      <c r="Z616" s="24">
        <f t="shared" si="206"/>
        <v>4.82</v>
      </c>
      <c r="AA616" s="25">
        <f t="shared" si="217"/>
        <v>5.5615384615384471</v>
      </c>
      <c r="AB616" s="24">
        <f t="shared" si="218"/>
        <v>1</v>
      </c>
      <c r="AC616" s="24">
        <f t="shared" si="202"/>
        <v>3.1578144061391535</v>
      </c>
      <c r="AD616" s="24">
        <f t="shared" si="203"/>
        <v>3.8259311319671081</v>
      </c>
      <c r="AE616" s="24">
        <f t="shared" si="204"/>
        <v>4.5362298743695737</v>
      </c>
      <c r="AF616" s="119" t="str">
        <f>VLOOKUP(P616*1,Referencias!$G:$H,2,0)</f>
        <v>sex</v>
      </c>
      <c r="BF616"/>
      <c r="BG616"/>
    </row>
    <row r="617" spans="1:59" ht="14.4" x14ac:dyDescent="0.3">
      <c r="A617" s="163"/>
      <c r="B617" s="164"/>
      <c r="C617" s="134">
        <v>0.64722222222222225</v>
      </c>
      <c r="D617" s="165"/>
      <c r="E617" s="165"/>
      <c r="F617" s="165"/>
      <c r="G617" s="166"/>
      <c r="H617" s="167"/>
      <c r="I617" s="165"/>
      <c r="N617" s="7" t="str">
        <f t="shared" si="208"/>
        <v>#LINVPVKD1 </v>
      </c>
      <c r="O617" s="7">
        <f t="shared" si="209"/>
        <v>0</v>
      </c>
      <c r="P617" s="21">
        <f t="shared" si="205"/>
        <v>43252</v>
      </c>
      <c r="Q617" s="22">
        <f>VLOOKUP(R617,Referencias!$D$1:$E$13,2,0)</f>
        <v>6</v>
      </c>
      <c r="R617" s="7" t="str">
        <f t="shared" si="210"/>
        <v>JUN</v>
      </c>
      <c r="S617" s="7">
        <f t="shared" si="211"/>
        <v>0</v>
      </c>
      <c r="T617" s="11">
        <f t="shared" si="212"/>
        <v>1</v>
      </c>
      <c r="U617" s="11">
        <f t="shared" si="213"/>
        <v>0</v>
      </c>
      <c r="V617" s="11" t="str">
        <f>VLOOKUP(C617,Referencias!$A$2:$B$33,2,1)</f>
        <v>15 - 16</v>
      </c>
      <c r="W617" s="23" t="str">
        <f t="shared" si="214"/>
        <v/>
      </c>
      <c r="X617" s="11">
        <f t="shared" si="215"/>
        <v>0</v>
      </c>
      <c r="Y617" s="11">
        <f t="shared" si="216"/>
        <v>0</v>
      </c>
      <c r="Z617" s="24">
        <f t="shared" si="206"/>
        <v>0</v>
      </c>
      <c r="AA617" s="25">
        <f t="shared" si="217"/>
        <v>0</v>
      </c>
      <c r="AB617" s="24">
        <f t="shared" si="218"/>
        <v>0</v>
      </c>
      <c r="AC617" s="24">
        <f t="shared" si="202"/>
        <v>0</v>
      </c>
      <c r="AD617" s="24">
        <f t="shared" si="203"/>
        <v>0</v>
      </c>
      <c r="AE617" s="24">
        <f t="shared" si="204"/>
        <v>0</v>
      </c>
      <c r="AF617" s="119" t="str">
        <f>VLOOKUP(P617*1,Referencias!$G:$H,2,0)</f>
        <v>sex</v>
      </c>
      <c r="BF617"/>
      <c r="BG617"/>
    </row>
    <row r="618" spans="1:59" ht="14.4" x14ac:dyDescent="0.3">
      <c r="A618" s="161"/>
      <c r="B618" s="161"/>
      <c r="C618" s="161"/>
      <c r="D618" s="161"/>
      <c r="E618" s="161"/>
      <c r="F618" s="161"/>
      <c r="G618" s="161"/>
      <c r="H618" s="161"/>
      <c r="I618" s="161"/>
      <c r="N618" s="7" t="str">
        <f t="shared" si="208"/>
        <v>#LINVPVKD1 </v>
      </c>
      <c r="O618" s="7">
        <f t="shared" si="209"/>
        <v>0</v>
      </c>
      <c r="P618" s="21">
        <f t="shared" si="205"/>
        <v>43252</v>
      </c>
      <c r="Q618" s="22">
        <f>VLOOKUP(R618,Referencias!$D$1:$E$13,2,0)</f>
        <v>6</v>
      </c>
      <c r="R618" s="7" t="str">
        <f t="shared" si="210"/>
        <v>JUN</v>
      </c>
      <c r="S618" s="7">
        <f t="shared" si="211"/>
        <v>0</v>
      </c>
      <c r="T618" s="11">
        <f t="shared" si="212"/>
        <v>1</v>
      </c>
      <c r="U618" s="11">
        <f t="shared" si="213"/>
        <v>0</v>
      </c>
      <c r="V618" s="11" t="e">
        <f>VLOOKUP(C618,Referencias!$A$2:$B$33,2,1)</f>
        <v>#N/A</v>
      </c>
      <c r="W618" s="23" t="str">
        <f t="shared" si="214"/>
        <v/>
      </c>
      <c r="X618" s="11">
        <f t="shared" si="215"/>
        <v>0</v>
      </c>
      <c r="Y618" s="11">
        <f t="shared" si="216"/>
        <v>0</v>
      </c>
      <c r="Z618" s="24">
        <f t="shared" si="206"/>
        <v>0</v>
      </c>
      <c r="AA618" s="25">
        <f t="shared" si="217"/>
        <v>0</v>
      </c>
      <c r="AB618" s="24">
        <f t="shared" si="218"/>
        <v>0</v>
      </c>
      <c r="AC618" s="24">
        <f t="shared" si="202"/>
        <v>0</v>
      </c>
      <c r="AD618" s="24">
        <f t="shared" si="203"/>
        <v>0</v>
      </c>
      <c r="AE618" s="24">
        <f t="shared" si="204"/>
        <v>0</v>
      </c>
      <c r="AF618" s="119" t="str">
        <f>VLOOKUP(P618*1,Referencias!$G:$H,2,0)</f>
        <v>sex</v>
      </c>
      <c r="BF618"/>
      <c r="BG618"/>
    </row>
    <row r="619" spans="1:59" ht="14.4" x14ac:dyDescent="0.3">
      <c r="A619" s="162"/>
      <c r="B619" s="162"/>
      <c r="C619" s="162"/>
      <c r="D619" s="162"/>
      <c r="E619" s="162"/>
      <c r="F619" s="162"/>
      <c r="G619" s="162"/>
      <c r="H619" s="162"/>
      <c r="I619" s="162"/>
      <c r="N619" s="7" t="str">
        <f t="shared" si="208"/>
        <v>#LINVPVKD1 </v>
      </c>
      <c r="O619" s="7">
        <f t="shared" si="209"/>
        <v>0</v>
      </c>
      <c r="P619" s="21">
        <f t="shared" si="205"/>
        <v>43252</v>
      </c>
      <c r="Q619" s="22">
        <f>VLOOKUP(R619,Referencias!$D$1:$E$13,2,0)</f>
        <v>6</v>
      </c>
      <c r="R619" s="7" t="str">
        <f t="shared" si="210"/>
        <v>JUN</v>
      </c>
      <c r="S619" s="7">
        <f t="shared" si="211"/>
        <v>0</v>
      </c>
      <c r="T619" s="11">
        <f t="shared" si="212"/>
        <v>1</v>
      </c>
      <c r="U619" s="11">
        <f t="shared" si="213"/>
        <v>0</v>
      </c>
      <c r="V619" s="11" t="e">
        <f>VLOOKUP(C619,Referencias!$A$2:$B$33,2,1)</f>
        <v>#N/A</v>
      </c>
      <c r="W619" s="23" t="str">
        <f t="shared" si="214"/>
        <v/>
      </c>
      <c r="X619" s="11">
        <f t="shared" si="215"/>
        <v>0</v>
      </c>
      <c r="Y619" s="11">
        <f t="shared" si="216"/>
        <v>0</v>
      </c>
      <c r="Z619" s="24">
        <f t="shared" si="206"/>
        <v>0</v>
      </c>
      <c r="AA619" s="25">
        <f t="shared" si="217"/>
        <v>0</v>
      </c>
      <c r="AB619" s="24">
        <f t="shared" si="218"/>
        <v>0</v>
      </c>
      <c r="AC619" s="24">
        <f t="shared" si="202"/>
        <v>0</v>
      </c>
      <c r="AD619" s="24">
        <f t="shared" si="203"/>
        <v>0</v>
      </c>
      <c r="AE619" s="24">
        <f t="shared" si="204"/>
        <v>0</v>
      </c>
      <c r="AF619" s="119" t="str">
        <f>VLOOKUP(P619*1,Referencias!$G:$H,2,0)</f>
        <v>sex</v>
      </c>
      <c r="BF619"/>
      <c r="BG619"/>
    </row>
    <row r="620" spans="1:59" ht="14.4" x14ac:dyDescent="0.3">
      <c r="A620" s="163"/>
      <c r="B620" s="164" t="s">
        <v>264</v>
      </c>
      <c r="C620" s="134">
        <v>0.82777777777777783</v>
      </c>
      <c r="D620" s="165">
        <v>7.65</v>
      </c>
      <c r="E620" s="165" t="s">
        <v>53</v>
      </c>
      <c r="F620" s="165"/>
      <c r="G620" s="166">
        <v>4.17</v>
      </c>
      <c r="H620" s="167">
        <v>127.23</v>
      </c>
      <c r="I620" s="165"/>
      <c r="N620" s="7" t="str">
        <f t="shared" si="208"/>
        <v>#LIQHJFXR6 </v>
      </c>
      <c r="O620" s="7" t="str">
        <f t="shared" si="209"/>
        <v>#LIQHJFXR6 </v>
      </c>
      <c r="P620" s="21">
        <f t="shared" si="205"/>
        <v>43252</v>
      </c>
      <c r="Q620" s="22">
        <f>VLOOKUP(R620,Referencias!$D$1:$E$13,2,0)</f>
        <v>6</v>
      </c>
      <c r="R620" s="7" t="str">
        <f t="shared" si="210"/>
        <v>JUN</v>
      </c>
      <c r="S620" s="7">
        <f t="shared" si="211"/>
        <v>0</v>
      </c>
      <c r="T620" s="11">
        <f t="shared" si="212"/>
        <v>1</v>
      </c>
      <c r="U620" s="11">
        <f t="shared" si="213"/>
        <v>0</v>
      </c>
      <c r="V620" s="11" t="str">
        <f>VLOOKUP(C620,Referencias!$A$2:$B$33,2,1)</f>
        <v>19 - 20</v>
      </c>
      <c r="W620" s="23">
        <f t="shared" si="214"/>
        <v>2.0833333333333259E-2</v>
      </c>
      <c r="X620" s="11">
        <f t="shared" si="215"/>
        <v>7.65</v>
      </c>
      <c r="Y620" s="11">
        <f t="shared" si="216"/>
        <v>13.509389757293992</v>
      </c>
      <c r="Z620" s="24">
        <f t="shared" si="206"/>
        <v>4.17</v>
      </c>
      <c r="AA620" s="25">
        <f t="shared" si="217"/>
        <v>8.3400000000000301</v>
      </c>
      <c r="AB620" s="24">
        <f t="shared" si="218"/>
        <v>1</v>
      </c>
      <c r="AC620" s="24">
        <f t="shared" si="202"/>
        <v>2.7319680650622966</v>
      </c>
      <c r="AD620" s="24">
        <f t="shared" si="203"/>
        <v>3.3099860623034938</v>
      </c>
      <c r="AE620" s="24">
        <f t="shared" si="204"/>
        <v>3.9244976299006478</v>
      </c>
      <c r="AF620" s="119" t="str">
        <f>VLOOKUP(P620*1,Referencias!$G:$H,2,0)</f>
        <v>sex</v>
      </c>
      <c r="BF620"/>
      <c r="BG620"/>
    </row>
    <row r="621" spans="1:59" ht="14.4" x14ac:dyDescent="0.3">
      <c r="A621" s="163"/>
      <c r="B621" s="164"/>
      <c r="C621" s="134">
        <v>0.84861111111111109</v>
      </c>
      <c r="D621" s="165"/>
      <c r="E621" s="165"/>
      <c r="F621" s="165"/>
      <c r="G621" s="166"/>
      <c r="H621" s="167"/>
      <c r="I621" s="165"/>
      <c r="N621" s="7" t="str">
        <f t="shared" si="208"/>
        <v>#LIQHJFXR6 </v>
      </c>
      <c r="O621" s="7">
        <f t="shared" si="209"/>
        <v>0</v>
      </c>
      <c r="P621" s="21">
        <f t="shared" si="205"/>
        <v>43252</v>
      </c>
      <c r="Q621" s="22">
        <f>VLOOKUP(R621,Referencias!$D$1:$E$13,2,0)</f>
        <v>6</v>
      </c>
      <c r="R621" s="7" t="str">
        <f t="shared" si="210"/>
        <v>JUN</v>
      </c>
      <c r="S621" s="7">
        <f t="shared" si="211"/>
        <v>0</v>
      </c>
      <c r="T621" s="11">
        <f t="shared" si="212"/>
        <v>1</v>
      </c>
      <c r="U621" s="11">
        <f t="shared" si="213"/>
        <v>0</v>
      </c>
      <c r="V621" s="11" t="str">
        <f>VLOOKUP(C621,Referencias!$A$2:$B$33,2,1)</f>
        <v>20 - 21</v>
      </c>
      <c r="W621" s="23" t="str">
        <f t="shared" si="214"/>
        <v/>
      </c>
      <c r="X621" s="11">
        <f t="shared" si="215"/>
        <v>0</v>
      </c>
      <c r="Y621" s="11">
        <f t="shared" si="216"/>
        <v>0</v>
      </c>
      <c r="Z621" s="24">
        <f t="shared" si="206"/>
        <v>0</v>
      </c>
      <c r="AA621" s="25">
        <f t="shared" si="217"/>
        <v>0</v>
      </c>
      <c r="AB621" s="24">
        <f t="shared" si="218"/>
        <v>0</v>
      </c>
      <c r="AC621" s="24">
        <f t="shared" si="202"/>
        <v>0</v>
      </c>
      <c r="AD621" s="24">
        <f t="shared" si="203"/>
        <v>0</v>
      </c>
      <c r="AE621" s="24">
        <f t="shared" si="204"/>
        <v>0</v>
      </c>
      <c r="AF621" s="119" t="str">
        <f>VLOOKUP(P621*1,Referencias!$G:$H,2,0)</f>
        <v>sex</v>
      </c>
      <c r="BF621"/>
      <c r="BG621"/>
    </row>
    <row r="622" spans="1:59" ht="14.4" x14ac:dyDescent="0.3">
      <c r="A622" s="161"/>
      <c r="B622" s="161"/>
      <c r="C622" s="161"/>
      <c r="D622" s="161"/>
      <c r="E622" s="161"/>
      <c r="F622" s="161"/>
      <c r="G622" s="161"/>
      <c r="H622" s="161"/>
      <c r="I622" s="161"/>
      <c r="N622" s="7" t="str">
        <f t="shared" si="208"/>
        <v>#LIQHJFXR6 </v>
      </c>
      <c r="O622" s="7">
        <f t="shared" si="209"/>
        <v>0</v>
      </c>
      <c r="P622" s="21">
        <f t="shared" si="205"/>
        <v>43252</v>
      </c>
      <c r="Q622" s="22">
        <f>VLOOKUP(R622,Referencias!$D$1:$E$13,2,0)</f>
        <v>6</v>
      </c>
      <c r="R622" s="7" t="str">
        <f t="shared" si="210"/>
        <v>JUN</v>
      </c>
      <c r="S622" s="7">
        <f t="shared" si="211"/>
        <v>0</v>
      </c>
      <c r="T622" s="11">
        <f t="shared" si="212"/>
        <v>1</v>
      </c>
      <c r="U622" s="11">
        <f t="shared" si="213"/>
        <v>0</v>
      </c>
      <c r="V622" s="11" t="e">
        <f>VLOOKUP(C622,Referencias!$A$2:$B$33,2,1)</f>
        <v>#N/A</v>
      </c>
      <c r="W622" s="23" t="str">
        <f t="shared" si="214"/>
        <v/>
      </c>
      <c r="X622" s="11">
        <f t="shared" si="215"/>
        <v>0</v>
      </c>
      <c r="Y622" s="11">
        <f t="shared" si="216"/>
        <v>0</v>
      </c>
      <c r="Z622" s="24">
        <f t="shared" si="206"/>
        <v>0</v>
      </c>
      <c r="AA622" s="25">
        <f t="shared" si="217"/>
        <v>0</v>
      </c>
      <c r="AB622" s="24">
        <f t="shared" si="218"/>
        <v>0</v>
      </c>
      <c r="AC622" s="24">
        <f t="shared" si="202"/>
        <v>0</v>
      </c>
      <c r="AD622" s="24">
        <f t="shared" si="203"/>
        <v>0</v>
      </c>
      <c r="AE622" s="24">
        <f t="shared" si="204"/>
        <v>0</v>
      </c>
      <c r="AF622" s="119" t="str">
        <f>VLOOKUP(P622*1,Referencias!$G:$H,2,0)</f>
        <v>sex</v>
      </c>
      <c r="BF622"/>
      <c r="BG622"/>
    </row>
    <row r="623" spans="1:59" ht="14.4" x14ac:dyDescent="0.3">
      <c r="A623" s="162"/>
      <c r="B623" s="162"/>
      <c r="C623" s="162"/>
      <c r="D623" s="162"/>
      <c r="E623" s="162"/>
      <c r="F623" s="162"/>
      <c r="G623" s="162"/>
      <c r="H623" s="162"/>
      <c r="I623" s="162"/>
      <c r="N623" s="7" t="str">
        <f t="shared" si="208"/>
        <v>#LIQHJFXR6 </v>
      </c>
      <c r="O623" s="7">
        <f t="shared" si="209"/>
        <v>0</v>
      </c>
      <c r="P623" s="21">
        <f t="shared" si="205"/>
        <v>43252</v>
      </c>
      <c r="Q623" s="22">
        <f>VLOOKUP(R623,Referencias!$D$1:$E$13,2,0)</f>
        <v>6</v>
      </c>
      <c r="R623" s="7" t="str">
        <f t="shared" si="210"/>
        <v>JUN</v>
      </c>
      <c r="S623" s="7">
        <f t="shared" si="211"/>
        <v>0</v>
      </c>
      <c r="T623" s="11">
        <f t="shared" si="212"/>
        <v>1</v>
      </c>
      <c r="U623" s="11">
        <f t="shared" si="213"/>
        <v>0</v>
      </c>
      <c r="V623" s="11" t="e">
        <f>VLOOKUP(C623,Referencias!$A$2:$B$33,2,1)</f>
        <v>#N/A</v>
      </c>
      <c r="W623" s="23" t="str">
        <f t="shared" si="214"/>
        <v/>
      </c>
      <c r="X623" s="11">
        <f t="shared" si="215"/>
        <v>0</v>
      </c>
      <c r="Y623" s="11">
        <f t="shared" si="216"/>
        <v>0</v>
      </c>
      <c r="Z623" s="24">
        <f t="shared" si="206"/>
        <v>0</v>
      </c>
      <c r="AA623" s="25">
        <f t="shared" si="217"/>
        <v>0</v>
      </c>
      <c r="AB623" s="24">
        <f t="shared" si="218"/>
        <v>0</v>
      </c>
      <c r="AC623" s="24">
        <f t="shared" si="202"/>
        <v>0</v>
      </c>
      <c r="AD623" s="24">
        <f t="shared" si="203"/>
        <v>0</v>
      </c>
      <c r="AE623" s="24">
        <f t="shared" si="204"/>
        <v>0</v>
      </c>
      <c r="AF623" s="119" t="str">
        <f>VLOOKUP(P623*1,Referencias!$G:$H,2,0)</f>
        <v>sex</v>
      </c>
      <c r="BF623"/>
      <c r="BG623"/>
    </row>
    <row r="624" spans="1:59" ht="14.4" x14ac:dyDescent="0.3">
      <c r="A624" s="163"/>
      <c r="B624" s="164" t="s">
        <v>265</v>
      </c>
      <c r="C624" s="134">
        <v>0.86041666666666661</v>
      </c>
      <c r="D624" s="165">
        <v>5.93</v>
      </c>
      <c r="E624" s="165" t="s">
        <v>88</v>
      </c>
      <c r="F624" s="149">
        <v>0.78</v>
      </c>
      <c r="G624" s="166">
        <v>4.68</v>
      </c>
      <c r="H624" s="167">
        <v>131.91</v>
      </c>
      <c r="I624" s="165"/>
      <c r="N624" s="7" t="str">
        <f t="shared" si="208"/>
        <v>#LIQG28ALL </v>
      </c>
      <c r="O624" s="7" t="str">
        <f t="shared" si="209"/>
        <v>#LIQG28ALL </v>
      </c>
      <c r="P624" s="21">
        <f t="shared" si="205"/>
        <v>43252</v>
      </c>
      <c r="Q624" s="22">
        <f>VLOOKUP(R624,Referencias!$D$1:$E$13,2,0)</f>
        <v>6</v>
      </c>
      <c r="R624" s="7" t="str">
        <f t="shared" si="210"/>
        <v>JUN</v>
      </c>
      <c r="S624" s="7">
        <f t="shared" si="211"/>
        <v>0</v>
      </c>
      <c r="T624" s="11">
        <f t="shared" si="212"/>
        <v>1</v>
      </c>
      <c r="U624" s="11">
        <f t="shared" si="213"/>
        <v>0</v>
      </c>
      <c r="V624" s="11" t="str">
        <f>VLOOKUP(C624,Referencias!$A$2:$B$33,2,1)</f>
        <v>20 - 21</v>
      </c>
      <c r="W624" s="23">
        <f t="shared" si="214"/>
        <v>2.9861111111111227E-2</v>
      </c>
      <c r="X624" s="11">
        <f t="shared" si="215"/>
        <v>5.93</v>
      </c>
      <c r="Y624" s="11">
        <f t="shared" si="216"/>
        <v>10.471984478529851</v>
      </c>
      <c r="Z624" s="24">
        <f t="shared" si="206"/>
        <v>4.68</v>
      </c>
      <c r="AA624" s="25">
        <f t="shared" si="217"/>
        <v>6.5302325581395095</v>
      </c>
      <c r="AB624" s="24">
        <f t="shared" si="218"/>
        <v>1</v>
      </c>
      <c r="AC624" s="24">
        <f t="shared" si="202"/>
        <v>3.0660936557533685</v>
      </c>
      <c r="AD624" s="24">
        <f t="shared" si="203"/>
        <v>3.7148045015780218</v>
      </c>
      <c r="AE624" s="24">
        <f t="shared" si="204"/>
        <v>4.4044721601762662</v>
      </c>
      <c r="AF624" s="119" t="str">
        <f>VLOOKUP(P624*1,Referencias!$G:$H,2,0)</f>
        <v>sex</v>
      </c>
      <c r="BF624"/>
      <c r="BG624"/>
    </row>
    <row r="625" spans="1:59" ht="14.4" x14ac:dyDescent="0.3">
      <c r="A625" s="163"/>
      <c r="B625" s="164"/>
      <c r="C625" s="134">
        <v>0.89027777777777783</v>
      </c>
      <c r="D625" s="165"/>
      <c r="E625" s="165"/>
      <c r="F625" s="145" t="s">
        <v>70</v>
      </c>
      <c r="G625" s="166"/>
      <c r="H625" s="167"/>
      <c r="I625" s="165"/>
      <c r="N625" s="7" t="str">
        <f t="shared" si="208"/>
        <v>#LIQG28ALL </v>
      </c>
      <c r="O625" s="7">
        <f t="shared" si="209"/>
        <v>0</v>
      </c>
      <c r="P625" s="21">
        <f t="shared" si="205"/>
        <v>43252</v>
      </c>
      <c r="Q625" s="22">
        <f>VLOOKUP(R625,Referencias!$D$1:$E$13,2,0)</f>
        <v>6</v>
      </c>
      <c r="R625" s="7" t="str">
        <f t="shared" si="210"/>
        <v>JUN</v>
      </c>
      <c r="S625" s="7">
        <f t="shared" si="211"/>
        <v>0</v>
      </c>
      <c r="T625" s="11">
        <f t="shared" si="212"/>
        <v>1</v>
      </c>
      <c r="U625" s="11">
        <f t="shared" si="213"/>
        <v>0</v>
      </c>
      <c r="V625" s="11" t="str">
        <f>VLOOKUP(C625,Referencias!$A$2:$B$33,2,1)</f>
        <v>21 - 22</v>
      </c>
      <c r="W625" s="23" t="str">
        <f t="shared" si="214"/>
        <v/>
      </c>
      <c r="X625" s="11">
        <f t="shared" si="215"/>
        <v>0</v>
      </c>
      <c r="Y625" s="11">
        <f t="shared" si="216"/>
        <v>0</v>
      </c>
      <c r="Z625" s="24">
        <f t="shared" si="206"/>
        <v>0</v>
      </c>
      <c r="AA625" s="25">
        <f t="shared" si="217"/>
        <v>0</v>
      </c>
      <c r="AB625" s="24">
        <f t="shared" si="218"/>
        <v>0</v>
      </c>
      <c r="AC625" s="24">
        <f t="shared" si="202"/>
        <v>0</v>
      </c>
      <c r="AD625" s="24">
        <f t="shared" si="203"/>
        <v>0</v>
      </c>
      <c r="AE625" s="24">
        <f t="shared" si="204"/>
        <v>0</v>
      </c>
      <c r="AF625" s="119" t="str">
        <f>VLOOKUP(P625*1,Referencias!$G:$H,2,0)</f>
        <v>sex</v>
      </c>
      <c r="BF625"/>
      <c r="BG625"/>
    </row>
    <row r="626" spans="1:59" ht="14.4" x14ac:dyDescent="0.3">
      <c r="A626" s="161"/>
      <c r="B626" s="161"/>
      <c r="C626" s="161"/>
      <c r="D626" s="161"/>
      <c r="E626" s="161"/>
      <c r="F626" s="161"/>
      <c r="G626" s="161"/>
      <c r="H626" s="161"/>
      <c r="I626" s="161"/>
      <c r="N626" s="7" t="str">
        <f t="shared" si="208"/>
        <v>#LIQG28ALL </v>
      </c>
      <c r="O626" s="7">
        <f t="shared" si="209"/>
        <v>0</v>
      </c>
      <c r="P626" s="21">
        <f t="shared" si="205"/>
        <v>43252</v>
      </c>
      <c r="Q626" s="22">
        <f>VLOOKUP(R626,Referencias!$D$1:$E$13,2,0)</f>
        <v>6</v>
      </c>
      <c r="R626" s="7" t="str">
        <f t="shared" si="210"/>
        <v>JUN</v>
      </c>
      <c r="S626" s="7">
        <f t="shared" si="211"/>
        <v>0</v>
      </c>
      <c r="T626" s="11">
        <f t="shared" si="212"/>
        <v>1</v>
      </c>
      <c r="U626" s="11">
        <f t="shared" si="213"/>
        <v>0</v>
      </c>
      <c r="V626" s="11" t="e">
        <f>VLOOKUP(C626,Referencias!$A$2:$B$33,2,1)</f>
        <v>#N/A</v>
      </c>
      <c r="W626" s="23" t="str">
        <f t="shared" si="214"/>
        <v/>
      </c>
      <c r="X626" s="11">
        <f t="shared" si="215"/>
        <v>0</v>
      </c>
      <c r="Y626" s="11">
        <f t="shared" si="216"/>
        <v>0</v>
      </c>
      <c r="Z626" s="24">
        <f t="shared" si="206"/>
        <v>0</v>
      </c>
      <c r="AA626" s="25">
        <f t="shared" si="217"/>
        <v>0</v>
      </c>
      <c r="AB626" s="24">
        <f t="shared" si="218"/>
        <v>0</v>
      </c>
      <c r="AC626" s="24">
        <f t="shared" si="202"/>
        <v>0</v>
      </c>
      <c r="AD626" s="24">
        <f t="shared" si="203"/>
        <v>0</v>
      </c>
      <c r="AE626" s="24">
        <f t="shared" si="204"/>
        <v>0</v>
      </c>
      <c r="AF626" s="119" t="str">
        <f>VLOOKUP(P626*1,Referencias!$G:$H,2,0)</f>
        <v>sex</v>
      </c>
      <c r="BF626"/>
      <c r="BG626"/>
    </row>
    <row r="627" spans="1:59" ht="14.4" x14ac:dyDescent="0.3">
      <c r="A627" s="162"/>
      <c r="B627" s="162"/>
      <c r="C627" s="162"/>
      <c r="D627" s="162"/>
      <c r="E627" s="162"/>
      <c r="F627" s="162"/>
      <c r="G627" s="162"/>
      <c r="H627" s="162"/>
      <c r="I627" s="162"/>
      <c r="N627" s="7" t="str">
        <f t="shared" si="208"/>
        <v>#LIQG28ALL </v>
      </c>
      <c r="O627" s="7">
        <f t="shared" si="209"/>
        <v>0</v>
      </c>
      <c r="P627" s="21">
        <f t="shared" si="205"/>
        <v>43252</v>
      </c>
      <c r="Q627" s="22">
        <f>VLOOKUP(R627,Referencias!$D$1:$E$13,2,0)</f>
        <v>6</v>
      </c>
      <c r="R627" s="7" t="str">
        <f t="shared" si="210"/>
        <v>JUN</v>
      </c>
      <c r="S627" s="7">
        <f t="shared" si="211"/>
        <v>0</v>
      </c>
      <c r="T627" s="11">
        <f t="shared" si="212"/>
        <v>1</v>
      </c>
      <c r="U627" s="11">
        <f t="shared" si="213"/>
        <v>0</v>
      </c>
      <c r="V627" s="11" t="e">
        <f>VLOOKUP(C627,Referencias!$A$2:$B$33,2,1)</f>
        <v>#N/A</v>
      </c>
      <c r="W627" s="23" t="str">
        <f t="shared" si="214"/>
        <v/>
      </c>
      <c r="X627" s="11">
        <f t="shared" si="215"/>
        <v>0</v>
      </c>
      <c r="Y627" s="11">
        <f t="shared" si="216"/>
        <v>0</v>
      </c>
      <c r="Z627" s="24">
        <f t="shared" si="206"/>
        <v>0</v>
      </c>
      <c r="AA627" s="25">
        <f t="shared" si="217"/>
        <v>0</v>
      </c>
      <c r="AB627" s="24">
        <f t="shared" si="218"/>
        <v>0</v>
      </c>
      <c r="AC627" s="24">
        <f t="shared" si="202"/>
        <v>0</v>
      </c>
      <c r="AD627" s="24">
        <f t="shared" si="203"/>
        <v>0</v>
      </c>
      <c r="AE627" s="24">
        <f t="shared" si="204"/>
        <v>0</v>
      </c>
      <c r="AF627" s="119" t="str">
        <f>VLOOKUP(P627*1,Referencias!$G:$H,2,0)</f>
        <v>sex</v>
      </c>
      <c r="BF627"/>
      <c r="BG627"/>
    </row>
    <row r="628" spans="1:59" ht="14.4" x14ac:dyDescent="0.3">
      <c r="A628" s="163"/>
      <c r="B628" s="164" t="s">
        <v>266</v>
      </c>
      <c r="C628" s="134">
        <v>0.89513888888888893</v>
      </c>
      <c r="D628" s="165">
        <v>3.65</v>
      </c>
      <c r="E628" s="165" t="s">
        <v>17</v>
      </c>
      <c r="F628" s="165"/>
      <c r="G628" s="166">
        <v>2.77</v>
      </c>
      <c r="H628" s="167">
        <v>134.68</v>
      </c>
      <c r="I628" s="165"/>
      <c r="N628" s="7" t="str">
        <f t="shared" si="208"/>
        <v>#LIAAWA9K2 </v>
      </c>
      <c r="O628" s="7" t="str">
        <f t="shared" si="209"/>
        <v>#LIAAWA9K2 </v>
      </c>
      <c r="P628" s="21">
        <f t="shared" si="205"/>
        <v>43252</v>
      </c>
      <c r="Q628" s="22">
        <f>VLOOKUP(R628,Referencias!$D$1:$E$13,2,0)</f>
        <v>6</v>
      </c>
      <c r="R628" s="7" t="str">
        <f t="shared" si="210"/>
        <v>JUN</v>
      </c>
      <c r="S628" s="7">
        <f t="shared" si="211"/>
        <v>0</v>
      </c>
      <c r="T628" s="11">
        <f t="shared" si="212"/>
        <v>1</v>
      </c>
      <c r="U628" s="11">
        <f t="shared" si="213"/>
        <v>0</v>
      </c>
      <c r="V628" s="11" t="str">
        <f>VLOOKUP(C628,Referencias!$A$2:$B$33,2,1)</f>
        <v>21 - 22</v>
      </c>
      <c r="W628" s="23">
        <f t="shared" si="214"/>
        <v>1.1805555555555514E-2</v>
      </c>
      <c r="X628" s="11">
        <f t="shared" si="215"/>
        <v>3.65</v>
      </c>
      <c r="Y628" s="11">
        <f t="shared" si="216"/>
        <v>6.4456565508657606</v>
      </c>
      <c r="Z628" s="24">
        <f t="shared" si="206"/>
        <v>2.77</v>
      </c>
      <c r="AA628" s="25">
        <f t="shared" si="217"/>
        <v>9.7764705882353287</v>
      </c>
      <c r="AB628" s="24">
        <f t="shared" si="218"/>
        <v>1</v>
      </c>
      <c r="AC628" s="24">
        <f t="shared" si="202"/>
        <v>1.8147605612044511</v>
      </c>
      <c r="AD628" s="24">
        <f t="shared" si="203"/>
        <v>2.1987197584126328</v>
      </c>
      <c r="AE628" s="24">
        <f t="shared" si="204"/>
        <v>2.6069204879675767</v>
      </c>
      <c r="AF628" s="119" t="str">
        <f>VLOOKUP(P628*1,Referencias!$G:$H,2,0)</f>
        <v>sex</v>
      </c>
      <c r="BF628"/>
      <c r="BG628"/>
    </row>
    <row r="629" spans="1:59" ht="14.4" x14ac:dyDescent="0.3">
      <c r="A629" s="163"/>
      <c r="B629" s="164"/>
      <c r="C629" s="134">
        <v>0.90694444444444444</v>
      </c>
      <c r="D629" s="165"/>
      <c r="E629" s="165"/>
      <c r="F629" s="165"/>
      <c r="G629" s="166"/>
      <c r="H629" s="167"/>
      <c r="I629" s="165"/>
      <c r="N629" s="7" t="str">
        <f t="shared" si="208"/>
        <v>#LIAAWA9K2 </v>
      </c>
      <c r="O629" s="7">
        <f t="shared" si="209"/>
        <v>0</v>
      </c>
      <c r="P629" s="21">
        <f t="shared" si="205"/>
        <v>43252</v>
      </c>
      <c r="Q629" s="22">
        <f>VLOOKUP(R629,Referencias!$D$1:$E$13,2,0)</f>
        <v>6</v>
      </c>
      <c r="R629" s="7" t="str">
        <f t="shared" si="210"/>
        <v>JUN</v>
      </c>
      <c r="S629" s="7">
        <f t="shared" si="211"/>
        <v>0</v>
      </c>
      <c r="T629" s="11">
        <f t="shared" si="212"/>
        <v>1</v>
      </c>
      <c r="U629" s="11">
        <f t="shared" si="213"/>
        <v>0</v>
      </c>
      <c r="V629" s="11" t="str">
        <f>VLOOKUP(C629,Referencias!$A$2:$B$33,2,1)</f>
        <v>21 - 22</v>
      </c>
      <c r="W629" s="23" t="str">
        <f t="shared" si="214"/>
        <v/>
      </c>
      <c r="X629" s="11">
        <f t="shared" si="215"/>
        <v>0</v>
      </c>
      <c r="Y629" s="11">
        <f t="shared" si="216"/>
        <v>0</v>
      </c>
      <c r="Z629" s="24">
        <f t="shared" si="206"/>
        <v>0</v>
      </c>
      <c r="AA629" s="25">
        <f t="shared" si="217"/>
        <v>0</v>
      </c>
      <c r="AB629" s="24">
        <f t="shared" si="218"/>
        <v>0</v>
      </c>
      <c r="AC629" s="24">
        <f t="shared" si="202"/>
        <v>0</v>
      </c>
      <c r="AD629" s="24">
        <f t="shared" si="203"/>
        <v>0</v>
      </c>
      <c r="AE629" s="24">
        <f t="shared" si="204"/>
        <v>0</v>
      </c>
      <c r="AF629" s="119" t="str">
        <f>VLOOKUP(P629*1,Referencias!$G:$H,2,0)</f>
        <v>sex</v>
      </c>
      <c r="BF629"/>
      <c r="BG629"/>
    </row>
    <row r="630" spans="1:59" ht="14.4" x14ac:dyDescent="0.3">
      <c r="A630" s="161"/>
      <c r="B630" s="161"/>
      <c r="C630" s="161"/>
      <c r="D630" s="161"/>
      <c r="E630" s="161"/>
      <c r="F630" s="161"/>
      <c r="G630" s="161"/>
      <c r="H630" s="161"/>
      <c r="I630" s="161"/>
      <c r="N630" s="7" t="str">
        <f t="shared" si="208"/>
        <v>#LIAAWA9K2 </v>
      </c>
      <c r="O630" s="7">
        <f t="shared" si="209"/>
        <v>0</v>
      </c>
      <c r="P630" s="21">
        <f t="shared" si="205"/>
        <v>43252</v>
      </c>
      <c r="Q630" s="22">
        <f>VLOOKUP(R630,Referencias!$D$1:$E$13,2,0)</f>
        <v>6</v>
      </c>
      <c r="R630" s="7" t="str">
        <f t="shared" si="210"/>
        <v>JUN</v>
      </c>
      <c r="S630" s="7">
        <f t="shared" si="211"/>
        <v>0</v>
      </c>
      <c r="T630" s="11">
        <f t="shared" si="212"/>
        <v>1</v>
      </c>
      <c r="U630" s="11">
        <f t="shared" si="213"/>
        <v>0</v>
      </c>
      <c r="V630" s="11" t="e">
        <f>VLOOKUP(C630,Referencias!$A$2:$B$33,2,1)</f>
        <v>#N/A</v>
      </c>
      <c r="W630" s="23" t="str">
        <f t="shared" si="214"/>
        <v/>
      </c>
      <c r="X630" s="11">
        <f t="shared" si="215"/>
        <v>0</v>
      </c>
      <c r="Y630" s="11">
        <f t="shared" si="216"/>
        <v>0</v>
      </c>
      <c r="Z630" s="24">
        <f t="shared" si="206"/>
        <v>0</v>
      </c>
      <c r="AA630" s="25">
        <f t="shared" si="217"/>
        <v>0</v>
      </c>
      <c r="AB630" s="24">
        <f t="shared" si="218"/>
        <v>0</v>
      </c>
      <c r="AC630" s="24">
        <f t="shared" si="202"/>
        <v>0</v>
      </c>
      <c r="AD630" s="24">
        <f t="shared" si="203"/>
        <v>0</v>
      </c>
      <c r="AE630" s="24">
        <f t="shared" si="204"/>
        <v>0</v>
      </c>
      <c r="AF630" s="119" t="str">
        <f>VLOOKUP(P630*1,Referencias!$G:$H,2,0)</f>
        <v>sex</v>
      </c>
      <c r="BF630"/>
      <c r="BG630"/>
    </row>
    <row r="631" spans="1:59" ht="14.4" x14ac:dyDescent="0.3">
      <c r="A631" s="162"/>
      <c r="B631" s="162"/>
      <c r="C631" s="162"/>
      <c r="D631" s="162"/>
      <c r="E631" s="162"/>
      <c r="F631" s="162"/>
      <c r="G631" s="162"/>
      <c r="H631" s="162"/>
      <c r="I631" s="162"/>
      <c r="N631" s="7" t="str">
        <f t="shared" si="208"/>
        <v>#LIAAWA9K2 </v>
      </c>
      <c r="O631" s="7">
        <f t="shared" si="209"/>
        <v>0</v>
      </c>
      <c r="P631" s="21">
        <f t="shared" si="205"/>
        <v>43252</v>
      </c>
      <c r="Q631" s="22">
        <f>VLOOKUP(R631,Referencias!$D$1:$E$13,2,0)</f>
        <v>6</v>
      </c>
      <c r="R631" s="7" t="str">
        <f t="shared" si="210"/>
        <v>JUN</v>
      </c>
      <c r="S631" s="7">
        <f t="shared" si="211"/>
        <v>0</v>
      </c>
      <c r="T631" s="11">
        <f t="shared" si="212"/>
        <v>1</v>
      </c>
      <c r="U631" s="11">
        <f t="shared" si="213"/>
        <v>0</v>
      </c>
      <c r="V631" s="11" t="e">
        <f>VLOOKUP(C631,Referencias!$A$2:$B$33,2,1)</f>
        <v>#N/A</v>
      </c>
      <c r="W631" s="23" t="str">
        <f t="shared" si="214"/>
        <v/>
      </c>
      <c r="X631" s="11">
        <f t="shared" si="215"/>
        <v>0</v>
      </c>
      <c r="Y631" s="11">
        <f t="shared" si="216"/>
        <v>0</v>
      </c>
      <c r="Z631" s="24">
        <f t="shared" si="206"/>
        <v>0</v>
      </c>
      <c r="AA631" s="25">
        <f t="shared" si="217"/>
        <v>0</v>
      </c>
      <c r="AB631" s="24">
        <f t="shared" si="218"/>
        <v>0</v>
      </c>
      <c r="AC631" s="24">
        <f t="shared" si="202"/>
        <v>0</v>
      </c>
      <c r="AD631" s="24">
        <f t="shared" si="203"/>
        <v>0</v>
      </c>
      <c r="AE631" s="24">
        <f t="shared" si="204"/>
        <v>0</v>
      </c>
      <c r="AF631" s="119" t="str">
        <f>VLOOKUP(P631*1,Referencias!$G:$H,2,0)</f>
        <v>sex</v>
      </c>
      <c r="BF631"/>
      <c r="BG631"/>
    </row>
    <row r="632" spans="1:59" ht="14.4" x14ac:dyDescent="0.3">
      <c r="A632" s="163"/>
      <c r="B632" s="164" t="s">
        <v>267</v>
      </c>
      <c r="C632" s="134">
        <v>0.91319444444444453</v>
      </c>
      <c r="D632" s="165">
        <v>5.44</v>
      </c>
      <c r="E632" s="165" t="s">
        <v>17</v>
      </c>
      <c r="F632" s="165"/>
      <c r="G632" s="166">
        <v>3.4</v>
      </c>
      <c r="H632" s="167">
        <v>138.08000000000001</v>
      </c>
      <c r="I632" s="165"/>
      <c r="N632" s="7" t="str">
        <f t="shared" si="208"/>
        <v>#LIB4EE11L </v>
      </c>
      <c r="O632" s="7" t="str">
        <f t="shared" si="209"/>
        <v>#LIB4EE11L </v>
      </c>
      <c r="P632" s="21">
        <f t="shared" si="205"/>
        <v>43252</v>
      </c>
      <c r="Q632" s="22">
        <f>VLOOKUP(R632,Referencias!$D$1:$E$13,2,0)</f>
        <v>6</v>
      </c>
      <c r="R632" s="7" t="str">
        <f t="shared" si="210"/>
        <v>JUN</v>
      </c>
      <c r="S632" s="7">
        <f t="shared" si="211"/>
        <v>0</v>
      </c>
      <c r="T632" s="11">
        <f t="shared" si="212"/>
        <v>1</v>
      </c>
      <c r="U632" s="11">
        <f t="shared" si="213"/>
        <v>0</v>
      </c>
      <c r="V632" s="11" t="str">
        <f>VLOOKUP(C632,Referencias!$A$2:$B$33,2,1)</f>
        <v>21 - 22</v>
      </c>
      <c r="W632" s="23">
        <f t="shared" si="214"/>
        <v>2.0833333333333259E-2</v>
      </c>
      <c r="X632" s="11">
        <f t="shared" si="215"/>
        <v>5.44</v>
      </c>
      <c r="Y632" s="11">
        <f t="shared" si="216"/>
        <v>9.6066771607423949</v>
      </c>
      <c r="Z632" s="24">
        <f t="shared" si="206"/>
        <v>3.4</v>
      </c>
      <c r="AA632" s="25">
        <f t="shared" si="217"/>
        <v>6.8000000000000238</v>
      </c>
      <c r="AB632" s="24">
        <f t="shared" si="218"/>
        <v>1</v>
      </c>
      <c r="AC632" s="24">
        <f t="shared" si="202"/>
        <v>2.2275039379404813</v>
      </c>
      <c r="AD632" s="24">
        <f t="shared" si="203"/>
        <v>2.6987895951635199</v>
      </c>
      <c r="AE632" s="24">
        <f t="shared" si="204"/>
        <v>3.1998302018374587</v>
      </c>
      <c r="AF632" s="119" t="str">
        <f>VLOOKUP(P632*1,Referencias!$G:$H,2,0)</f>
        <v>sex</v>
      </c>
      <c r="BF632"/>
      <c r="BG632"/>
    </row>
    <row r="633" spans="1:59" ht="14.4" x14ac:dyDescent="0.3">
      <c r="A633" s="163"/>
      <c r="B633" s="164"/>
      <c r="C633" s="134">
        <v>0.93402777777777779</v>
      </c>
      <c r="D633" s="165"/>
      <c r="E633" s="165"/>
      <c r="F633" s="165"/>
      <c r="G633" s="166"/>
      <c r="H633" s="167"/>
      <c r="I633" s="165"/>
      <c r="N633" s="7" t="str">
        <f t="shared" si="208"/>
        <v>#LIB4EE11L </v>
      </c>
      <c r="O633" s="7">
        <f t="shared" si="209"/>
        <v>0</v>
      </c>
      <c r="P633" s="21">
        <f t="shared" si="205"/>
        <v>43252</v>
      </c>
      <c r="Q633" s="22">
        <f>VLOOKUP(R633,Referencias!$D$1:$E$13,2,0)</f>
        <v>6</v>
      </c>
      <c r="R633" s="7" t="str">
        <f t="shared" si="210"/>
        <v>JUN</v>
      </c>
      <c r="S633" s="7">
        <f t="shared" si="211"/>
        <v>0</v>
      </c>
      <c r="T633" s="11">
        <f t="shared" si="212"/>
        <v>1</v>
      </c>
      <c r="U633" s="11">
        <f t="shared" si="213"/>
        <v>0</v>
      </c>
      <c r="V633" s="11" t="str">
        <f>VLOOKUP(C633,Referencias!$A$2:$B$33,2,1)</f>
        <v>22 - 23</v>
      </c>
      <c r="W633" s="23" t="str">
        <f t="shared" si="214"/>
        <v/>
      </c>
      <c r="X633" s="11">
        <f t="shared" si="215"/>
        <v>0</v>
      </c>
      <c r="Y633" s="11">
        <f t="shared" si="216"/>
        <v>0</v>
      </c>
      <c r="Z633" s="24">
        <f t="shared" si="206"/>
        <v>0</v>
      </c>
      <c r="AA633" s="25">
        <f t="shared" si="217"/>
        <v>0</v>
      </c>
      <c r="AB633" s="24">
        <f t="shared" si="218"/>
        <v>0</v>
      </c>
      <c r="AC633" s="24">
        <f t="shared" si="202"/>
        <v>0</v>
      </c>
      <c r="AD633" s="24">
        <f t="shared" si="203"/>
        <v>0</v>
      </c>
      <c r="AE633" s="24">
        <f t="shared" si="204"/>
        <v>0</v>
      </c>
      <c r="AF633" s="119" t="str">
        <f>VLOOKUP(P633*1,Referencias!$G:$H,2,0)</f>
        <v>sex</v>
      </c>
      <c r="BF633"/>
      <c r="BG633"/>
    </row>
    <row r="634" spans="1:59" ht="14.4" x14ac:dyDescent="0.3">
      <c r="A634" s="161"/>
      <c r="B634" s="161"/>
      <c r="C634" s="161"/>
      <c r="D634" s="161"/>
      <c r="E634" s="161"/>
      <c r="F634" s="161"/>
      <c r="G634" s="161"/>
      <c r="H634" s="161"/>
      <c r="I634" s="161"/>
      <c r="N634" s="7" t="str">
        <f t="shared" si="208"/>
        <v>#LIB4EE11L </v>
      </c>
      <c r="O634" s="7">
        <f t="shared" si="209"/>
        <v>0</v>
      </c>
      <c r="P634" s="21">
        <f t="shared" si="205"/>
        <v>43252</v>
      </c>
      <c r="Q634" s="22">
        <f>VLOOKUP(R634,Referencias!$D$1:$E$13,2,0)</f>
        <v>6</v>
      </c>
      <c r="R634" s="7" t="str">
        <f t="shared" si="210"/>
        <v>JUN</v>
      </c>
      <c r="S634" s="7">
        <f t="shared" si="211"/>
        <v>0</v>
      </c>
      <c r="T634" s="11">
        <f t="shared" si="212"/>
        <v>1</v>
      </c>
      <c r="U634" s="11">
        <f t="shared" si="213"/>
        <v>0</v>
      </c>
      <c r="V634" s="11" t="e">
        <f>VLOOKUP(C634,Referencias!$A$2:$B$33,2,1)</f>
        <v>#N/A</v>
      </c>
      <c r="W634" s="23" t="str">
        <f t="shared" si="214"/>
        <v/>
      </c>
      <c r="X634" s="11">
        <f t="shared" si="215"/>
        <v>0</v>
      </c>
      <c r="Y634" s="11">
        <f t="shared" si="216"/>
        <v>0</v>
      </c>
      <c r="Z634" s="24">
        <f t="shared" si="206"/>
        <v>0</v>
      </c>
      <c r="AA634" s="25">
        <f t="shared" si="217"/>
        <v>0</v>
      </c>
      <c r="AB634" s="24">
        <f t="shared" si="218"/>
        <v>0</v>
      </c>
      <c r="AC634" s="24">
        <f t="shared" si="202"/>
        <v>0</v>
      </c>
      <c r="AD634" s="24">
        <f t="shared" si="203"/>
        <v>0</v>
      </c>
      <c r="AE634" s="24">
        <f t="shared" si="204"/>
        <v>0</v>
      </c>
      <c r="AF634" s="119" t="str">
        <f>VLOOKUP(P634*1,Referencias!$G:$H,2,0)</f>
        <v>sex</v>
      </c>
      <c r="BF634"/>
      <c r="BG634"/>
    </row>
    <row r="635" spans="1:59" ht="14.4" x14ac:dyDescent="0.3">
      <c r="A635" s="162"/>
      <c r="B635" s="162"/>
      <c r="C635" s="162"/>
      <c r="D635" s="162"/>
      <c r="E635" s="162"/>
      <c r="F635" s="162"/>
      <c r="G635" s="162"/>
      <c r="H635" s="162"/>
      <c r="I635" s="162"/>
      <c r="N635" s="7" t="str">
        <f t="shared" si="208"/>
        <v>#LIB4EE11L </v>
      </c>
      <c r="O635" s="7">
        <f t="shared" si="209"/>
        <v>0</v>
      </c>
      <c r="P635" s="21">
        <f t="shared" si="205"/>
        <v>43252</v>
      </c>
      <c r="Q635" s="22">
        <f>VLOOKUP(R635,Referencias!$D$1:$E$13,2,0)</f>
        <v>6</v>
      </c>
      <c r="R635" s="7" t="str">
        <f t="shared" si="210"/>
        <v>JUN</v>
      </c>
      <c r="S635" s="7">
        <f t="shared" si="211"/>
        <v>0</v>
      </c>
      <c r="T635" s="11">
        <f t="shared" si="212"/>
        <v>1</v>
      </c>
      <c r="U635" s="11">
        <f t="shared" si="213"/>
        <v>0</v>
      </c>
      <c r="V635" s="11" t="e">
        <f>VLOOKUP(C635,Referencias!$A$2:$B$33,2,1)</f>
        <v>#N/A</v>
      </c>
      <c r="W635" s="23" t="str">
        <f t="shared" si="214"/>
        <v/>
      </c>
      <c r="X635" s="11">
        <f t="shared" si="215"/>
        <v>0</v>
      </c>
      <c r="Y635" s="11">
        <f t="shared" si="216"/>
        <v>0</v>
      </c>
      <c r="Z635" s="24">
        <f t="shared" si="206"/>
        <v>0</v>
      </c>
      <c r="AA635" s="25">
        <f t="shared" si="217"/>
        <v>0</v>
      </c>
      <c r="AB635" s="24">
        <f t="shared" si="218"/>
        <v>0</v>
      </c>
      <c r="AC635" s="24">
        <f t="shared" si="202"/>
        <v>0</v>
      </c>
      <c r="AD635" s="24">
        <f t="shared" si="203"/>
        <v>0</v>
      </c>
      <c r="AE635" s="24">
        <f t="shared" si="204"/>
        <v>0</v>
      </c>
      <c r="AF635" s="119" t="str">
        <f>VLOOKUP(P635*1,Referencias!$G:$H,2,0)</f>
        <v>sex</v>
      </c>
      <c r="BF635"/>
      <c r="BG635"/>
    </row>
    <row r="636" spans="1:59" ht="14.4" x14ac:dyDescent="0.3">
      <c r="A636" s="163"/>
      <c r="B636" s="164" t="s">
        <v>268</v>
      </c>
      <c r="C636" s="134">
        <v>0.94305555555555554</v>
      </c>
      <c r="D636" s="165">
        <v>3.4</v>
      </c>
      <c r="E636" s="165" t="s">
        <v>29</v>
      </c>
      <c r="F636" s="165"/>
      <c r="G636" s="166">
        <v>2.68</v>
      </c>
      <c r="H636" s="167">
        <v>140.76</v>
      </c>
      <c r="I636" s="165"/>
      <c r="N636" s="7" t="str">
        <f t="shared" si="208"/>
        <v>#LICCMWWWZ </v>
      </c>
      <c r="O636" s="7" t="str">
        <f t="shared" si="209"/>
        <v>#LICCMWWWZ </v>
      </c>
      <c r="P636" s="21">
        <f t="shared" si="205"/>
        <v>43252</v>
      </c>
      <c r="Q636" s="22">
        <f>VLOOKUP(R636,Referencias!$D$1:$E$13,2,0)</f>
        <v>6</v>
      </c>
      <c r="R636" s="7" t="str">
        <f t="shared" si="210"/>
        <v>JUN</v>
      </c>
      <c r="S636" s="7">
        <f t="shared" si="211"/>
        <v>0</v>
      </c>
      <c r="T636" s="11">
        <f t="shared" si="212"/>
        <v>1</v>
      </c>
      <c r="U636" s="11">
        <f t="shared" si="213"/>
        <v>0</v>
      </c>
      <c r="V636" s="11" t="str">
        <f>VLOOKUP(C636,Referencias!$A$2:$B$33,2,1)</f>
        <v>22 - 23</v>
      </c>
      <c r="W636" s="23">
        <f t="shared" si="214"/>
        <v>2.5000000000000022E-2</v>
      </c>
      <c r="X636" s="11">
        <f t="shared" si="215"/>
        <v>3.4</v>
      </c>
      <c r="Y636" s="11">
        <f t="shared" si="216"/>
        <v>6.0041732254639966</v>
      </c>
      <c r="Z636" s="24">
        <f t="shared" si="206"/>
        <v>2.68</v>
      </c>
      <c r="AA636" s="25">
        <f t="shared" si="217"/>
        <v>4.4666666666666632</v>
      </c>
      <c r="AB636" s="24">
        <f t="shared" si="218"/>
        <v>1</v>
      </c>
      <c r="AC636" s="24">
        <f t="shared" si="202"/>
        <v>1.7557972216707325</v>
      </c>
      <c r="AD636" s="24">
        <f t="shared" si="203"/>
        <v>2.1272812103053629</v>
      </c>
      <c r="AE636" s="24">
        <f t="shared" si="204"/>
        <v>2.5222191002718795</v>
      </c>
      <c r="AF636" s="119" t="str">
        <f>VLOOKUP(P636*1,Referencias!$G:$H,2,0)</f>
        <v>sex</v>
      </c>
      <c r="BF636"/>
      <c r="BG636"/>
    </row>
    <row r="637" spans="1:59" ht="14.4" x14ac:dyDescent="0.3">
      <c r="A637" s="163"/>
      <c r="B637" s="164"/>
      <c r="C637" s="134">
        <v>0.96805555555555556</v>
      </c>
      <c r="D637" s="165"/>
      <c r="E637" s="165"/>
      <c r="F637" s="165"/>
      <c r="G637" s="166"/>
      <c r="H637" s="167"/>
      <c r="I637" s="165"/>
      <c r="N637" s="7" t="str">
        <f t="shared" si="208"/>
        <v>#LICCMWWWZ </v>
      </c>
      <c r="O637" s="7">
        <f t="shared" si="209"/>
        <v>0</v>
      </c>
      <c r="P637" s="21">
        <f t="shared" si="205"/>
        <v>43252</v>
      </c>
      <c r="Q637" s="22">
        <f>VLOOKUP(R637,Referencias!$D$1:$E$13,2,0)</f>
        <v>6</v>
      </c>
      <c r="R637" s="7" t="str">
        <f t="shared" si="210"/>
        <v>JUN</v>
      </c>
      <c r="S637" s="7">
        <f t="shared" si="211"/>
        <v>0</v>
      </c>
      <c r="T637" s="11">
        <f t="shared" si="212"/>
        <v>1</v>
      </c>
      <c r="U637" s="11">
        <f t="shared" si="213"/>
        <v>0</v>
      </c>
      <c r="V637" s="11" t="str">
        <f>VLOOKUP(C637,Referencias!$A$2:$B$33,2,1)</f>
        <v>23 - 24</v>
      </c>
      <c r="W637" s="23" t="str">
        <f t="shared" si="214"/>
        <v/>
      </c>
      <c r="X637" s="11">
        <f t="shared" si="215"/>
        <v>0</v>
      </c>
      <c r="Y637" s="11">
        <f t="shared" si="216"/>
        <v>0</v>
      </c>
      <c r="Z637" s="24">
        <f t="shared" si="206"/>
        <v>0</v>
      </c>
      <c r="AA637" s="25">
        <f t="shared" si="217"/>
        <v>0</v>
      </c>
      <c r="AB637" s="24">
        <f t="shared" si="218"/>
        <v>0</v>
      </c>
      <c r="AC637" s="24">
        <f t="shared" si="202"/>
        <v>0</v>
      </c>
      <c r="AD637" s="24">
        <f t="shared" si="203"/>
        <v>0</v>
      </c>
      <c r="AE637" s="24">
        <f t="shared" si="204"/>
        <v>0</v>
      </c>
      <c r="AF637" s="119" t="str">
        <f>VLOOKUP(P637*1,Referencias!$G:$H,2,0)</f>
        <v>sex</v>
      </c>
      <c r="BF637"/>
      <c r="BG637"/>
    </row>
    <row r="638" spans="1:59" ht="14.4" x14ac:dyDescent="0.3">
      <c r="A638" s="161"/>
      <c r="B638" s="161"/>
      <c r="C638" s="161"/>
      <c r="D638" s="161"/>
      <c r="E638" s="161"/>
      <c r="F638" s="161"/>
      <c r="G638" s="161"/>
      <c r="H638" s="161"/>
      <c r="I638" s="161"/>
      <c r="N638" s="7" t="str">
        <f t="shared" si="208"/>
        <v>#LICCMWWWZ </v>
      </c>
      <c r="O638" s="7">
        <f t="shared" si="209"/>
        <v>0</v>
      </c>
      <c r="P638" s="21">
        <f t="shared" si="205"/>
        <v>43252</v>
      </c>
      <c r="Q638" s="22">
        <f>VLOOKUP(R638,Referencias!$D$1:$E$13,2,0)</f>
        <v>6</v>
      </c>
      <c r="R638" s="7" t="str">
        <f t="shared" si="210"/>
        <v>JUN</v>
      </c>
      <c r="S638" s="7">
        <f t="shared" si="211"/>
        <v>0</v>
      </c>
      <c r="T638" s="11">
        <f t="shared" si="212"/>
        <v>1</v>
      </c>
      <c r="U638" s="11">
        <f t="shared" si="213"/>
        <v>0</v>
      </c>
      <c r="V638" s="11" t="e">
        <f>VLOOKUP(C638,Referencias!$A$2:$B$33,2,1)</f>
        <v>#N/A</v>
      </c>
      <c r="W638" s="23" t="str">
        <f t="shared" si="214"/>
        <v/>
      </c>
      <c r="X638" s="11">
        <f t="shared" si="215"/>
        <v>0</v>
      </c>
      <c r="Y638" s="11">
        <f t="shared" si="216"/>
        <v>0</v>
      </c>
      <c r="Z638" s="24">
        <f t="shared" si="206"/>
        <v>0</v>
      </c>
      <c r="AA638" s="25">
        <f t="shared" si="217"/>
        <v>0</v>
      </c>
      <c r="AB638" s="24">
        <f t="shared" si="218"/>
        <v>0</v>
      </c>
      <c r="AC638" s="24">
        <f t="shared" si="202"/>
        <v>0</v>
      </c>
      <c r="AD638" s="24">
        <f t="shared" si="203"/>
        <v>0</v>
      </c>
      <c r="AE638" s="24">
        <f t="shared" si="204"/>
        <v>0</v>
      </c>
      <c r="AF638" s="119" t="str">
        <f>VLOOKUP(P638*1,Referencias!$G:$H,2,0)</f>
        <v>sex</v>
      </c>
      <c r="BF638"/>
      <c r="BG638"/>
    </row>
    <row r="639" spans="1:59" ht="14.4" x14ac:dyDescent="0.3">
      <c r="A639" s="162"/>
      <c r="B639" s="162"/>
      <c r="C639" s="162"/>
      <c r="D639" s="162"/>
      <c r="E639" s="162"/>
      <c r="F639" s="162"/>
      <c r="G639" s="162"/>
      <c r="H639" s="162"/>
      <c r="I639" s="162"/>
      <c r="N639" s="7" t="str">
        <f t="shared" si="208"/>
        <v>#LICCMWWWZ </v>
      </c>
      <c r="O639" s="7">
        <f t="shared" si="209"/>
        <v>0</v>
      </c>
      <c r="P639" s="21">
        <f t="shared" si="205"/>
        <v>43252</v>
      </c>
      <c r="Q639" s="22">
        <f>VLOOKUP(R639,Referencias!$D$1:$E$13,2,0)</f>
        <v>6</v>
      </c>
      <c r="R639" s="7" t="str">
        <f t="shared" si="210"/>
        <v>JUN</v>
      </c>
      <c r="S639" s="7">
        <f t="shared" si="211"/>
        <v>0</v>
      </c>
      <c r="T639" s="11">
        <f t="shared" si="212"/>
        <v>1</v>
      </c>
      <c r="U639" s="11">
        <f t="shared" si="213"/>
        <v>0</v>
      </c>
      <c r="V639" s="11" t="e">
        <f>VLOOKUP(C639,Referencias!$A$2:$B$33,2,1)</f>
        <v>#N/A</v>
      </c>
      <c r="W639" s="23" t="str">
        <f t="shared" si="214"/>
        <v/>
      </c>
      <c r="X639" s="11">
        <f t="shared" si="215"/>
        <v>0</v>
      </c>
      <c r="Y639" s="11">
        <f t="shared" si="216"/>
        <v>0</v>
      </c>
      <c r="Z639" s="24">
        <f t="shared" si="206"/>
        <v>0</v>
      </c>
      <c r="AA639" s="25">
        <f t="shared" si="217"/>
        <v>0</v>
      </c>
      <c r="AB639" s="24">
        <f t="shared" si="218"/>
        <v>0</v>
      </c>
      <c r="AC639" s="24">
        <f t="shared" si="202"/>
        <v>0</v>
      </c>
      <c r="AD639" s="24">
        <f t="shared" si="203"/>
        <v>0</v>
      </c>
      <c r="AE639" s="24">
        <f t="shared" si="204"/>
        <v>0</v>
      </c>
      <c r="AF639" s="119" t="str">
        <f>VLOOKUP(P639*1,Referencias!$G:$H,2,0)</f>
        <v>sex</v>
      </c>
      <c r="BF639"/>
      <c r="BG639"/>
    </row>
    <row r="640" spans="1:59" ht="14.4" x14ac:dyDescent="0.3">
      <c r="A640" s="163"/>
      <c r="B640" s="164" t="s">
        <v>269</v>
      </c>
      <c r="C640" s="134">
        <v>0.96805555555555556</v>
      </c>
      <c r="D640" s="165">
        <v>3.82</v>
      </c>
      <c r="E640" s="165" t="s">
        <v>53</v>
      </c>
      <c r="F640" s="165"/>
      <c r="G640" s="166">
        <v>2.83</v>
      </c>
      <c r="H640" s="167">
        <v>143.59</v>
      </c>
      <c r="I640" s="165"/>
      <c r="N640" s="7" t="str">
        <f t="shared" si="208"/>
        <v>#LIRTBPKJK </v>
      </c>
      <c r="O640" s="7" t="str">
        <f t="shared" si="209"/>
        <v>#LIRTBPKJK </v>
      </c>
      <c r="P640" s="21">
        <f t="shared" si="205"/>
        <v>43252</v>
      </c>
      <c r="Q640" s="22">
        <f>VLOOKUP(R640,Referencias!$D$1:$E$13,2,0)</f>
        <v>6</v>
      </c>
      <c r="R640" s="7" t="str">
        <f t="shared" si="210"/>
        <v>JUN</v>
      </c>
      <c r="S640" s="7">
        <f t="shared" si="211"/>
        <v>0</v>
      </c>
      <c r="T640" s="11">
        <f t="shared" si="212"/>
        <v>1</v>
      </c>
      <c r="U640" s="11">
        <f t="shared" si="213"/>
        <v>0</v>
      </c>
      <c r="V640" s="11" t="str">
        <f>VLOOKUP(C640,Referencias!$A$2:$B$33,2,1)</f>
        <v>23 - 24</v>
      </c>
      <c r="W640" s="23">
        <f t="shared" si="214"/>
        <v>2.1527777777777812E-2</v>
      </c>
      <c r="X640" s="11">
        <f t="shared" si="215"/>
        <v>3.82</v>
      </c>
      <c r="Y640" s="11">
        <f t="shared" si="216"/>
        <v>6.74586521213896</v>
      </c>
      <c r="Z640" s="24">
        <f t="shared" si="206"/>
        <v>2.83</v>
      </c>
      <c r="AA640" s="25">
        <f t="shared" si="217"/>
        <v>5.4774193548387009</v>
      </c>
      <c r="AB640" s="24">
        <f t="shared" si="218"/>
        <v>1</v>
      </c>
      <c r="AC640" s="24">
        <f t="shared" si="202"/>
        <v>1.8540694542269303</v>
      </c>
      <c r="AD640" s="24">
        <f t="shared" si="203"/>
        <v>2.2463454571508126</v>
      </c>
      <c r="AE640" s="24">
        <f t="shared" si="204"/>
        <v>2.663388079764708</v>
      </c>
      <c r="AF640" s="119" t="str">
        <f>VLOOKUP(P640*1,Referencias!$G:$H,2,0)</f>
        <v>sex</v>
      </c>
      <c r="BF640"/>
      <c r="BG640"/>
    </row>
    <row r="641" spans="1:59" ht="14.4" x14ac:dyDescent="0.3">
      <c r="A641" s="163"/>
      <c r="B641" s="164"/>
      <c r="C641" s="134">
        <v>0.98958333333333337</v>
      </c>
      <c r="D641" s="165"/>
      <c r="E641" s="165"/>
      <c r="F641" s="165"/>
      <c r="G641" s="166"/>
      <c r="H641" s="167"/>
      <c r="I641" s="165"/>
      <c r="N641" s="7" t="str">
        <f t="shared" si="208"/>
        <v>#LIRTBPKJK </v>
      </c>
      <c r="O641" s="7">
        <f t="shared" si="209"/>
        <v>0</v>
      </c>
      <c r="P641" s="21">
        <f t="shared" si="205"/>
        <v>43252</v>
      </c>
      <c r="Q641" s="22">
        <f>VLOOKUP(R641,Referencias!$D$1:$E$13,2,0)</f>
        <v>6</v>
      </c>
      <c r="R641" s="7" t="str">
        <f t="shared" si="210"/>
        <v>JUN</v>
      </c>
      <c r="S641" s="7">
        <f t="shared" si="211"/>
        <v>0</v>
      </c>
      <c r="T641" s="11">
        <f t="shared" si="212"/>
        <v>1</v>
      </c>
      <c r="U641" s="11">
        <f t="shared" si="213"/>
        <v>0</v>
      </c>
      <c r="V641" s="11" t="str">
        <f>VLOOKUP(C641,Referencias!$A$2:$B$33,2,1)</f>
        <v>23 - 24</v>
      </c>
      <c r="W641" s="23" t="str">
        <f t="shared" si="214"/>
        <v/>
      </c>
      <c r="X641" s="11">
        <f t="shared" si="215"/>
        <v>0</v>
      </c>
      <c r="Y641" s="11">
        <f t="shared" si="216"/>
        <v>0</v>
      </c>
      <c r="Z641" s="24">
        <f t="shared" si="206"/>
        <v>0</v>
      </c>
      <c r="AA641" s="25">
        <f t="shared" si="217"/>
        <v>0</v>
      </c>
      <c r="AB641" s="24">
        <f t="shared" si="218"/>
        <v>0</v>
      </c>
      <c r="AC641" s="24">
        <f t="shared" si="202"/>
        <v>0</v>
      </c>
      <c r="AD641" s="24">
        <f t="shared" si="203"/>
        <v>0</v>
      </c>
      <c r="AE641" s="24">
        <f t="shared" si="204"/>
        <v>0</v>
      </c>
      <c r="AF641" s="119" t="str">
        <f>VLOOKUP(P641*1,Referencias!$G:$H,2,0)</f>
        <v>sex</v>
      </c>
      <c r="BF641"/>
      <c r="BG641"/>
    </row>
    <row r="642" spans="1:59" ht="15" thickBot="1" x14ac:dyDescent="0.35">
      <c r="A642" s="172"/>
      <c r="B642" s="172"/>
      <c r="C642" s="172"/>
      <c r="D642" s="172"/>
      <c r="E642" s="172"/>
      <c r="F642" s="172"/>
      <c r="G642" s="172"/>
      <c r="H642" s="172"/>
      <c r="I642" s="172"/>
      <c r="N642" s="7" t="str">
        <f t="shared" si="208"/>
        <v>#LIRTBPKJK </v>
      </c>
      <c r="O642" s="7">
        <f t="shared" si="209"/>
        <v>0</v>
      </c>
      <c r="P642" s="21">
        <f t="shared" si="205"/>
        <v>43252</v>
      </c>
      <c r="Q642" s="22">
        <f>VLOOKUP(R642,Referencias!$D$1:$E$13,2,0)</f>
        <v>6</v>
      </c>
      <c r="R642" s="7" t="str">
        <f t="shared" si="210"/>
        <v>JUN</v>
      </c>
      <c r="S642" s="7">
        <f>IF(X642&gt;0,A643,0)</f>
        <v>0</v>
      </c>
      <c r="T642" s="11">
        <f t="shared" si="212"/>
        <v>1</v>
      </c>
      <c r="U642" s="11">
        <f t="shared" si="213"/>
        <v>0</v>
      </c>
      <c r="V642" s="11" t="e">
        <f>VLOOKUP(C642,Referencias!$A$2:$B$33,2,1)</f>
        <v>#N/A</v>
      </c>
      <c r="W642" s="23" t="str">
        <f>IF(X642&gt;0,C643-C642,"")</f>
        <v/>
      </c>
      <c r="X642" s="11">
        <f t="shared" si="215"/>
        <v>0</v>
      </c>
      <c r="Y642" s="11">
        <f t="shared" si="216"/>
        <v>0</v>
      </c>
      <c r="Z642" s="24">
        <f t="shared" si="206"/>
        <v>0</v>
      </c>
      <c r="AA642" s="25">
        <f t="shared" si="217"/>
        <v>0</v>
      </c>
      <c r="AB642" s="24">
        <f t="shared" si="218"/>
        <v>0</v>
      </c>
      <c r="AC642" s="24">
        <f t="shared" ref="AC642:AC705" si="219">Z642*$AL$14</f>
        <v>0</v>
      </c>
      <c r="AD642" s="24">
        <f t="shared" ref="AD642:AD705" si="220">Z642*$AN$14</f>
        <v>0</v>
      </c>
      <c r="AE642" s="24">
        <f t="shared" ref="AE642:AE705" si="221">Z642*$AL$26</f>
        <v>0</v>
      </c>
      <c r="AF642" s="119" t="str">
        <f>VLOOKUP(P642*1,Referencias!$G:$H,2,0)</f>
        <v>sex</v>
      </c>
      <c r="BF642"/>
      <c r="BG642"/>
    </row>
    <row r="643" spans="1:59" ht="14.4" x14ac:dyDescent="0.3">
      <c r="A643" s="147">
        <v>2</v>
      </c>
      <c r="B643" s="168" t="s">
        <v>346</v>
      </c>
      <c r="C643" s="134">
        <v>0.45902777777777781</v>
      </c>
      <c r="D643" s="169">
        <v>2.69</v>
      </c>
      <c r="E643" s="169" t="s">
        <v>29</v>
      </c>
      <c r="F643" s="169"/>
      <c r="G643" s="170">
        <v>2.44</v>
      </c>
      <c r="H643" s="171">
        <v>146.03</v>
      </c>
      <c r="I643" s="147" t="s">
        <v>347</v>
      </c>
      <c r="N643" s="7" t="str">
        <f t="shared" ref="N643:N676" si="222">IF(O643&lt;&gt;0,O643,N642)</f>
        <v>#LISJHTJKW </v>
      </c>
      <c r="O643" s="7" t="str">
        <f t="shared" ref="O643:O676" si="223">IF(X643&gt;0,B643,0)</f>
        <v>#LISJHTJKW </v>
      </c>
      <c r="P643" s="21">
        <f t="shared" ref="P643:P706" si="224">(T643&amp;"/"&amp;Q643&amp;"/2018")*1</f>
        <v>43253</v>
      </c>
      <c r="Q643" s="22">
        <f>VLOOKUP(R643,Referencias!$D$1:$E$13,2,0)</f>
        <v>6</v>
      </c>
      <c r="R643" s="7" t="str">
        <f t="shared" ref="R643:R676" si="225">IF(S643="ganhos garantidos",R642,IF(S643&lt;&gt;0,S643,R642))</f>
        <v>JUN</v>
      </c>
      <c r="S643" s="7" t="str">
        <f t="shared" ref="S643:S676" si="226">IF(X643&gt;0,A644,0)</f>
        <v>JUN</v>
      </c>
      <c r="T643" s="11">
        <f t="shared" ref="T643:T676" si="227">IF(U643&lt;&gt;0,U643,T642)</f>
        <v>2</v>
      </c>
      <c r="U643" s="11">
        <f t="shared" ref="U643:U676" si="228">IF(X643&gt;0,A643,0)</f>
        <v>2</v>
      </c>
      <c r="V643" s="11" t="str">
        <f>VLOOKUP(C643,Referencias!$A$2:$B$33,2,1)</f>
        <v>11 - 12</v>
      </c>
      <c r="W643" s="23">
        <f t="shared" ref="W643:W676" si="229">IF(X643&gt;0,C644-C643,"")</f>
        <v>2.8472222222222177E-2</v>
      </c>
      <c r="X643" s="11">
        <f t="shared" ref="X643:X676" si="230">D643*1</f>
        <v>2.69</v>
      </c>
      <c r="Y643" s="11">
        <f t="shared" ref="Y643:Y676" si="231">X643*$AK$2</f>
        <v>4.750360581322985</v>
      </c>
      <c r="Z643" s="24">
        <f t="shared" ref="Z643:Z676" si="232">IF(A643="Ganhos Garantidos",G643,IF(X643&gt;0,G643*1,0))</f>
        <v>2.44</v>
      </c>
      <c r="AA643" s="25">
        <f t="shared" ref="AA643:AA676" si="233">IFERROR(Z643/(86400*(W643)/360/10),0)</f>
        <v>3.570731707317079</v>
      </c>
      <c r="AB643" s="24">
        <f t="shared" ref="AB643:AB676" si="234">IF(O643&gt;0,1,0)</f>
        <v>1</v>
      </c>
      <c r="AC643" s="24">
        <f t="shared" si="219"/>
        <v>1.5985616495808161</v>
      </c>
      <c r="AD643" s="24">
        <f t="shared" si="220"/>
        <v>1.9367784153526437</v>
      </c>
      <c r="AE643" s="24">
        <f t="shared" si="221"/>
        <v>2.2963487330833527</v>
      </c>
      <c r="AF643" s="119" t="str">
        <f>VLOOKUP(P643*1,Referencias!$G:$H,2,0)</f>
        <v>sáb</v>
      </c>
      <c r="BF643"/>
      <c r="BG643"/>
    </row>
    <row r="644" spans="1:59" ht="14.4" x14ac:dyDescent="0.3">
      <c r="A644" s="147" t="s">
        <v>250</v>
      </c>
      <c r="B644" s="164"/>
      <c r="C644" s="134">
        <v>0.48749999999999999</v>
      </c>
      <c r="D644" s="165"/>
      <c r="E644" s="165"/>
      <c r="F644" s="165"/>
      <c r="G644" s="166"/>
      <c r="H644" s="167"/>
      <c r="I644" s="147" t="s">
        <v>348</v>
      </c>
      <c r="N644" s="7" t="str">
        <f t="shared" si="222"/>
        <v>#LISJHTJKW </v>
      </c>
      <c r="O644" s="7">
        <f t="shared" si="223"/>
        <v>0</v>
      </c>
      <c r="P644" s="21">
        <f t="shared" si="224"/>
        <v>43253</v>
      </c>
      <c r="Q644" s="22">
        <f>VLOOKUP(R644,Referencias!$D$1:$E$13,2,0)</f>
        <v>6</v>
      </c>
      <c r="R644" s="7" t="str">
        <f t="shared" si="225"/>
        <v>JUN</v>
      </c>
      <c r="S644" s="7">
        <f t="shared" si="226"/>
        <v>0</v>
      </c>
      <c r="T644" s="11">
        <f t="shared" si="227"/>
        <v>2</v>
      </c>
      <c r="U644" s="11">
        <f t="shared" si="228"/>
        <v>0</v>
      </c>
      <c r="V644" s="11" t="str">
        <f>VLOOKUP(C644,Referencias!$A$2:$B$33,2,1)</f>
        <v>11 - 12</v>
      </c>
      <c r="W644" s="23" t="str">
        <f t="shared" si="229"/>
        <v/>
      </c>
      <c r="X644" s="11">
        <f t="shared" si="230"/>
        <v>0</v>
      </c>
      <c r="Y644" s="11">
        <f t="shared" si="231"/>
        <v>0</v>
      </c>
      <c r="Z644" s="24">
        <f t="shared" si="232"/>
        <v>0</v>
      </c>
      <c r="AA644" s="25">
        <f t="shared" si="233"/>
        <v>0</v>
      </c>
      <c r="AB644" s="24">
        <f t="shared" si="234"/>
        <v>0</v>
      </c>
      <c r="AC644" s="24">
        <f t="shared" si="219"/>
        <v>0</v>
      </c>
      <c r="AD644" s="24">
        <f t="shared" si="220"/>
        <v>0</v>
      </c>
      <c r="AE644" s="24">
        <f t="shared" si="221"/>
        <v>0</v>
      </c>
      <c r="AF644" s="119" t="str">
        <f>VLOOKUP(P644*1,Referencias!$G:$H,2,0)</f>
        <v>sáb</v>
      </c>
      <c r="BF644"/>
      <c r="BG644"/>
    </row>
    <row r="645" spans="1:59" ht="14.4" x14ac:dyDescent="0.3">
      <c r="A645" s="161"/>
      <c r="B645" s="161"/>
      <c r="C645" s="161"/>
      <c r="D645" s="161"/>
      <c r="E645" s="161"/>
      <c r="F645" s="161"/>
      <c r="G645" s="161"/>
      <c r="H645" s="161"/>
      <c r="I645" s="161"/>
      <c r="N645" s="7" t="str">
        <f t="shared" si="222"/>
        <v>#LISJHTJKW </v>
      </c>
      <c r="O645" s="7">
        <f t="shared" si="223"/>
        <v>0</v>
      </c>
      <c r="P645" s="21">
        <f t="shared" si="224"/>
        <v>43253</v>
      </c>
      <c r="Q645" s="22">
        <f>VLOOKUP(R645,Referencias!$D$1:$E$13,2,0)</f>
        <v>6</v>
      </c>
      <c r="R645" s="7" t="str">
        <f t="shared" si="225"/>
        <v>JUN</v>
      </c>
      <c r="S645" s="7">
        <f t="shared" si="226"/>
        <v>0</v>
      </c>
      <c r="T645" s="11">
        <f t="shared" si="227"/>
        <v>2</v>
      </c>
      <c r="U645" s="11">
        <f t="shared" si="228"/>
        <v>0</v>
      </c>
      <c r="V645" s="11" t="e">
        <f>VLOOKUP(C645,Referencias!$A$2:$B$33,2,1)</f>
        <v>#N/A</v>
      </c>
      <c r="W645" s="23" t="str">
        <f t="shared" si="229"/>
        <v/>
      </c>
      <c r="X645" s="11">
        <f t="shared" si="230"/>
        <v>0</v>
      </c>
      <c r="Y645" s="11">
        <f t="shared" si="231"/>
        <v>0</v>
      </c>
      <c r="Z645" s="24">
        <f t="shared" si="232"/>
        <v>0</v>
      </c>
      <c r="AA645" s="25">
        <f t="shared" si="233"/>
        <v>0</v>
      </c>
      <c r="AB645" s="24">
        <f t="shared" si="234"/>
        <v>0</v>
      </c>
      <c r="AC645" s="24">
        <f t="shared" si="219"/>
        <v>0</v>
      </c>
      <c r="AD645" s="24">
        <f t="shared" si="220"/>
        <v>0</v>
      </c>
      <c r="AE645" s="24">
        <f t="shared" si="221"/>
        <v>0</v>
      </c>
      <c r="AF645" s="119" t="str">
        <f>VLOOKUP(P645*1,Referencias!$G:$H,2,0)</f>
        <v>sáb</v>
      </c>
      <c r="BF645"/>
      <c r="BG645"/>
    </row>
    <row r="646" spans="1:59" ht="14.4" x14ac:dyDescent="0.3">
      <c r="A646" s="162"/>
      <c r="B646" s="162"/>
      <c r="C646" s="162"/>
      <c r="D646" s="162"/>
      <c r="E646" s="162"/>
      <c r="F646" s="162"/>
      <c r="G646" s="162"/>
      <c r="H646" s="162"/>
      <c r="I646" s="162"/>
      <c r="N646" s="7" t="str">
        <f t="shared" si="222"/>
        <v>#LISJHTJKW </v>
      </c>
      <c r="O646" s="7">
        <f t="shared" si="223"/>
        <v>0</v>
      </c>
      <c r="P646" s="21">
        <f t="shared" si="224"/>
        <v>43253</v>
      </c>
      <c r="Q646" s="22">
        <f>VLOOKUP(R646,Referencias!$D$1:$E$13,2,0)</f>
        <v>6</v>
      </c>
      <c r="R646" s="7" t="str">
        <f t="shared" si="225"/>
        <v>JUN</v>
      </c>
      <c r="S646" s="7">
        <f t="shared" si="226"/>
        <v>0</v>
      </c>
      <c r="T646" s="11">
        <f t="shared" si="227"/>
        <v>2</v>
      </c>
      <c r="U646" s="11">
        <f t="shared" si="228"/>
        <v>0</v>
      </c>
      <c r="V646" s="11" t="e">
        <f>VLOOKUP(C646,Referencias!$A$2:$B$33,2,1)</f>
        <v>#N/A</v>
      </c>
      <c r="W646" s="23" t="str">
        <f t="shared" si="229"/>
        <v/>
      </c>
      <c r="X646" s="11">
        <f t="shared" si="230"/>
        <v>0</v>
      </c>
      <c r="Y646" s="11">
        <f t="shared" si="231"/>
        <v>0</v>
      </c>
      <c r="Z646" s="24">
        <f t="shared" si="232"/>
        <v>0</v>
      </c>
      <c r="AA646" s="25">
        <f t="shared" si="233"/>
        <v>0</v>
      </c>
      <c r="AB646" s="24">
        <f t="shared" si="234"/>
        <v>0</v>
      </c>
      <c r="AC646" s="24">
        <f t="shared" si="219"/>
        <v>0</v>
      </c>
      <c r="AD646" s="24">
        <f t="shared" si="220"/>
        <v>0</v>
      </c>
      <c r="AE646" s="24">
        <f t="shared" si="221"/>
        <v>0</v>
      </c>
      <c r="AF646" s="119" t="str">
        <f>VLOOKUP(P646*1,Referencias!$G:$H,2,0)</f>
        <v>sáb</v>
      </c>
      <c r="BF646"/>
      <c r="BG646"/>
    </row>
    <row r="647" spans="1:59" ht="14.4" x14ac:dyDescent="0.3">
      <c r="A647" s="163"/>
      <c r="B647" s="164" t="s">
        <v>338</v>
      </c>
      <c r="C647" s="134">
        <v>0.49444444444444446</v>
      </c>
      <c r="D647" s="165">
        <v>5.33</v>
      </c>
      <c r="E647" s="165" t="s">
        <v>17</v>
      </c>
      <c r="F647" s="165"/>
      <c r="G647" s="166">
        <v>3.36</v>
      </c>
      <c r="H647" s="167">
        <v>149.38999999999999</v>
      </c>
      <c r="I647" s="165"/>
      <c r="N647" s="7" t="str">
        <f t="shared" si="222"/>
        <v>#LIT81SXWM </v>
      </c>
      <c r="O647" s="7" t="str">
        <f t="shared" si="223"/>
        <v>#LIT81SXWM </v>
      </c>
      <c r="P647" s="21">
        <f t="shared" si="224"/>
        <v>43253</v>
      </c>
      <c r="Q647" s="22">
        <f>VLOOKUP(R647,Referencias!$D$1:$E$13,2,0)</f>
        <v>6</v>
      </c>
      <c r="R647" s="7" t="str">
        <f t="shared" si="225"/>
        <v>JUN</v>
      </c>
      <c r="S647" s="7">
        <f t="shared" si="226"/>
        <v>0</v>
      </c>
      <c r="T647" s="11">
        <f t="shared" si="227"/>
        <v>2</v>
      </c>
      <c r="U647" s="11">
        <f t="shared" si="228"/>
        <v>0</v>
      </c>
      <c r="V647" s="11" t="str">
        <f>VLOOKUP(C647,Referencias!$A$2:$B$33,2,1)</f>
        <v>11 - 12</v>
      </c>
      <c r="W647" s="23">
        <f t="shared" si="229"/>
        <v>3.4027777777777768E-2</v>
      </c>
      <c r="X647" s="11">
        <f t="shared" si="230"/>
        <v>5.33</v>
      </c>
      <c r="Y647" s="11">
        <f t="shared" si="231"/>
        <v>9.4124244975656186</v>
      </c>
      <c r="Z647" s="24">
        <f t="shared" si="232"/>
        <v>3.36</v>
      </c>
      <c r="AA647" s="25">
        <f t="shared" si="233"/>
        <v>4.1142857142857157</v>
      </c>
      <c r="AB647" s="24">
        <f t="shared" si="234"/>
        <v>1</v>
      </c>
      <c r="AC647" s="24">
        <f t="shared" si="219"/>
        <v>2.2012980092588288</v>
      </c>
      <c r="AD647" s="24">
        <f t="shared" si="220"/>
        <v>2.6670391293380669</v>
      </c>
      <c r="AE647" s="24">
        <f t="shared" si="221"/>
        <v>3.1621851406393708</v>
      </c>
      <c r="AF647" s="119" t="str">
        <f>VLOOKUP(P647*1,Referencias!$G:$H,2,0)</f>
        <v>sáb</v>
      </c>
      <c r="BF647"/>
      <c r="BG647"/>
    </row>
    <row r="648" spans="1:59" ht="14.4" x14ac:dyDescent="0.3">
      <c r="A648" s="163"/>
      <c r="B648" s="164"/>
      <c r="C648" s="134">
        <v>0.52847222222222223</v>
      </c>
      <c r="D648" s="165"/>
      <c r="E648" s="165"/>
      <c r="F648" s="165"/>
      <c r="G648" s="166"/>
      <c r="H648" s="167"/>
      <c r="I648" s="165"/>
      <c r="N648" s="7" t="str">
        <f t="shared" si="222"/>
        <v>#LIT81SXWM </v>
      </c>
      <c r="O648" s="7">
        <f t="shared" si="223"/>
        <v>0</v>
      </c>
      <c r="P648" s="21">
        <f t="shared" si="224"/>
        <v>43253</v>
      </c>
      <c r="Q648" s="22">
        <f>VLOOKUP(R648,Referencias!$D$1:$E$13,2,0)</f>
        <v>6</v>
      </c>
      <c r="R648" s="7" t="str">
        <f t="shared" si="225"/>
        <v>JUN</v>
      </c>
      <c r="S648" s="7">
        <f t="shared" si="226"/>
        <v>0</v>
      </c>
      <c r="T648" s="11">
        <f t="shared" si="227"/>
        <v>2</v>
      </c>
      <c r="U648" s="11">
        <f t="shared" si="228"/>
        <v>0</v>
      </c>
      <c r="V648" s="11" t="str">
        <f>VLOOKUP(C648,Referencias!$A$2:$B$33,2,1)</f>
        <v>12 - 13</v>
      </c>
      <c r="W648" s="23" t="str">
        <f t="shared" si="229"/>
        <v/>
      </c>
      <c r="X648" s="11">
        <f t="shared" si="230"/>
        <v>0</v>
      </c>
      <c r="Y648" s="11">
        <f t="shared" si="231"/>
        <v>0</v>
      </c>
      <c r="Z648" s="24">
        <f t="shared" si="232"/>
        <v>0</v>
      </c>
      <c r="AA648" s="25">
        <f t="shared" si="233"/>
        <v>0</v>
      </c>
      <c r="AB648" s="24">
        <f t="shared" si="234"/>
        <v>0</v>
      </c>
      <c r="AC648" s="24">
        <f t="shared" si="219"/>
        <v>0</v>
      </c>
      <c r="AD648" s="24">
        <f t="shared" si="220"/>
        <v>0</v>
      </c>
      <c r="AE648" s="24">
        <f t="shared" si="221"/>
        <v>0</v>
      </c>
      <c r="AF648" s="119" t="str">
        <f>VLOOKUP(P648*1,Referencias!$G:$H,2,0)</f>
        <v>sáb</v>
      </c>
      <c r="BF648"/>
      <c r="BG648"/>
    </row>
    <row r="649" spans="1:59" ht="14.4" x14ac:dyDescent="0.3">
      <c r="A649" s="161"/>
      <c r="B649" s="161"/>
      <c r="C649" s="161"/>
      <c r="D649" s="161"/>
      <c r="E649" s="161"/>
      <c r="F649" s="161"/>
      <c r="G649" s="161"/>
      <c r="H649" s="161"/>
      <c r="I649" s="161"/>
      <c r="N649" s="7" t="str">
        <f t="shared" si="222"/>
        <v>#LIT81SXWM </v>
      </c>
      <c r="O649" s="7">
        <f t="shared" si="223"/>
        <v>0</v>
      </c>
      <c r="P649" s="21">
        <f t="shared" si="224"/>
        <v>43253</v>
      </c>
      <c r="Q649" s="22">
        <f>VLOOKUP(R649,Referencias!$D$1:$E$13,2,0)</f>
        <v>6</v>
      </c>
      <c r="R649" s="7" t="str">
        <f t="shared" si="225"/>
        <v>JUN</v>
      </c>
      <c r="S649" s="7">
        <f t="shared" si="226"/>
        <v>0</v>
      </c>
      <c r="T649" s="11">
        <f t="shared" si="227"/>
        <v>2</v>
      </c>
      <c r="U649" s="11">
        <f t="shared" si="228"/>
        <v>0</v>
      </c>
      <c r="V649" s="11" t="e">
        <f>VLOOKUP(C649,Referencias!$A$2:$B$33,2,1)</f>
        <v>#N/A</v>
      </c>
      <c r="W649" s="23" t="str">
        <f t="shared" si="229"/>
        <v/>
      </c>
      <c r="X649" s="11">
        <f t="shared" si="230"/>
        <v>0</v>
      </c>
      <c r="Y649" s="11">
        <f t="shared" si="231"/>
        <v>0</v>
      </c>
      <c r="Z649" s="24">
        <f t="shared" si="232"/>
        <v>0</v>
      </c>
      <c r="AA649" s="25">
        <f t="shared" si="233"/>
        <v>0</v>
      </c>
      <c r="AB649" s="24">
        <f t="shared" si="234"/>
        <v>0</v>
      </c>
      <c r="AC649" s="24">
        <f t="shared" si="219"/>
        <v>0</v>
      </c>
      <c r="AD649" s="24">
        <f t="shared" si="220"/>
        <v>0</v>
      </c>
      <c r="AE649" s="24">
        <f t="shared" si="221"/>
        <v>0</v>
      </c>
      <c r="AF649" s="119" t="str">
        <f>VLOOKUP(P649*1,Referencias!$G:$H,2,0)</f>
        <v>sáb</v>
      </c>
      <c r="BF649"/>
      <c r="BG649"/>
    </row>
    <row r="650" spans="1:59" ht="14.4" x14ac:dyDescent="0.3">
      <c r="A650" s="162"/>
      <c r="B650" s="162"/>
      <c r="C650" s="162"/>
      <c r="D650" s="162"/>
      <c r="E650" s="162"/>
      <c r="F650" s="162"/>
      <c r="G650" s="162"/>
      <c r="H650" s="162"/>
      <c r="I650" s="162"/>
      <c r="N650" s="7" t="str">
        <f t="shared" si="222"/>
        <v>#LIT81SXWM </v>
      </c>
      <c r="O650" s="7">
        <f t="shared" si="223"/>
        <v>0</v>
      </c>
      <c r="P650" s="21">
        <f t="shared" si="224"/>
        <v>43253</v>
      </c>
      <c r="Q650" s="22">
        <f>VLOOKUP(R650,Referencias!$D$1:$E$13,2,0)</f>
        <v>6</v>
      </c>
      <c r="R650" s="7" t="str">
        <f t="shared" si="225"/>
        <v>JUN</v>
      </c>
      <c r="S650" s="7">
        <f t="shared" si="226"/>
        <v>0</v>
      </c>
      <c r="T650" s="11">
        <f t="shared" si="227"/>
        <v>2</v>
      </c>
      <c r="U650" s="11">
        <f t="shared" si="228"/>
        <v>0</v>
      </c>
      <c r="V650" s="11" t="e">
        <f>VLOOKUP(C650,Referencias!$A$2:$B$33,2,1)</f>
        <v>#N/A</v>
      </c>
      <c r="W650" s="23" t="str">
        <f t="shared" si="229"/>
        <v/>
      </c>
      <c r="X650" s="11">
        <f t="shared" si="230"/>
        <v>0</v>
      </c>
      <c r="Y650" s="11">
        <f t="shared" si="231"/>
        <v>0</v>
      </c>
      <c r="Z650" s="24">
        <f t="shared" si="232"/>
        <v>0</v>
      </c>
      <c r="AA650" s="25">
        <f t="shared" si="233"/>
        <v>0</v>
      </c>
      <c r="AB650" s="24">
        <f t="shared" si="234"/>
        <v>0</v>
      </c>
      <c r="AC650" s="24">
        <f t="shared" si="219"/>
        <v>0</v>
      </c>
      <c r="AD650" s="24">
        <f t="shared" si="220"/>
        <v>0</v>
      </c>
      <c r="AE650" s="24">
        <f t="shared" si="221"/>
        <v>0</v>
      </c>
      <c r="AF650" s="119" t="str">
        <f>VLOOKUP(P650*1,Referencias!$G:$H,2,0)</f>
        <v>sáb</v>
      </c>
      <c r="BF650"/>
      <c r="BG650"/>
    </row>
    <row r="651" spans="1:59" ht="14.4" x14ac:dyDescent="0.3">
      <c r="A651" s="163"/>
      <c r="B651" s="164" t="s">
        <v>339</v>
      </c>
      <c r="C651" s="134">
        <v>0.52847222222222223</v>
      </c>
      <c r="D651" s="165">
        <v>5.24</v>
      </c>
      <c r="E651" s="165" t="s">
        <v>17</v>
      </c>
      <c r="F651" s="165"/>
      <c r="G651" s="166">
        <v>3.33</v>
      </c>
      <c r="H651" s="167">
        <v>152.72</v>
      </c>
      <c r="I651" s="165"/>
      <c r="N651" s="7" t="str">
        <f t="shared" si="222"/>
        <v>#LIART713T </v>
      </c>
      <c r="O651" s="7" t="str">
        <f t="shared" si="223"/>
        <v>#LIART713T </v>
      </c>
      <c r="P651" s="21">
        <f t="shared" si="224"/>
        <v>43253</v>
      </c>
      <c r="Q651" s="22">
        <f>VLOOKUP(R651,Referencias!$D$1:$E$13,2,0)</f>
        <v>6</v>
      </c>
      <c r="R651" s="7" t="str">
        <f t="shared" si="225"/>
        <v>JUN</v>
      </c>
      <c r="S651" s="7">
        <f t="shared" si="226"/>
        <v>0</v>
      </c>
      <c r="T651" s="11">
        <f t="shared" si="227"/>
        <v>2</v>
      </c>
      <c r="U651" s="11">
        <f t="shared" si="228"/>
        <v>0</v>
      </c>
      <c r="V651" s="11" t="str">
        <f>VLOOKUP(C651,Referencias!$A$2:$B$33,2,1)</f>
        <v>12 - 13</v>
      </c>
      <c r="W651" s="23">
        <f t="shared" si="229"/>
        <v>3.6805555555555536E-2</v>
      </c>
      <c r="X651" s="11">
        <f t="shared" si="230"/>
        <v>5.24</v>
      </c>
      <c r="Y651" s="11">
        <f t="shared" si="231"/>
        <v>9.2534905004209822</v>
      </c>
      <c r="Z651" s="24">
        <f t="shared" si="232"/>
        <v>3.33</v>
      </c>
      <c r="AA651" s="25">
        <f t="shared" si="233"/>
        <v>3.769811320754719</v>
      </c>
      <c r="AB651" s="24">
        <f t="shared" si="234"/>
        <v>1</v>
      </c>
      <c r="AC651" s="24">
        <f t="shared" si="219"/>
        <v>2.1816435627475892</v>
      </c>
      <c r="AD651" s="24">
        <f t="shared" si="220"/>
        <v>2.6432262799689772</v>
      </c>
      <c r="AE651" s="24">
        <f t="shared" si="221"/>
        <v>3.1339513447408049</v>
      </c>
      <c r="AF651" s="119" t="str">
        <f>VLOOKUP(P651*1,Referencias!$G:$H,2,0)</f>
        <v>sáb</v>
      </c>
      <c r="BF651"/>
      <c r="BG651"/>
    </row>
    <row r="652" spans="1:59" ht="14.4" x14ac:dyDescent="0.3">
      <c r="A652" s="163"/>
      <c r="B652" s="164"/>
      <c r="C652" s="134">
        <v>0.56527777777777777</v>
      </c>
      <c r="D652" s="165"/>
      <c r="E652" s="165"/>
      <c r="F652" s="165"/>
      <c r="G652" s="166"/>
      <c r="H652" s="167"/>
      <c r="I652" s="165"/>
      <c r="N652" s="7" t="str">
        <f t="shared" si="222"/>
        <v>#LIART713T </v>
      </c>
      <c r="O652" s="7">
        <f t="shared" si="223"/>
        <v>0</v>
      </c>
      <c r="P652" s="21">
        <f t="shared" si="224"/>
        <v>43253</v>
      </c>
      <c r="Q652" s="22">
        <f>VLOOKUP(R652,Referencias!$D$1:$E$13,2,0)</f>
        <v>6</v>
      </c>
      <c r="R652" s="7" t="str">
        <f t="shared" si="225"/>
        <v>JUN</v>
      </c>
      <c r="S652" s="7">
        <f t="shared" si="226"/>
        <v>0</v>
      </c>
      <c r="T652" s="11">
        <f t="shared" si="227"/>
        <v>2</v>
      </c>
      <c r="U652" s="11">
        <f t="shared" si="228"/>
        <v>0</v>
      </c>
      <c r="V652" s="11" t="str">
        <f>VLOOKUP(C652,Referencias!$A$2:$B$33,2,1)</f>
        <v>13 - 14</v>
      </c>
      <c r="W652" s="23" t="str">
        <f t="shared" si="229"/>
        <v/>
      </c>
      <c r="X652" s="11">
        <f t="shared" si="230"/>
        <v>0</v>
      </c>
      <c r="Y652" s="11">
        <f t="shared" si="231"/>
        <v>0</v>
      </c>
      <c r="Z652" s="24">
        <f t="shared" si="232"/>
        <v>0</v>
      </c>
      <c r="AA652" s="25">
        <f t="shared" si="233"/>
        <v>0</v>
      </c>
      <c r="AB652" s="24">
        <f t="shared" si="234"/>
        <v>0</v>
      </c>
      <c r="AC652" s="24">
        <f t="shared" si="219"/>
        <v>0</v>
      </c>
      <c r="AD652" s="24">
        <f t="shared" si="220"/>
        <v>0</v>
      </c>
      <c r="AE652" s="24">
        <f t="shared" si="221"/>
        <v>0</v>
      </c>
      <c r="AF652" s="119" t="str">
        <f>VLOOKUP(P652*1,Referencias!$G:$H,2,0)</f>
        <v>sáb</v>
      </c>
      <c r="BF652"/>
      <c r="BG652"/>
    </row>
    <row r="653" spans="1:59" ht="14.4" x14ac:dyDescent="0.3">
      <c r="A653" s="161"/>
      <c r="B653" s="161"/>
      <c r="C653" s="161"/>
      <c r="D653" s="161"/>
      <c r="E653" s="161"/>
      <c r="F653" s="161"/>
      <c r="G653" s="161"/>
      <c r="H653" s="161"/>
      <c r="I653" s="161"/>
      <c r="N653" s="7" t="str">
        <f t="shared" si="222"/>
        <v>#LIART713T </v>
      </c>
      <c r="O653" s="7">
        <f t="shared" si="223"/>
        <v>0</v>
      </c>
      <c r="P653" s="21">
        <f t="shared" si="224"/>
        <v>43253</v>
      </c>
      <c r="Q653" s="22">
        <f>VLOOKUP(R653,Referencias!$D$1:$E$13,2,0)</f>
        <v>6</v>
      </c>
      <c r="R653" s="7" t="str">
        <f t="shared" si="225"/>
        <v>JUN</v>
      </c>
      <c r="S653" s="7">
        <f t="shared" si="226"/>
        <v>0</v>
      </c>
      <c r="T653" s="11">
        <f t="shared" si="227"/>
        <v>2</v>
      </c>
      <c r="U653" s="11">
        <f t="shared" si="228"/>
        <v>0</v>
      </c>
      <c r="V653" s="11" t="e">
        <f>VLOOKUP(C653,Referencias!$A$2:$B$33,2,1)</f>
        <v>#N/A</v>
      </c>
      <c r="W653" s="23" t="str">
        <f t="shared" si="229"/>
        <v/>
      </c>
      <c r="X653" s="11">
        <f t="shared" si="230"/>
        <v>0</v>
      </c>
      <c r="Y653" s="11">
        <f t="shared" si="231"/>
        <v>0</v>
      </c>
      <c r="Z653" s="24">
        <f t="shared" si="232"/>
        <v>0</v>
      </c>
      <c r="AA653" s="25">
        <f t="shared" si="233"/>
        <v>0</v>
      </c>
      <c r="AB653" s="24">
        <f t="shared" si="234"/>
        <v>0</v>
      </c>
      <c r="AC653" s="24">
        <f t="shared" si="219"/>
        <v>0</v>
      </c>
      <c r="AD653" s="24">
        <f t="shared" si="220"/>
        <v>0</v>
      </c>
      <c r="AE653" s="24">
        <f t="shared" si="221"/>
        <v>0</v>
      </c>
      <c r="AF653" s="119" t="str">
        <f>VLOOKUP(P653*1,Referencias!$G:$H,2,0)</f>
        <v>sáb</v>
      </c>
      <c r="BF653"/>
      <c r="BG653"/>
    </row>
    <row r="654" spans="1:59" ht="14.4" x14ac:dyDescent="0.3">
      <c r="A654" s="162"/>
      <c r="B654" s="162"/>
      <c r="C654" s="162"/>
      <c r="D654" s="162"/>
      <c r="E654" s="162"/>
      <c r="F654" s="162"/>
      <c r="G654" s="162"/>
      <c r="H654" s="162"/>
      <c r="I654" s="162"/>
      <c r="N654" s="7" t="str">
        <f t="shared" si="222"/>
        <v>#LIART713T </v>
      </c>
      <c r="O654" s="7">
        <f t="shared" si="223"/>
        <v>0</v>
      </c>
      <c r="P654" s="21">
        <f t="shared" si="224"/>
        <v>43253</v>
      </c>
      <c r="Q654" s="22">
        <f>VLOOKUP(R654,Referencias!$D$1:$E$13,2,0)</f>
        <v>6</v>
      </c>
      <c r="R654" s="7" t="str">
        <f t="shared" si="225"/>
        <v>JUN</v>
      </c>
      <c r="S654" s="7">
        <f t="shared" si="226"/>
        <v>0</v>
      </c>
      <c r="T654" s="11">
        <f t="shared" si="227"/>
        <v>2</v>
      </c>
      <c r="U654" s="11">
        <f t="shared" si="228"/>
        <v>0</v>
      </c>
      <c r="V654" s="11" t="e">
        <f>VLOOKUP(C654,Referencias!$A$2:$B$33,2,1)</f>
        <v>#N/A</v>
      </c>
      <c r="W654" s="23" t="str">
        <f t="shared" si="229"/>
        <v/>
      </c>
      <c r="X654" s="11">
        <f t="shared" si="230"/>
        <v>0</v>
      </c>
      <c r="Y654" s="11">
        <f t="shared" si="231"/>
        <v>0</v>
      </c>
      <c r="Z654" s="24">
        <f t="shared" si="232"/>
        <v>0</v>
      </c>
      <c r="AA654" s="25">
        <f t="shared" si="233"/>
        <v>0</v>
      </c>
      <c r="AB654" s="24">
        <f t="shared" si="234"/>
        <v>0</v>
      </c>
      <c r="AC654" s="24">
        <f t="shared" si="219"/>
        <v>0</v>
      </c>
      <c r="AD654" s="24">
        <f t="shared" si="220"/>
        <v>0</v>
      </c>
      <c r="AE654" s="24">
        <f t="shared" si="221"/>
        <v>0</v>
      </c>
      <c r="AF654" s="119" t="str">
        <f>VLOOKUP(P654*1,Referencias!$G:$H,2,0)</f>
        <v>sáb</v>
      </c>
      <c r="BF654"/>
      <c r="BG654"/>
    </row>
    <row r="655" spans="1:59" ht="14.4" x14ac:dyDescent="0.3">
      <c r="A655" s="163"/>
      <c r="B655" s="164" t="s">
        <v>340</v>
      </c>
      <c r="C655" s="134">
        <v>0.56527777777777777</v>
      </c>
      <c r="D655" s="165">
        <v>8.9</v>
      </c>
      <c r="E655" s="165" t="s">
        <v>55</v>
      </c>
      <c r="F655" s="165"/>
      <c r="G655" s="166">
        <v>4.6100000000000003</v>
      </c>
      <c r="H655" s="167">
        <v>157.33000000000001</v>
      </c>
      <c r="I655" s="165"/>
      <c r="N655" s="7" t="str">
        <f t="shared" si="222"/>
        <v>#LIJ5DHYF4 </v>
      </c>
      <c r="O655" s="7" t="str">
        <f t="shared" si="223"/>
        <v>#LIJ5DHYF4 </v>
      </c>
      <c r="P655" s="21">
        <f t="shared" si="224"/>
        <v>43253</v>
      </c>
      <c r="Q655" s="22">
        <f>VLOOKUP(R655,Referencias!$D$1:$E$13,2,0)</f>
        <v>6</v>
      </c>
      <c r="R655" s="7" t="str">
        <f t="shared" si="225"/>
        <v>JUN</v>
      </c>
      <c r="S655" s="7">
        <f t="shared" si="226"/>
        <v>0</v>
      </c>
      <c r="T655" s="11">
        <f t="shared" si="227"/>
        <v>2</v>
      </c>
      <c r="U655" s="11">
        <f t="shared" si="228"/>
        <v>0</v>
      </c>
      <c r="V655" s="11" t="str">
        <f>VLOOKUP(C655,Referencias!$A$2:$B$33,2,1)</f>
        <v>13 - 14</v>
      </c>
      <c r="W655" s="23">
        <f t="shared" si="229"/>
        <v>1.5277777777777835E-2</v>
      </c>
      <c r="X655" s="11">
        <f t="shared" si="230"/>
        <v>8.9</v>
      </c>
      <c r="Y655" s="11">
        <f t="shared" si="231"/>
        <v>15.716806384302815</v>
      </c>
      <c r="Z655" s="24">
        <f t="shared" si="232"/>
        <v>4.6100000000000003</v>
      </c>
      <c r="AA655" s="25">
        <f t="shared" si="233"/>
        <v>12.572727272727224</v>
      </c>
      <c r="AB655" s="24">
        <f t="shared" si="234"/>
        <v>1</v>
      </c>
      <c r="AC655" s="24">
        <f t="shared" si="219"/>
        <v>3.0202332805604768</v>
      </c>
      <c r="AD655" s="24">
        <f t="shared" si="220"/>
        <v>3.6592411863834791</v>
      </c>
      <c r="AE655" s="24">
        <f t="shared" si="221"/>
        <v>4.3385933030796133</v>
      </c>
      <c r="AF655" s="119" t="str">
        <f>VLOOKUP(P655*1,Referencias!$G:$H,2,0)</f>
        <v>sáb</v>
      </c>
      <c r="BF655"/>
      <c r="BG655"/>
    </row>
    <row r="656" spans="1:59" ht="14.4" x14ac:dyDescent="0.3">
      <c r="A656" s="163"/>
      <c r="B656" s="164"/>
      <c r="C656" s="134">
        <v>0.5805555555555556</v>
      </c>
      <c r="D656" s="165"/>
      <c r="E656" s="165"/>
      <c r="F656" s="165"/>
      <c r="G656" s="166"/>
      <c r="H656" s="167"/>
      <c r="I656" s="165"/>
      <c r="N656" s="7" t="str">
        <f t="shared" si="222"/>
        <v>#LIJ5DHYF4 </v>
      </c>
      <c r="O656" s="7">
        <f t="shared" si="223"/>
        <v>0</v>
      </c>
      <c r="P656" s="21">
        <f t="shared" si="224"/>
        <v>43253</v>
      </c>
      <c r="Q656" s="22">
        <f>VLOOKUP(R656,Referencias!$D$1:$E$13,2,0)</f>
        <v>6</v>
      </c>
      <c r="R656" s="7" t="str">
        <f t="shared" si="225"/>
        <v>JUN</v>
      </c>
      <c r="S656" s="7">
        <f t="shared" si="226"/>
        <v>0</v>
      </c>
      <c r="T656" s="11">
        <f t="shared" si="227"/>
        <v>2</v>
      </c>
      <c r="U656" s="11">
        <f t="shared" si="228"/>
        <v>0</v>
      </c>
      <c r="V656" s="11" t="str">
        <f>VLOOKUP(C656,Referencias!$A$2:$B$33,2,1)</f>
        <v>13 - 14</v>
      </c>
      <c r="W656" s="23" t="str">
        <f t="shared" si="229"/>
        <v/>
      </c>
      <c r="X656" s="11">
        <f t="shared" si="230"/>
        <v>0</v>
      </c>
      <c r="Y656" s="11">
        <f t="shared" si="231"/>
        <v>0</v>
      </c>
      <c r="Z656" s="24">
        <f t="shared" si="232"/>
        <v>0</v>
      </c>
      <c r="AA656" s="25">
        <f t="shared" si="233"/>
        <v>0</v>
      </c>
      <c r="AB656" s="24">
        <f t="shared" si="234"/>
        <v>0</v>
      </c>
      <c r="AC656" s="24">
        <f t="shared" si="219"/>
        <v>0</v>
      </c>
      <c r="AD656" s="24">
        <f t="shared" si="220"/>
        <v>0</v>
      </c>
      <c r="AE656" s="24">
        <f t="shared" si="221"/>
        <v>0</v>
      </c>
      <c r="AF656" s="119" t="str">
        <f>VLOOKUP(P656*1,Referencias!$G:$H,2,0)</f>
        <v>sáb</v>
      </c>
      <c r="BF656"/>
      <c r="BG656"/>
    </row>
    <row r="657" spans="1:59" ht="14.4" x14ac:dyDescent="0.3">
      <c r="A657" s="161"/>
      <c r="B657" s="161"/>
      <c r="C657" s="161"/>
      <c r="D657" s="161"/>
      <c r="E657" s="161"/>
      <c r="F657" s="161"/>
      <c r="G657" s="161"/>
      <c r="H657" s="161"/>
      <c r="I657" s="161"/>
      <c r="N657" s="7" t="str">
        <f t="shared" si="222"/>
        <v>#LIJ5DHYF4 </v>
      </c>
      <c r="O657" s="7">
        <f t="shared" si="223"/>
        <v>0</v>
      </c>
      <c r="P657" s="21">
        <f t="shared" si="224"/>
        <v>43253</v>
      </c>
      <c r="Q657" s="22">
        <f>VLOOKUP(R657,Referencias!$D$1:$E$13,2,0)</f>
        <v>6</v>
      </c>
      <c r="R657" s="7" t="str">
        <f t="shared" si="225"/>
        <v>JUN</v>
      </c>
      <c r="S657" s="7">
        <f t="shared" si="226"/>
        <v>0</v>
      </c>
      <c r="T657" s="11">
        <f t="shared" si="227"/>
        <v>2</v>
      </c>
      <c r="U657" s="11">
        <f t="shared" si="228"/>
        <v>0</v>
      </c>
      <c r="V657" s="11" t="e">
        <f>VLOOKUP(C657,Referencias!$A$2:$B$33,2,1)</f>
        <v>#N/A</v>
      </c>
      <c r="W657" s="23" t="str">
        <f t="shared" si="229"/>
        <v/>
      </c>
      <c r="X657" s="11">
        <f t="shared" si="230"/>
        <v>0</v>
      </c>
      <c r="Y657" s="11">
        <f t="shared" si="231"/>
        <v>0</v>
      </c>
      <c r="Z657" s="24">
        <f t="shared" si="232"/>
        <v>0</v>
      </c>
      <c r="AA657" s="25">
        <f t="shared" si="233"/>
        <v>0</v>
      </c>
      <c r="AB657" s="24">
        <f t="shared" si="234"/>
        <v>0</v>
      </c>
      <c r="AC657" s="24">
        <f t="shared" si="219"/>
        <v>0</v>
      </c>
      <c r="AD657" s="24">
        <f t="shared" si="220"/>
        <v>0</v>
      </c>
      <c r="AE657" s="24">
        <f t="shared" si="221"/>
        <v>0</v>
      </c>
      <c r="AF657" s="119" t="str">
        <f>VLOOKUP(P657*1,Referencias!$G:$H,2,0)</f>
        <v>sáb</v>
      </c>
      <c r="BF657"/>
      <c r="BG657"/>
    </row>
    <row r="658" spans="1:59" ht="14.4" x14ac:dyDescent="0.3">
      <c r="A658" s="162"/>
      <c r="B658" s="162"/>
      <c r="C658" s="162"/>
      <c r="D658" s="162"/>
      <c r="E658" s="162"/>
      <c r="F658" s="162"/>
      <c r="G658" s="162"/>
      <c r="H658" s="162"/>
      <c r="I658" s="162"/>
      <c r="N658" s="7" t="str">
        <f t="shared" si="222"/>
        <v>#LIJ5DHYF4 </v>
      </c>
      <c r="O658" s="7">
        <f t="shared" si="223"/>
        <v>0</v>
      </c>
      <c r="P658" s="21">
        <f t="shared" si="224"/>
        <v>43253</v>
      </c>
      <c r="Q658" s="22">
        <f>VLOOKUP(R658,Referencias!$D$1:$E$13,2,0)</f>
        <v>6</v>
      </c>
      <c r="R658" s="7" t="str">
        <f t="shared" si="225"/>
        <v>JUN</v>
      </c>
      <c r="S658" s="7">
        <f t="shared" si="226"/>
        <v>0</v>
      </c>
      <c r="T658" s="11">
        <f t="shared" si="227"/>
        <v>2</v>
      </c>
      <c r="U658" s="11">
        <f t="shared" si="228"/>
        <v>0</v>
      </c>
      <c r="V658" s="11" t="e">
        <f>VLOOKUP(C658,Referencias!$A$2:$B$33,2,1)</f>
        <v>#N/A</v>
      </c>
      <c r="W658" s="23" t="str">
        <f t="shared" si="229"/>
        <v/>
      </c>
      <c r="X658" s="11">
        <f t="shared" si="230"/>
        <v>0</v>
      </c>
      <c r="Y658" s="11">
        <f t="shared" si="231"/>
        <v>0</v>
      </c>
      <c r="Z658" s="24">
        <f t="shared" si="232"/>
        <v>0</v>
      </c>
      <c r="AA658" s="25">
        <f t="shared" si="233"/>
        <v>0</v>
      </c>
      <c r="AB658" s="24">
        <f t="shared" si="234"/>
        <v>0</v>
      </c>
      <c r="AC658" s="24">
        <f t="shared" si="219"/>
        <v>0</v>
      </c>
      <c r="AD658" s="24">
        <f t="shared" si="220"/>
        <v>0</v>
      </c>
      <c r="AE658" s="24">
        <f t="shared" si="221"/>
        <v>0</v>
      </c>
      <c r="AF658" s="119" t="str">
        <f>VLOOKUP(P658*1,Referencias!$G:$H,2,0)</f>
        <v>sáb</v>
      </c>
      <c r="BF658"/>
      <c r="BG658"/>
    </row>
    <row r="659" spans="1:59" ht="14.4" x14ac:dyDescent="0.3">
      <c r="A659" s="163"/>
      <c r="B659" s="164" t="s">
        <v>341</v>
      </c>
      <c r="C659" s="134">
        <v>0.5805555555555556</v>
      </c>
      <c r="D659" s="165">
        <v>5.38</v>
      </c>
      <c r="E659" s="165" t="s">
        <v>55</v>
      </c>
      <c r="F659" s="165"/>
      <c r="G659" s="166">
        <v>3.38</v>
      </c>
      <c r="H659" s="167">
        <v>160.71</v>
      </c>
      <c r="I659" s="165"/>
      <c r="N659" s="7" t="str">
        <f t="shared" si="222"/>
        <v>#LIACWA1ZL </v>
      </c>
      <c r="O659" s="7" t="str">
        <f t="shared" si="223"/>
        <v>#LIACWA1ZL </v>
      </c>
      <c r="P659" s="21">
        <f t="shared" si="224"/>
        <v>43253</v>
      </c>
      <c r="Q659" s="22">
        <f>VLOOKUP(R659,Referencias!$D$1:$E$13,2,0)</f>
        <v>6</v>
      </c>
      <c r="R659" s="7" t="str">
        <f t="shared" si="225"/>
        <v>JUN</v>
      </c>
      <c r="S659" s="7">
        <f t="shared" si="226"/>
        <v>0</v>
      </c>
      <c r="T659" s="11">
        <f t="shared" si="227"/>
        <v>2</v>
      </c>
      <c r="U659" s="11">
        <f t="shared" si="228"/>
        <v>0</v>
      </c>
      <c r="V659" s="11" t="str">
        <f>VLOOKUP(C659,Referencias!$A$2:$B$33,2,1)</f>
        <v>13 - 14</v>
      </c>
      <c r="W659" s="23">
        <f t="shared" si="229"/>
        <v>1.4583333333333282E-2</v>
      </c>
      <c r="X659" s="11">
        <f t="shared" si="230"/>
        <v>5.38</v>
      </c>
      <c r="Y659" s="11">
        <f t="shared" si="231"/>
        <v>9.50072116264597</v>
      </c>
      <c r="Z659" s="24">
        <f t="shared" si="232"/>
        <v>3.38</v>
      </c>
      <c r="AA659" s="25">
        <f t="shared" si="233"/>
        <v>9.6571428571428903</v>
      </c>
      <c r="AB659" s="24">
        <f t="shared" si="234"/>
        <v>1</v>
      </c>
      <c r="AC659" s="24">
        <f t="shared" si="219"/>
        <v>2.214400973599655</v>
      </c>
      <c r="AD659" s="24">
        <f t="shared" si="220"/>
        <v>2.6829143622507936</v>
      </c>
      <c r="AE659" s="24">
        <f t="shared" si="221"/>
        <v>3.1810076712384148</v>
      </c>
      <c r="AF659" s="119" t="str">
        <f>VLOOKUP(P659*1,Referencias!$G:$H,2,0)</f>
        <v>sáb</v>
      </c>
      <c r="BF659"/>
      <c r="BG659"/>
    </row>
    <row r="660" spans="1:59" ht="14.4" x14ac:dyDescent="0.3">
      <c r="A660" s="163"/>
      <c r="B660" s="164"/>
      <c r="C660" s="134">
        <v>0.59513888888888888</v>
      </c>
      <c r="D660" s="165"/>
      <c r="E660" s="165"/>
      <c r="F660" s="165"/>
      <c r="G660" s="166"/>
      <c r="H660" s="167"/>
      <c r="I660" s="165"/>
      <c r="N660" s="7" t="str">
        <f t="shared" si="222"/>
        <v>#LIACWA1ZL </v>
      </c>
      <c r="O660" s="7">
        <f t="shared" si="223"/>
        <v>0</v>
      </c>
      <c r="P660" s="21">
        <f t="shared" si="224"/>
        <v>43253</v>
      </c>
      <c r="Q660" s="22">
        <f>VLOOKUP(R660,Referencias!$D$1:$E$13,2,0)</f>
        <v>6</v>
      </c>
      <c r="R660" s="7" t="str">
        <f t="shared" si="225"/>
        <v>JUN</v>
      </c>
      <c r="S660" s="7">
        <f t="shared" si="226"/>
        <v>0</v>
      </c>
      <c r="T660" s="11">
        <f t="shared" si="227"/>
        <v>2</v>
      </c>
      <c r="U660" s="11">
        <f t="shared" si="228"/>
        <v>0</v>
      </c>
      <c r="V660" s="11" t="str">
        <f>VLOOKUP(C660,Referencias!$A$2:$B$33,2,1)</f>
        <v>14 - 15</v>
      </c>
      <c r="W660" s="23" t="str">
        <f t="shared" si="229"/>
        <v/>
      </c>
      <c r="X660" s="11">
        <f t="shared" si="230"/>
        <v>0</v>
      </c>
      <c r="Y660" s="11">
        <f t="shared" si="231"/>
        <v>0</v>
      </c>
      <c r="Z660" s="24">
        <f t="shared" si="232"/>
        <v>0</v>
      </c>
      <c r="AA660" s="25">
        <f t="shared" si="233"/>
        <v>0</v>
      </c>
      <c r="AB660" s="24">
        <f t="shared" si="234"/>
        <v>0</v>
      </c>
      <c r="AC660" s="24">
        <f t="shared" si="219"/>
        <v>0</v>
      </c>
      <c r="AD660" s="24">
        <f t="shared" si="220"/>
        <v>0</v>
      </c>
      <c r="AE660" s="24">
        <f t="shared" si="221"/>
        <v>0</v>
      </c>
      <c r="AF660" s="119" t="str">
        <f>VLOOKUP(P660*1,Referencias!$G:$H,2,0)</f>
        <v>sáb</v>
      </c>
      <c r="BF660"/>
      <c r="BG660"/>
    </row>
    <row r="661" spans="1:59" ht="14.4" x14ac:dyDescent="0.3">
      <c r="A661" s="161"/>
      <c r="B661" s="161"/>
      <c r="C661" s="161"/>
      <c r="D661" s="161"/>
      <c r="E661" s="161"/>
      <c r="F661" s="161"/>
      <c r="G661" s="161"/>
      <c r="H661" s="161"/>
      <c r="I661" s="161"/>
      <c r="N661" s="7" t="str">
        <f t="shared" si="222"/>
        <v>#LIACWA1ZL </v>
      </c>
      <c r="O661" s="7">
        <f t="shared" si="223"/>
        <v>0</v>
      </c>
      <c r="P661" s="21">
        <f t="shared" si="224"/>
        <v>43253</v>
      </c>
      <c r="Q661" s="22">
        <f>VLOOKUP(R661,Referencias!$D$1:$E$13,2,0)</f>
        <v>6</v>
      </c>
      <c r="R661" s="7" t="str">
        <f t="shared" si="225"/>
        <v>JUN</v>
      </c>
      <c r="S661" s="7">
        <f t="shared" si="226"/>
        <v>0</v>
      </c>
      <c r="T661" s="11">
        <f t="shared" si="227"/>
        <v>2</v>
      </c>
      <c r="U661" s="11">
        <f t="shared" si="228"/>
        <v>0</v>
      </c>
      <c r="V661" s="11" t="e">
        <f>VLOOKUP(C661,Referencias!$A$2:$B$33,2,1)</f>
        <v>#N/A</v>
      </c>
      <c r="W661" s="23" t="str">
        <f t="shared" si="229"/>
        <v/>
      </c>
      <c r="X661" s="11">
        <f t="shared" si="230"/>
        <v>0</v>
      </c>
      <c r="Y661" s="11">
        <f t="shared" si="231"/>
        <v>0</v>
      </c>
      <c r="Z661" s="24">
        <f t="shared" si="232"/>
        <v>0</v>
      </c>
      <c r="AA661" s="25">
        <f t="shared" si="233"/>
        <v>0</v>
      </c>
      <c r="AB661" s="24">
        <f t="shared" si="234"/>
        <v>0</v>
      </c>
      <c r="AC661" s="24">
        <f t="shared" si="219"/>
        <v>0</v>
      </c>
      <c r="AD661" s="24">
        <f t="shared" si="220"/>
        <v>0</v>
      </c>
      <c r="AE661" s="24">
        <f t="shared" si="221"/>
        <v>0</v>
      </c>
      <c r="AF661" s="119" t="str">
        <f>VLOOKUP(P661*1,Referencias!$G:$H,2,0)</f>
        <v>sáb</v>
      </c>
      <c r="BF661"/>
      <c r="BG661"/>
    </row>
    <row r="662" spans="1:59" ht="14.4" x14ac:dyDescent="0.3">
      <c r="A662" s="162"/>
      <c r="B662" s="162"/>
      <c r="C662" s="162"/>
      <c r="D662" s="162"/>
      <c r="E662" s="162"/>
      <c r="F662" s="162"/>
      <c r="G662" s="162"/>
      <c r="H662" s="162"/>
      <c r="I662" s="162"/>
      <c r="N662" s="7" t="str">
        <f t="shared" si="222"/>
        <v>#LIACWA1ZL </v>
      </c>
      <c r="O662" s="7">
        <f t="shared" si="223"/>
        <v>0</v>
      </c>
      <c r="P662" s="21">
        <f t="shared" si="224"/>
        <v>43253</v>
      </c>
      <c r="Q662" s="22">
        <f>VLOOKUP(R662,Referencias!$D$1:$E$13,2,0)</f>
        <v>6</v>
      </c>
      <c r="R662" s="7" t="str">
        <f t="shared" si="225"/>
        <v>JUN</v>
      </c>
      <c r="S662" s="7">
        <f t="shared" si="226"/>
        <v>0</v>
      </c>
      <c r="T662" s="11">
        <f t="shared" si="227"/>
        <v>2</v>
      </c>
      <c r="U662" s="11">
        <f t="shared" si="228"/>
        <v>0</v>
      </c>
      <c r="V662" s="11" t="e">
        <f>VLOOKUP(C662,Referencias!$A$2:$B$33,2,1)</f>
        <v>#N/A</v>
      </c>
      <c r="W662" s="23" t="str">
        <f t="shared" si="229"/>
        <v/>
      </c>
      <c r="X662" s="11">
        <f t="shared" si="230"/>
        <v>0</v>
      </c>
      <c r="Y662" s="11">
        <f t="shared" si="231"/>
        <v>0</v>
      </c>
      <c r="Z662" s="24">
        <f t="shared" si="232"/>
        <v>0</v>
      </c>
      <c r="AA662" s="25">
        <f t="shared" si="233"/>
        <v>0</v>
      </c>
      <c r="AB662" s="24">
        <f t="shared" si="234"/>
        <v>0</v>
      </c>
      <c r="AC662" s="24">
        <f t="shared" si="219"/>
        <v>0</v>
      </c>
      <c r="AD662" s="24">
        <f t="shared" si="220"/>
        <v>0</v>
      </c>
      <c r="AE662" s="24">
        <f t="shared" si="221"/>
        <v>0</v>
      </c>
      <c r="AF662" s="119" t="str">
        <f>VLOOKUP(P662*1,Referencias!$G:$H,2,0)</f>
        <v>sáb</v>
      </c>
      <c r="BF662"/>
      <c r="BG662"/>
    </row>
    <row r="663" spans="1:59" ht="14.4" x14ac:dyDescent="0.3">
      <c r="A663" s="163"/>
      <c r="B663" s="164" t="s">
        <v>342</v>
      </c>
      <c r="C663" s="134">
        <v>0.61736111111111114</v>
      </c>
      <c r="D663" s="165">
        <v>2.11</v>
      </c>
      <c r="E663" s="165" t="s">
        <v>88</v>
      </c>
      <c r="F663" s="165"/>
      <c r="G663" s="166">
        <v>2.5499999999999998</v>
      </c>
      <c r="H663" s="167">
        <v>163.26</v>
      </c>
      <c r="I663" s="165"/>
      <c r="N663" s="7" t="str">
        <f t="shared" si="222"/>
        <v>#LI2XL9EGD </v>
      </c>
      <c r="O663" s="7" t="str">
        <f t="shared" si="223"/>
        <v>#LI2XL9EGD </v>
      </c>
      <c r="P663" s="21">
        <f t="shared" si="224"/>
        <v>43253</v>
      </c>
      <c r="Q663" s="22">
        <f>VLOOKUP(R663,Referencias!$D$1:$E$13,2,0)</f>
        <v>6</v>
      </c>
      <c r="R663" s="7" t="str">
        <f t="shared" si="225"/>
        <v>JUN</v>
      </c>
      <c r="S663" s="7">
        <f t="shared" si="226"/>
        <v>0</v>
      </c>
      <c r="T663" s="11">
        <f t="shared" si="227"/>
        <v>2</v>
      </c>
      <c r="U663" s="11">
        <f t="shared" si="228"/>
        <v>0</v>
      </c>
      <c r="V663" s="11" t="str">
        <f>VLOOKUP(C663,Referencias!$A$2:$B$33,2,1)</f>
        <v>14 - 15</v>
      </c>
      <c r="W663" s="23">
        <f t="shared" si="229"/>
        <v>2.2916666666666696E-2</v>
      </c>
      <c r="X663" s="11">
        <f t="shared" si="230"/>
        <v>2.11</v>
      </c>
      <c r="Y663" s="11">
        <f t="shared" si="231"/>
        <v>3.7261192663908917</v>
      </c>
      <c r="Z663" s="24">
        <f t="shared" si="232"/>
        <v>2.5499999999999998</v>
      </c>
      <c r="AA663" s="25">
        <f t="shared" si="233"/>
        <v>4.6363636363636305</v>
      </c>
      <c r="AB663" s="24">
        <f t="shared" si="234"/>
        <v>1</v>
      </c>
      <c r="AC663" s="24">
        <f t="shared" si="219"/>
        <v>1.670627953455361</v>
      </c>
      <c r="AD663" s="24">
        <f t="shared" si="220"/>
        <v>2.0240921963726399</v>
      </c>
      <c r="AE663" s="24">
        <f t="shared" si="221"/>
        <v>2.3998726513780939</v>
      </c>
      <c r="AF663" s="119" t="str">
        <f>VLOOKUP(P663*1,Referencias!$G:$H,2,0)</f>
        <v>sáb</v>
      </c>
      <c r="BF663"/>
      <c r="BG663"/>
    </row>
    <row r="664" spans="1:59" ht="14.4" x14ac:dyDescent="0.3">
      <c r="A664" s="163"/>
      <c r="B664" s="164"/>
      <c r="C664" s="134">
        <v>0.64027777777777783</v>
      </c>
      <c r="D664" s="165"/>
      <c r="E664" s="165"/>
      <c r="F664" s="165"/>
      <c r="G664" s="166"/>
      <c r="H664" s="167"/>
      <c r="I664" s="165"/>
      <c r="N664" s="7" t="str">
        <f t="shared" si="222"/>
        <v>#LI2XL9EGD </v>
      </c>
      <c r="O664" s="7">
        <f t="shared" si="223"/>
        <v>0</v>
      </c>
      <c r="P664" s="21">
        <f t="shared" si="224"/>
        <v>43253</v>
      </c>
      <c r="Q664" s="22">
        <f>VLOOKUP(R664,Referencias!$D$1:$E$13,2,0)</f>
        <v>6</v>
      </c>
      <c r="R664" s="7" t="str">
        <f t="shared" si="225"/>
        <v>JUN</v>
      </c>
      <c r="S664" s="7">
        <f t="shared" si="226"/>
        <v>0</v>
      </c>
      <c r="T664" s="11">
        <f t="shared" si="227"/>
        <v>2</v>
      </c>
      <c r="U664" s="11">
        <f t="shared" si="228"/>
        <v>0</v>
      </c>
      <c r="V664" s="11" t="str">
        <f>VLOOKUP(C664,Referencias!$A$2:$B$33,2,1)</f>
        <v>15 - 16</v>
      </c>
      <c r="W664" s="23" t="str">
        <f t="shared" si="229"/>
        <v/>
      </c>
      <c r="X664" s="11">
        <f t="shared" si="230"/>
        <v>0</v>
      </c>
      <c r="Y664" s="11">
        <f t="shared" si="231"/>
        <v>0</v>
      </c>
      <c r="Z664" s="24">
        <f t="shared" si="232"/>
        <v>0</v>
      </c>
      <c r="AA664" s="25">
        <f t="shared" si="233"/>
        <v>0</v>
      </c>
      <c r="AB664" s="24">
        <f t="shared" si="234"/>
        <v>0</v>
      </c>
      <c r="AC664" s="24">
        <f t="shared" si="219"/>
        <v>0</v>
      </c>
      <c r="AD664" s="24">
        <f t="shared" si="220"/>
        <v>0</v>
      </c>
      <c r="AE664" s="24">
        <f t="shared" si="221"/>
        <v>0</v>
      </c>
      <c r="AF664" s="119" t="str">
        <f>VLOOKUP(P664*1,Referencias!$G:$H,2,0)</f>
        <v>sáb</v>
      </c>
      <c r="BF664"/>
      <c r="BG664"/>
    </row>
    <row r="665" spans="1:59" ht="14.4" x14ac:dyDescent="0.3">
      <c r="A665" s="161"/>
      <c r="B665" s="161"/>
      <c r="C665" s="161"/>
      <c r="D665" s="161"/>
      <c r="E665" s="161"/>
      <c r="F665" s="161"/>
      <c r="G665" s="161"/>
      <c r="H665" s="161"/>
      <c r="I665" s="161"/>
      <c r="N665" s="7" t="str">
        <f t="shared" si="222"/>
        <v>#LI2XL9EGD </v>
      </c>
      <c r="O665" s="7">
        <f t="shared" si="223"/>
        <v>0</v>
      </c>
      <c r="P665" s="21">
        <f t="shared" si="224"/>
        <v>43253</v>
      </c>
      <c r="Q665" s="22">
        <f>VLOOKUP(R665,Referencias!$D$1:$E$13,2,0)</f>
        <v>6</v>
      </c>
      <c r="R665" s="7" t="str">
        <f t="shared" si="225"/>
        <v>JUN</v>
      </c>
      <c r="S665" s="7">
        <f t="shared" si="226"/>
        <v>0</v>
      </c>
      <c r="T665" s="11">
        <f t="shared" si="227"/>
        <v>2</v>
      </c>
      <c r="U665" s="11">
        <f t="shared" si="228"/>
        <v>0</v>
      </c>
      <c r="V665" s="11" t="e">
        <f>VLOOKUP(C665,Referencias!$A$2:$B$33,2,1)</f>
        <v>#N/A</v>
      </c>
      <c r="W665" s="23" t="str">
        <f t="shared" si="229"/>
        <v/>
      </c>
      <c r="X665" s="11">
        <f t="shared" si="230"/>
        <v>0</v>
      </c>
      <c r="Y665" s="11">
        <f t="shared" si="231"/>
        <v>0</v>
      </c>
      <c r="Z665" s="24">
        <f t="shared" si="232"/>
        <v>0</v>
      </c>
      <c r="AA665" s="25">
        <f t="shared" si="233"/>
        <v>0</v>
      </c>
      <c r="AB665" s="24">
        <f t="shared" si="234"/>
        <v>0</v>
      </c>
      <c r="AC665" s="24">
        <f t="shared" si="219"/>
        <v>0</v>
      </c>
      <c r="AD665" s="24">
        <f t="shared" si="220"/>
        <v>0</v>
      </c>
      <c r="AE665" s="24">
        <f t="shared" si="221"/>
        <v>0</v>
      </c>
      <c r="AF665" s="119" t="str">
        <f>VLOOKUP(P665*1,Referencias!$G:$H,2,0)</f>
        <v>sáb</v>
      </c>
      <c r="BF665"/>
      <c r="BG665"/>
    </row>
    <row r="666" spans="1:59" ht="14.4" x14ac:dyDescent="0.3">
      <c r="A666" s="162"/>
      <c r="B666" s="162"/>
      <c r="C666" s="162"/>
      <c r="D666" s="162"/>
      <c r="E666" s="162"/>
      <c r="F666" s="162"/>
      <c r="G666" s="162"/>
      <c r="H666" s="162"/>
      <c r="I666" s="162"/>
      <c r="N666" s="7" t="str">
        <f t="shared" si="222"/>
        <v>#LI2XL9EGD </v>
      </c>
      <c r="O666" s="7">
        <f t="shared" si="223"/>
        <v>0</v>
      </c>
      <c r="P666" s="21">
        <f t="shared" si="224"/>
        <v>43253</v>
      </c>
      <c r="Q666" s="22">
        <f>VLOOKUP(R666,Referencias!$D$1:$E$13,2,0)</f>
        <v>6</v>
      </c>
      <c r="R666" s="7" t="str">
        <f t="shared" si="225"/>
        <v>JUN</v>
      </c>
      <c r="S666" s="7">
        <f t="shared" si="226"/>
        <v>0</v>
      </c>
      <c r="T666" s="11">
        <f t="shared" si="227"/>
        <v>2</v>
      </c>
      <c r="U666" s="11">
        <f t="shared" si="228"/>
        <v>0</v>
      </c>
      <c r="V666" s="11" t="e">
        <f>VLOOKUP(C666,Referencias!$A$2:$B$33,2,1)</f>
        <v>#N/A</v>
      </c>
      <c r="W666" s="23" t="str">
        <f t="shared" si="229"/>
        <v/>
      </c>
      <c r="X666" s="11">
        <f t="shared" si="230"/>
        <v>0</v>
      </c>
      <c r="Y666" s="11">
        <f t="shared" si="231"/>
        <v>0</v>
      </c>
      <c r="Z666" s="24">
        <f t="shared" si="232"/>
        <v>0</v>
      </c>
      <c r="AA666" s="25">
        <f t="shared" si="233"/>
        <v>0</v>
      </c>
      <c r="AB666" s="24">
        <f t="shared" si="234"/>
        <v>0</v>
      </c>
      <c r="AC666" s="24">
        <f t="shared" si="219"/>
        <v>0</v>
      </c>
      <c r="AD666" s="24">
        <f t="shared" si="220"/>
        <v>0</v>
      </c>
      <c r="AE666" s="24">
        <f t="shared" si="221"/>
        <v>0</v>
      </c>
      <c r="AF666" s="119" t="str">
        <f>VLOOKUP(P666*1,Referencias!$G:$H,2,0)</f>
        <v>sáb</v>
      </c>
      <c r="BF666"/>
      <c r="BG666"/>
    </row>
    <row r="667" spans="1:59" ht="14.4" x14ac:dyDescent="0.3">
      <c r="A667" s="163"/>
      <c r="B667" s="164" t="s">
        <v>343</v>
      </c>
      <c r="C667" s="134">
        <v>0.71875</v>
      </c>
      <c r="D667" s="165">
        <v>15.39</v>
      </c>
      <c r="E667" s="165" t="s">
        <v>29</v>
      </c>
      <c r="F667" s="165"/>
      <c r="G667" s="166">
        <v>6.88</v>
      </c>
      <c r="H667" s="167">
        <v>170.14</v>
      </c>
      <c r="I667" s="165"/>
      <c r="N667" s="7" t="str">
        <f t="shared" si="222"/>
        <v>#LI2VF1TTS </v>
      </c>
      <c r="O667" s="7" t="str">
        <f t="shared" si="223"/>
        <v>#LI2VF1TTS </v>
      </c>
      <c r="P667" s="21">
        <f t="shared" si="224"/>
        <v>43253</v>
      </c>
      <c r="Q667" s="22">
        <f>VLOOKUP(R667,Referencias!$D$1:$E$13,2,0)</f>
        <v>6</v>
      </c>
      <c r="R667" s="7" t="str">
        <f t="shared" si="225"/>
        <v>JUN</v>
      </c>
      <c r="S667" s="7">
        <f t="shared" si="226"/>
        <v>0</v>
      </c>
      <c r="T667" s="11">
        <f t="shared" si="227"/>
        <v>2</v>
      </c>
      <c r="U667" s="11">
        <f t="shared" si="228"/>
        <v>0</v>
      </c>
      <c r="V667" s="11" t="str">
        <f>VLOOKUP(C667,Referencias!$A$2:$B$33,2,1)</f>
        <v>17 - 18</v>
      </c>
      <c r="W667" s="23">
        <f t="shared" si="229"/>
        <v>4.861111111111116E-2</v>
      </c>
      <c r="X667" s="11">
        <f t="shared" si="230"/>
        <v>15.39</v>
      </c>
      <c r="Y667" s="11">
        <f t="shared" si="231"/>
        <v>27.17771351173262</v>
      </c>
      <c r="Z667" s="24">
        <f t="shared" si="232"/>
        <v>6.88</v>
      </c>
      <c r="AA667" s="25">
        <f t="shared" si="233"/>
        <v>5.8971428571428515</v>
      </c>
      <c r="AB667" s="24">
        <f t="shared" si="234"/>
        <v>1</v>
      </c>
      <c r="AC667" s="24">
        <f t="shared" si="219"/>
        <v>4.5074197332442685</v>
      </c>
      <c r="AD667" s="24">
        <f t="shared" si="220"/>
        <v>5.4610801219779468</v>
      </c>
      <c r="AE667" s="24">
        <f t="shared" si="221"/>
        <v>6.4749505260710922</v>
      </c>
      <c r="AF667" s="119" t="str">
        <f>VLOOKUP(P667*1,Referencias!$G:$H,2,0)</f>
        <v>sáb</v>
      </c>
      <c r="BF667"/>
      <c r="BG667"/>
    </row>
    <row r="668" spans="1:59" ht="14.4" x14ac:dyDescent="0.3">
      <c r="A668" s="163"/>
      <c r="B668" s="164"/>
      <c r="C668" s="134">
        <v>0.76736111111111116</v>
      </c>
      <c r="D668" s="165"/>
      <c r="E668" s="165"/>
      <c r="F668" s="165"/>
      <c r="G668" s="166"/>
      <c r="H668" s="167"/>
      <c r="I668" s="165"/>
      <c r="N668" s="7" t="str">
        <f t="shared" si="222"/>
        <v>#LI2VF1TTS </v>
      </c>
      <c r="O668" s="7">
        <f t="shared" si="223"/>
        <v>0</v>
      </c>
      <c r="P668" s="21">
        <f t="shared" si="224"/>
        <v>43253</v>
      </c>
      <c r="Q668" s="22">
        <f>VLOOKUP(R668,Referencias!$D$1:$E$13,2,0)</f>
        <v>6</v>
      </c>
      <c r="R668" s="7" t="str">
        <f t="shared" si="225"/>
        <v>JUN</v>
      </c>
      <c r="S668" s="7">
        <f t="shared" si="226"/>
        <v>0</v>
      </c>
      <c r="T668" s="11">
        <f t="shared" si="227"/>
        <v>2</v>
      </c>
      <c r="U668" s="11">
        <f t="shared" si="228"/>
        <v>0</v>
      </c>
      <c r="V668" s="11" t="str">
        <f>VLOOKUP(C668,Referencias!$A$2:$B$33,2,1)</f>
        <v>18 - 19</v>
      </c>
      <c r="W668" s="23" t="str">
        <f t="shared" si="229"/>
        <v/>
      </c>
      <c r="X668" s="11">
        <f t="shared" si="230"/>
        <v>0</v>
      </c>
      <c r="Y668" s="11">
        <f t="shared" si="231"/>
        <v>0</v>
      </c>
      <c r="Z668" s="24">
        <f t="shared" si="232"/>
        <v>0</v>
      </c>
      <c r="AA668" s="25">
        <f t="shared" si="233"/>
        <v>0</v>
      </c>
      <c r="AB668" s="24">
        <f t="shared" si="234"/>
        <v>0</v>
      </c>
      <c r="AC668" s="24">
        <f t="shared" si="219"/>
        <v>0</v>
      </c>
      <c r="AD668" s="24">
        <f t="shared" si="220"/>
        <v>0</v>
      </c>
      <c r="AE668" s="24">
        <f t="shared" si="221"/>
        <v>0</v>
      </c>
      <c r="AF668" s="119" t="str">
        <f>VLOOKUP(P668*1,Referencias!$G:$H,2,0)</f>
        <v>sáb</v>
      </c>
      <c r="BF668"/>
      <c r="BG668"/>
    </row>
    <row r="669" spans="1:59" ht="14.4" x14ac:dyDescent="0.3">
      <c r="A669" s="161"/>
      <c r="B669" s="161"/>
      <c r="C669" s="161"/>
      <c r="D669" s="161"/>
      <c r="E669" s="161"/>
      <c r="F669" s="161"/>
      <c r="G669" s="161"/>
      <c r="H669" s="161"/>
      <c r="I669" s="161"/>
      <c r="N669" s="7" t="str">
        <f t="shared" si="222"/>
        <v>#LI2VF1TTS </v>
      </c>
      <c r="O669" s="7">
        <f t="shared" si="223"/>
        <v>0</v>
      </c>
      <c r="P669" s="21">
        <f t="shared" si="224"/>
        <v>43253</v>
      </c>
      <c r="Q669" s="22">
        <f>VLOOKUP(R669,Referencias!$D$1:$E$13,2,0)</f>
        <v>6</v>
      </c>
      <c r="R669" s="7" t="str">
        <f t="shared" si="225"/>
        <v>JUN</v>
      </c>
      <c r="S669" s="7">
        <f t="shared" si="226"/>
        <v>0</v>
      </c>
      <c r="T669" s="11">
        <f t="shared" si="227"/>
        <v>2</v>
      </c>
      <c r="U669" s="11">
        <f t="shared" si="228"/>
        <v>0</v>
      </c>
      <c r="V669" s="11" t="e">
        <f>VLOOKUP(C669,Referencias!$A$2:$B$33,2,1)</f>
        <v>#N/A</v>
      </c>
      <c r="W669" s="23" t="str">
        <f t="shared" si="229"/>
        <v/>
      </c>
      <c r="X669" s="11">
        <f t="shared" si="230"/>
        <v>0</v>
      </c>
      <c r="Y669" s="11">
        <f t="shared" si="231"/>
        <v>0</v>
      </c>
      <c r="Z669" s="24">
        <f t="shared" si="232"/>
        <v>0</v>
      </c>
      <c r="AA669" s="25">
        <f t="shared" si="233"/>
        <v>0</v>
      </c>
      <c r="AB669" s="24">
        <f t="shared" si="234"/>
        <v>0</v>
      </c>
      <c r="AC669" s="24">
        <f t="shared" si="219"/>
        <v>0</v>
      </c>
      <c r="AD669" s="24">
        <f t="shared" si="220"/>
        <v>0</v>
      </c>
      <c r="AE669" s="24">
        <f t="shared" si="221"/>
        <v>0</v>
      </c>
      <c r="AF669" s="119" t="str">
        <f>VLOOKUP(P669*1,Referencias!$G:$H,2,0)</f>
        <v>sáb</v>
      </c>
      <c r="BF669"/>
      <c r="BG669"/>
    </row>
    <row r="670" spans="1:59" ht="14.4" x14ac:dyDescent="0.3">
      <c r="A670" s="162"/>
      <c r="B670" s="162"/>
      <c r="C670" s="162"/>
      <c r="D670" s="162"/>
      <c r="E670" s="162"/>
      <c r="F670" s="162"/>
      <c r="G670" s="162"/>
      <c r="H670" s="162"/>
      <c r="I670" s="162"/>
      <c r="N670" s="7" t="str">
        <f t="shared" si="222"/>
        <v>#LI2VF1TTS </v>
      </c>
      <c r="O670" s="7">
        <f t="shared" si="223"/>
        <v>0</v>
      </c>
      <c r="P670" s="21">
        <f t="shared" si="224"/>
        <v>43253</v>
      </c>
      <c r="Q670" s="22">
        <f>VLOOKUP(R670,Referencias!$D$1:$E$13,2,0)</f>
        <v>6</v>
      </c>
      <c r="R670" s="7" t="str">
        <f t="shared" si="225"/>
        <v>JUN</v>
      </c>
      <c r="S670" s="7">
        <f t="shared" si="226"/>
        <v>0</v>
      </c>
      <c r="T670" s="11">
        <f t="shared" si="227"/>
        <v>2</v>
      </c>
      <c r="U670" s="11">
        <f t="shared" si="228"/>
        <v>0</v>
      </c>
      <c r="V670" s="11" t="e">
        <f>VLOOKUP(C670,Referencias!$A$2:$B$33,2,1)</f>
        <v>#N/A</v>
      </c>
      <c r="W670" s="23" t="str">
        <f t="shared" si="229"/>
        <v/>
      </c>
      <c r="X670" s="11">
        <f t="shared" si="230"/>
        <v>0</v>
      </c>
      <c r="Y670" s="11">
        <f t="shared" si="231"/>
        <v>0</v>
      </c>
      <c r="Z670" s="24">
        <f t="shared" si="232"/>
        <v>0</v>
      </c>
      <c r="AA670" s="25">
        <f t="shared" si="233"/>
        <v>0</v>
      </c>
      <c r="AB670" s="24">
        <f t="shared" si="234"/>
        <v>0</v>
      </c>
      <c r="AC670" s="24">
        <f t="shared" si="219"/>
        <v>0</v>
      </c>
      <c r="AD670" s="24">
        <f t="shared" si="220"/>
        <v>0</v>
      </c>
      <c r="AE670" s="24">
        <f t="shared" si="221"/>
        <v>0</v>
      </c>
      <c r="AF670" s="119" t="str">
        <f>VLOOKUP(P670*1,Referencias!$G:$H,2,0)</f>
        <v>sáb</v>
      </c>
      <c r="BF670"/>
      <c r="BG670"/>
    </row>
    <row r="671" spans="1:59" ht="14.4" x14ac:dyDescent="0.3">
      <c r="A671" s="163"/>
      <c r="B671" s="164" t="s">
        <v>344</v>
      </c>
      <c r="C671" s="134">
        <v>0.83680555555555547</v>
      </c>
      <c r="D671" s="165">
        <v>14.74</v>
      </c>
      <c r="E671" s="165" t="s">
        <v>48</v>
      </c>
      <c r="F671" s="149">
        <v>1.34</v>
      </c>
      <c r="G671" s="166">
        <v>8.08</v>
      </c>
      <c r="H671" s="167">
        <v>178.22</v>
      </c>
      <c r="I671" s="147" t="s">
        <v>350</v>
      </c>
      <c r="N671" s="7" t="str">
        <f t="shared" si="222"/>
        <v>#LI5DDAW9J </v>
      </c>
      <c r="O671" s="7" t="str">
        <f t="shared" si="223"/>
        <v>#LI5DDAW9J </v>
      </c>
      <c r="P671" s="21">
        <f t="shared" si="224"/>
        <v>43253</v>
      </c>
      <c r="Q671" s="22">
        <f>VLOOKUP(R671,Referencias!$D$1:$E$13,2,0)</f>
        <v>6</v>
      </c>
      <c r="R671" s="7" t="str">
        <f t="shared" si="225"/>
        <v>JUN</v>
      </c>
      <c r="S671" s="7">
        <f t="shared" si="226"/>
        <v>0</v>
      </c>
      <c r="T671" s="11">
        <f t="shared" si="227"/>
        <v>2</v>
      </c>
      <c r="U671" s="11">
        <f t="shared" si="228"/>
        <v>0</v>
      </c>
      <c r="V671" s="11" t="str">
        <f>VLOOKUP(C671,Referencias!$A$2:$B$33,2,1)</f>
        <v>20 - 21</v>
      </c>
      <c r="W671" s="23">
        <f t="shared" si="229"/>
        <v>3.2638888888888995E-2</v>
      </c>
      <c r="X671" s="11">
        <f t="shared" si="230"/>
        <v>14.74</v>
      </c>
      <c r="Y671" s="11">
        <f t="shared" si="231"/>
        <v>26.029856865688032</v>
      </c>
      <c r="Z671" s="24">
        <f t="shared" si="232"/>
        <v>8.08</v>
      </c>
      <c r="AA671" s="25">
        <f t="shared" si="233"/>
        <v>10.314893617021243</v>
      </c>
      <c r="AB671" s="24">
        <f t="shared" si="234"/>
        <v>1</v>
      </c>
      <c r="AC671" s="24">
        <f t="shared" si="219"/>
        <v>5.2935975936938506</v>
      </c>
      <c r="AD671" s="24">
        <f t="shared" si="220"/>
        <v>6.4135940967415417</v>
      </c>
      <c r="AE671" s="24">
        <f t="shared" si="221"/>
        <v>7.6043023620137253</v>
      </c>
      <c r="AF671" s="119" t="str">
        <f>VLOOKUP(P671*1,Referencias!$G:$H,2,0)</f>
        <v>sáb</v>
      </c>
      <c r="BF671"/>
      <c r="BG671"/>
    </row>
    <row r="672" spans="1:59" ht="14.4" x14ac:dyDescent="0.3">
      <c r="A672" s="163"/>
      <c r="B672" s="164"/>
      <c r="C672" s="134">
        <v>0.86944444444444446</v>
      </c>
      <c r="D672" s="165"/>
      <c r="E672" s="165"/>
      <c r="F672" s="145" t="s">
        <v>349</v>
      </c>
      <c r="G672" s="166"/>
      <c r="H672" s="167"/>
      <c r="I672" s="147" t="s">
        <v>351</v>
      </c>
      <c r="N672" s="7" t="str">
        <f t="shared" si="222"/>
        <v>#LI5DDAW9J </v>
      </c>
      <c r="O672" s="7">
        <f t="shared" si="223"/>
        <v>0</v>
      </c>
      <c r="P672" s="21">
        <f t="shared" si="224"/>
        <v>43253</v>
      </c>
      <c r="Q672" s="22">
        <f>VLOOKUP(R672,Referencias!$D$1:$E$13,2,0)</f>
        <v>6</v>
      </c>
      <c r="R672" s="7" t="str">
        <f t="shared" si="225"/>
        <v>JUN</v>
      </c>
      <c r="S672" s="7">
        <f t="shared" si="226"/>
        <v>0</v>
      </c>
      <c r="T672" s="11">
        <f t="shared" si="227"/>
        <v>2</v>
      </c>
      <c r="U672" s="11">
        <f t="shared" si="228"/>
        <v>0</v>
      </c>
      <c r="V672" s="11" t="str">
        <f>VLOOKUP(C672,Referencias!$A$2:$B$33,2,1)</f>
        <v>20 - 21</v>
      </c>
      <c r="W672" s="23" t="str">
        <f t="shared" si="229"/>
        <v/>
      </c>
      <c r="X672" s="11">
        <f t="shared" si="230"/>
        <v>0</v>
      </c>
      <c r="Y672" s="11">
        <f t="shared" si="231"/>
        <v>0</v>
      </c>
      <c r="Z672" s="24">
        <f t="shared" si="232"/>
        <v>0</v>
      </c>
      <c r="AA672" s="25">
        <f t="shared" si="233"/>
        <v>0</v>
      </c>
      <c r="AB672" s="24">
        <f t="shared" si="234"/>
        <v>0</v>
      </c>
      <c r="AC672" s="24">
        <f t="shared" si="219"/>
        <v>0</v>
      </c>
      <c r="AD672" s="24">
        <f t="shared" si="220"/>
        <v>0</v>
      </c>
      <c r="AE672" s="24">
        <f t="shared" si="221"/>
        <v>0</v>
      </c>
      <c r="AF672" s="119" t="str">
        <f>VLOOKUP(P672*1,Referencias!$G:$H,2,0)</f>
        <v>sáb</v>
      </c>
      <c r="BF672"/>
      <c r="BG672"/>
    </row>
    <row r="673" spans="1:59" ht="14.4" x14ac:dyDescent="0.3">
      <c r="A673" s="161"/>
      <c r="B673" s="161"/>
      <c r="C673" s="161"/>
      <c r="D673" s="161"/>
      <c r="E673" s="161"/>
      <c r="F673" s="161"/>
      <c r="G673" s="161"/>
      <c r="H673" s="161"/>
      <c r="I673" s="161"/>
      <c r="N673" s="7" t="str">
        <f t="shared" si="222"/>
        <v>#LI5DDAW9J </v>
      </c>
      <c r="O673" s="7">
        <f t="shared" si="223"/>
        <v>0</v>
      </c>
      <c r="P673" s="21">
        <f t="shared" si="224"/>
        <v>43253</v>
      </c>
      <c r="Q673" s="22">
        <f>VLOOKUP(R673,Referencias!$D$1:$E$13,2,0)</f>
        <v>6</v>
      </c>
      <c r="R673" s="7" t="str">
        <f t="shared" si="225"/>
        <v>JUN</v>
      </c>
      <c r="S673" s="7">
        <f t="shared" si="226"/>
        <v>0</v>
      </c>
      <c r="T673" s="11">
        <f t="shared" si="227"/>
        <v>2</v>
      </c>
      <c r="U673" s="11">
        <f t="shared" si="228"/>
        <v>0</v>
      </c>
      <c r="V673" s="11" t="e">
        <f>VLOOKUP(C673,Referencias!$A$2:$B$33,2,1)</f>
        <v>#N/A</v>
      </c>
      <c r="W673" s="23" t="str">
        <f t="shared" si="229"/>
        <v/>
      </c>
      <c r="X673" s="11">
        <f t="shared" si="230"/>
        <v>0</v>
      </c>
      <c r="Y673" s="11">
        <f t="shared" si="231"/>
        <v>0</v>
      </c>
      <c r="Z673" s="24">
        <f t="shared" si="232"/>
        <v>0</v>
      </c>
      <c r="AA673" s="25">
        <f t="shared" si="233"/>
        <v>0</v>
      </c>
      <c r="AB673" s="24">
        <f t="shared" si="234"/>
        <v>0</v>
      </c>
      <c r="AC673" s="24">
        <f t="shared" si="219"/>
        <v>0</v>
      </c>
      <c r="AD673" s="24">
        <f t="shared" si="220"/>
        <v>0</v>
      </c>
      <c r="AE673" s="24">
        <f t="shared" si="221"/>
        <v>0</v>
      </c>
      <c r="AF673" s="119" t="str">
        <f>VLOOKUP(P673*1,Referencias!$G:$H,2,0)</f>
        <v>sáb</v>
      </c>
      <c r="BF673"/>
      <c r="BG673"/>
    </row>
    <row r="674" spans="1:59" ht="14.4" x14ac:dyDescent="0.3">
      <c r="A674" s="162"/>
      <c r="B674" s="162"/>
      <c r="C674" s="162"/>
      <c r="D674" s="162"/>
      <c r="E674" s="162"/>
      <c r="F674" s="162"/>
      <c r="G674" s="162"/>
      <c r="H674" s="162"/>
      <c r="I674" s="162"/>
      <c r="N674" s="7" t="str">
        <f t="shared" si="222"/>
        <v>#LI5DDAW9J </v>
      </c>
      <c r="O674" s="7">
        <f t="shared" si="223"/>
        <v>0</v>
      </c>
      <c r="P674" s="21">
        <f t="shared" si="224"/>
        <v>43253</v>
      </c>
      <c r="Q674" s="22">
        <f>VLOOKUP(R674,Referencias!$D$1:$E$13,2,0)</f>
        <v>6</v>
      </c>
      <c r="R674" s="7" t="str">
        <f t="shared" si="225"/>
        <v>JUN</v>
      </c>
      <c r="S674" s="7">
        <f t="shared" si="226"/>
        <v>0</v>
      </c>
      <c r="T674" s="11">
        <f t="shared" si="227"/>
        <v>2</v>
      </c>
      <c r="U674" s="11">
        <f t="shared" si="228"/>
        <v>0</v>
      </c>
      <c r="V674" s="11" t="e">
        <f>VLOOKUP(C674,Referencias!$A$2:$B$33,2,1)</f>
        <v>#N/A</v>
      </c>
      <c r="W674" s="23" t="str">
        <f t="shared" si="229"/>
        <v/>
      </c>
      <c r="X674" s="11">
        <f t="shared" si="230"/>
        <v>0</v>
      </c>
      <c r="Y674" s="11">
        <f t="shared" si="231"/>
        <v>0</v>
      </c>
      <c r="Z674" s="24">
        <f t="shared" si="232"/>
        <v>0</v>
      </c>
      <c r="AA674" s="25">
        <f t="shared" si="233"/>
        <v>0</v>
      </c>
      <c r="AB674" s="24">
        <f t="shared" si="234"/>
        <v>0</v>
      </c>
      <c r="AC674" s="24">
        <f t="shared" si="219"/>
        <v>0</v>
      </c>
      <c r="AD674" s="24">
        <f t="shared" si="220"/>
        <v>0</v>
      </c>
      <c r="AE674" s="24">
        <f t="shared" si="221"/>
        <v>0</v>
      </c>
      <c r="AF674" s="119" t="str">
        <f>VLOOKUP(P674*1,Referencias!$G:$H,2,0)</f>
        <v>sáb</v>
      </c>
      <c r="BF674"/>
      <c r="BG674"/>
    </row>
    <row r="675" spans="1:59" ht="14.4" x14ac:dyDescent="0.3">
      <c r="A675" s="163"/>
      <c r="B675" s="164" t="s">
        <v>345</v>
      </c>
      <c r="C675" s="134">
        <v>0.90138888888888891</v>
      </c>
      <c r="D675" s="165">
        <v>10.45</v>
      </c>
      <c r="E675" s="165" t="s">
        <v>72</v>
      </c>
      <c r="F675" s="165"/>
      <c r="G675" s="166">
        <v>5.38</v>
      </c>
      <c r="H675" s="167">
        <v>183.6</v>
      </c>
      <c r="I675" s="165"/>
      <c r="N675" s="7" t="str">
        <f t="shared" si="222"/>
        <v>#LIAGR4DUE </v>
      </c>
      <c r="O675" s="7" t="str">
        <f t="shared" si="223"/>
        <v>#LIAGR4DUE </v>
      </c>
      <c r="P675" s="21">
        <f t="shared" si="224"/>
        <v>43253</v>
      </c>
      <c r="Q675" s="22">
        <f>VLOOKUP(R675,Referencias!$D$1:$E$13,2,0)</f>
        <v>6</v>
      </c>
      <c r="R675" s="7" t="str">
        <f t="shared" si="225"/>
        <v>JUN</v>
      </c>
      <c r="S675" s="7">
        <f t="shared" si="226"/>
        <v>0</v>
      </c>
      <c r="T675" s="11">
        <f t="shared" si="227"/>
        <v>2</v>
      </c>
      <c r="U675" s="11">
        <f t="shared" si="228"/>
        <v>0</v>
      </c>
      <c r="V675" s="11" t="str">
        <f>VLOOKUP(C675,Referencias!$A$2:$B$33,2,1)</f>
        <v>21 - 22</v>
      </c>
      <c r="W675" s="23">
        <f t="shared" si="229"/>
        <v>3.0555555555555558E-2</v>
      </c>
      <c r="X675" s="11">
        <f t="shared" si="230"/>
        <v>10.45</v>
      </c>
      <c r="Y675" s="11">
        <f t="shared" si="231"/>
        <v>18.454003001793751</v>
      </c>
      <c r="Z675" s="24">
        <f t="shared" si="232"/>
        <v>5.38</v>
      </c>
      <c r="AA675" s="25">
        <f t="shared" si="233"/>
        <v>7.3363636363636369</v>
      </c>
      <c r="AB675" s="24">
        <f t="shared" si="234"/>
        <v>1</v>
      </c>
      <c r="AC675" s="24">
        <f t="shared" si="219"/>
        <v>3.5246974076822912</v>
      </c>
      <c r="AD675" s="24">
        <f t="shared" si="220"/>
        <v>4.2704376535234525</v>
      </c>
      <c r="AE675" s="24">
        <f t="shared" si="221"/>
        <v>5.063260731142802</v>
      </c>
      <c r="AF675" s="119" t="str">
        <f>VLOOKUP(P675*1,Referencias!$G:$H,2,0)</f>
        <v>sáb</v>
      </c>
      <c r="BF675"/>
      <c r="BG675"/>
    </row>
    <row r="676" spans="1:59" ht="14.4" x14ac:dyDescent="0.3">
      <c r="A676" s="163"/>
      <c r="B676" s="164"/>
      <c r="C676" s="134">
        <v>0.93194444444444446</v>
      </c>
      <c r="D676" s="165"/>
      <c r="E676" s="165"/>
      <c r="F676" s="165"/>
      <c r="G676" s="166"/>
      <c r="H676" s="167"/>
      <c r="I676" s="165"/>
      <c r="N676" s="7" t="str">
        <f t="shared" si="222"/>
        <v>#LIAGR4DUE </v>
      </c>
      <c r="O676" s="7">
        <f t="shared" si="223"/>
        <v>0</v>
      </c>
      <c r="P676" s="21">
        <f t="shared" si="224"/>
        <v>43253</v>
      </c>
      <c r="Q676" s="22">
        <f>VLOOKUP(R676,Referencias!$D$1:$E$13,2,0)</f>
        <v>6</v>
      </c>
      <c r="R676" s="7" t="str">
        <f t="shared" si="225"/>
        <v>JUN</v>
      </c>
      <c r="S676" s="7">
        <f t="shared" si="226"/>
        <v>0</v>
      </c>
      <c r="T676" s="11">
        <f t="shared" si="227"/>
        <v>2</v>
      </c>
      <c r="U676" s="11">
        <f t="shared" si="228"/>
        <v>0</v>
      </c>
      <c r="V676" s="11" t="str">
        <f>VLOOKUP(C676,Referencias!$A$2:$B$33,2,1)</f>
        <v>22 - 23</v>
      </c>
      <c r="W676" s="23" t="str">
        <f t="shared" si="229"/>
        <v/>
      </c>
      <c r="X676" s="11">
        <f t="shared" si="230"/>
        <v>0</v>
      </c>
      <c r="Y676" s="11">
        <f t="shared" si="231"/>
        <v>0</v>
      </c>
      <c r="Z676" s="24">
        <f t="shared" si="232"/>
        <v>0</v>
      </c>
      <c r="AA676" s="25">
        <f t="shared" si="233"/>
        <v>0</v>
      </c>
      <c r="AB676" s="24">
        <f t="shared" si="234"/>
        <v>0</v>
      </c>
      <c r="AC676" s="24">
        <f t="shared" si="219"/>
        <v>0</v>
      </c>
      <c r="AD676" s="24">
        <f t="shared" si="220"/>
        <v>0</v>
      </c>
      <c r="AE676" s="24">
        <f t="shared" si="221"/>
        <v>0</v>
      </c>
      <c r="AF676" s="119" t="str">
        <f>VLOOKUP(P676*1,Referencias!$G:$H,2,0)</f>
        <v>sáb</v>
      </c>
      <c r="BF676"/>
      <c r="BG676"/>
    </row>
    <row r="677" spans="1:59" ht="15" thickBot="1" x14ac:dyDescent="0.35">
      <c r="A677" s="172"/>
      <c r="B677" s="172"/>
      <c r="C677" s="172"/>
      <c r="D677" s="172"/>
      <c r="E677" s="172"/>
      <c r="F677" s="172"/>
      <c r="G677" s="172"/>
      <c r="H677" s="172"/>
      <c r="I677" s="172"/>
      <c r="N677" s="7" t="str">
        <f t="shared" ref="N677:N724" si="235">IF(O677&lt;&gt;0,O677,N676)</f>
        <v>#LIAGR4DUE </v>
      </c>
      <c r="O677" s="7">
        <f t="shared" ref="O677:O724" si="236">IF(X677&gt;0,B677,0)</f>
        <v>0</v>
      </c>
      <c r="P677" s="21">
        <f t="shared" si="224"/>
        <v>43253</v>
      </c>
      <c r="Q677" s="22">
        <f>VLOOKUP(R677,Referencias!$D$1:$E$13,2,0)</f>
        <v>6</v>
      </c>
      <c r="R677" s="7" t="str">
        <f t="shared" ref="R677:R724" si="237">IF(S677="ganhos garantidos",R676,IF(S677&lt;&gt;0,S677,R676))</f>
        <v>JUN</v>
      </c>
      <c r="S677" s="7">
        <f t="shared" ref="S677:S724" si="238">IF(X677&gt;0,A678,0)</f>
        <v>0</v>
      </c>
      <c r="T677" s="11">
        <f t="shared" ref="T677:T724" si="239">IF(U677&lt;&gt;0,U677,T676)</f>
        <v>2</v>
      </c>
      <c r="U677" s="11">
        <f t="shared" ref="U677:U724" si="240">IF(X677&gt;0,A677,0)</f>
        <v>0</v>
      </c>
      <c r="V677" s="11" t="e">
        <f>VLOOKUP(C677,Referencias!$A$2:$B$33,2,1)</f>
        <v>#N/A</v>
      </c>
      <c r="W677" s="23" t="str">
        <f t="shared" ref="W677:W724" si="241">IF(X677&gt;0,C678-C677,"")</f>
        <v/>
      </c>
      <c r="X677" s="11">
        <f t="shared" ref="X677:X724" si="242">D677*1</f>
        <v>0</v>
      </c>
      <c r="Y677" s="11">
        <f t="shared" ref="Y677:Y724" si="243">X677*$AK$2</f>
        <v>0</v>
      </c>
      <c r="Z677" s="24">
        <f t="shared" ref="Z677:Z724" si="244">IF(A677="Ganhos Garantidos",G677,IF(X677&gt;0,G677*1,0))</f>
        <v>0</v>
      </c>
      <c r="AA677" s="25">
        <f t="shared" ref="AA677:AA724" si="245">IFERROR(Z677/(86400*(W677)/360/10),0)</f>
        <v>0</v>
      </c>
      <c r="AB677" s="24">
        <f t="shared" ref="AB677:AB724" si="246">IF(O677&gt;0,1,0)</f>
        <v>0</v>
      </c>
      <c r="AC677" s="24">
        <f t="shared" si="219"/>
        <v>0</v>
      </c>
      <c r="AD677" s="24">
        <f t="shared" si="220"/>
        <v>0</v>
      </c>
      <c r="AE677" s="24">
        <f t="shared" si="221"/>
        <v>0</v>
      </c>
      <c r="AF677" s="119" t="str">
        <f>VLOOKUP(P677*1,Referencias!$G:$H,2,0)</f>
        <v>sáb</v>
      </c>
      <c r="BF677"/>
      <c r="BG677"/>
    </row>
    <row r="678" spans="1:59" ht="12" customHeight="1" x14ac:dyDescent="0.3">
      <c r="A678" s="147">
        <v>3</v>
      </c>
      <c r="B678" s="168" t="s">
        <v>357</v>
      </c>
      <c r="C678" s="134">
        <v>0.47430555555555554</v>
      </c>
      <c r="D678" s="169">
        <v>4.37</v>
      </c>
      <c r="E678" s="169" t="s">
        <v>36</v>
      </c>
      <c r="F678" s="169"/>
      <c r="G678" s="170">
        <v>3.02</v>
      </c>
      <c r="H678" s="171">
        <v>186.62</v>
      </c>
      <c r="I678" s="169"/>
      <c r="N678" s="7" t="str">
        <f t="shared" si="235"/>
        <v>#LIGAE7B2R </v>
      </c>
      <c r="O678" s="7" t="str">
        <f t="shared" si="236"/>
        <v>#LIGAE7B2R </v>
      </c>
      <c r="P678" s="21">
        <f t="shared" si="224"/>
        <v>43254</v>
      </c>
      <c r="Q678" s="22">
        <f>VLOOKUP(R678,Referencias!$D$1:$E$13,2,0)</f>
        <v>6</v>
      </c>
      <c r="R678" s="7" t="str">
        <f t="shared" si="237"/>
        <v>JUN</v>
      </c>
      <c r="S678" s="7" t="str">
        <f t="shared" si="238"/>
        <v>JUN</v>
      </c>
      <c r="T678" s="11">
        <f t="shared" si="239"/>
        <v>3</v>
      </c>
      <c r="U678" s="11">
        <f t="shared" si="240"/>
        <v>3</v>
      </c>
      <c r="V678" s="11" t="str">
        <f>VLOOKUP(C678,Referencias!$A$2:$B$33,2,1)</f>
        <v>11 - 12</v>
      </c>
      <c r="W678" s="23">
        <f t="shared" si="241"/>
        <v>2.2916666666666696E-2</v>
      </c>
      <c r="X678" s="11">
        <f t="shared" si="242"/>
        <v>4.37</v>
      </c>
      <c r="Y678" s="11">
        <f t="shared" si="243"/>
        <v>7.7171285280228421</v>
      </c>
      <c r="Z678" s="24">
        <f t="shared" si="244"/>
        <v>3.02</v>
      </c>
      <c r="AA678" s="25">
        <f t="shared" si="245"/>
        <v>5.4909090909090841</v>
      </c>
      <c r="AB678" s="24">
        <f t="shared" si="246"/>
        <v>1</v>
      </c>
      <c r="AC678" s="24">
        <f t="shared" si="219"/>
        <v>1.9785476154647808</v>
      </c>
      <c r="AD678" s="24">
        <f t="shared" si="220"/>
        <v>2.3971601698217149</v>
      </c>
      <c r="AE678" s="24">
        <f t="shared" si="221"/>
        <v>2.8422021204556249</v>
      </c>
      <c r="AF678" s="119" t="str">
        <f>VLOOKUP(P678*1,Referencias!$G:$H,2,0)</f>
        <v>dom</v>
      </c>
      <c r="BF678"/>
      <c r="BG678"/>
    </row>
    <row r="679" spans="1:59" ht="12" customHeight="1" x14ac:dyDescent="0.3">
      <c r="A679" s="147" t="s">
        <v>250</v>
      </c>
      <c r="B679" s="164"/>
      <c r="C679" s="134">
        <v>0.49722222222222223</v>
      </c>
      <c r="D679" s="165"/>
      <c r="E679" s="165"/>
      <c r="F679" s="165"/>
      <c r="G679" s="166"/>
      <c r="H679" s="167"/>
      <c r="I679" s="165"/>
      <c r="N679" s="7" t="str">
        <f t="shared" si="235"/>
        <v>#LIGAE7B2R </v>
      </c>
      <c r="O679" s="7">
        <f t="shared" si="236"/>
        <v>0</v>
      </c>
      <c r="P679" s="21">
        <f t="shared" si="224"/>
        <v>43254</v>
      </c>
      <c r="Q679" s="22">
        <f>VLOOKUP(R679,Referencias!$D$1:$E$13,2,0)</f>
        <v>6</v>
      </c>
      <c r="R679" s="7" t="str">
        <f t="shared" si="237"/>
        <v>JUN</v>
      </c>
      <c r="S679" s="7">
        <f t="shared" si="238"/>
        <v>0</v>
      </c>
      <c r="T679" s="11">
        <f t="shared" si="239"/>
        <v>3</v>
      </c>
      <c r="U679" s="11">
        <f t="shared" si="240"/>
        <v>0</v>
      </c>
      <c r="V679" s="11" t="str">
        <f>VLOOKUP(C679,Referencias!$A$2:$B$33,2,1)</f>
        <v>11 - 12</v>
      </c>
      <c r="W679" s="23" t="str">
        <f t="shared" si="241"/>
        <v/>
      </c>
      <c r="X679" s="11">
        <f t="shared" si="242"/>
        <v>0</v>
      </c>
      <c r="Y679" s="11">
        <f t="shared" si="243"/>
        <v>0</v>
      </c>
      <c r="Z679" s="24">
        <f t="shared" si="244"/>
        <v>0</v>
      </c>
      <c r="AA679" s="25">
        <f t="shared" si="245"/>
        <v>0</v>
      </c>
      <c r="AB679" s="24">
        <f t="shared" si="246"/>
        <v>0</v>
      </c>
      <c r="AC679" s="24">
        <f t="shared" si="219"/>
        <v>0</v>
      </c>
      <c r="AD679" s="24">
        <f t="shared" si="220"/>
        <v>0</v>
      </c>
      <c r="AE679" s="24">
        <f t="shared" si="221"/>
        <v>0</v>
      </c>
      <c r="AF679" s="119" t="str">
        <f>VLOOKUP(P679*1,Referencias!$G:$H,2,0)</f>
        <v>dom</v>
      </c>
      <c r="BF679"/>
      <c r="BG679"/>
    </row>
    <row r="680" spans="1:59" ht="12" customHeight="1" x14ac:dyDescent="0.3">
      <c r="A680" s="161"/>
      <c r="B680" s="161"/>
      <c r="C680" s="161"/>
      <c r="D680" s="161"/>
      <c r="E680" s="161"/>
      <c r="F680" s="161"/>
      <c r="G680" s="161"/>
      <c r="H680" s="161"/>
      <c r="I680" s="161"/>
      <c r="N680" s="7" t="str">
        <f t="shared" si="235"/>
        <v>#LIGAE7B2R </v>
      </c>
      <c r="O680" s="7">
        <f t="shared" si="236"/>
        <v>0</v>
      </c>
      <c r="P680" s="21">
        <f t="shared" si="224"/>
        <v>43254</v>
      </c>
      <c r="Q680" s="22">
        <f>VLOOKUP(R680,Referencias!$D$1:$E$13,2,0)</f>
        <v>6</v>
      </c>
      <c r="R680" s="7" t="str">
        <f t="shared" si="237"/>
        <v>JUN</v>
      </c>
      <c r="S680" s="7">
        <f t="shared" si="238"/>
        <v>0</v>
      </c>
      <c r="T680" s="11">
        <f t="shared" si="239"/>
        <v>3</v>
      </c>
      <c r="U680" s="11">
        <f t="shared" si="240"/>
        <v>0</v>
      </c>
      <c r="V680" s="11" t="e">
        <f>VLOOKUP(C680,Referencias!$A$2:$B$33,2,1)</f>
        <v>#N/A</v>
      </c>
      <c r="W680" s="23" t="str">
        <f t="shared" si="241"/>
        <v/>
      </c>
      <c r="X680" s="11">
        <f t="shared" si="242"/>
        <v>0</v>
      </c>
      <c r="Y680" s="11">
        <f t="shared" si="243"/>
        <v>0</v>
      </c>
      <c r="Z680" s="24">
        <f t="shared" si="244"/>
        <v>0</v>
      </c>
      <c r="AA680" s="25">
        <f t="shared" si="245"/>
        <v>0</v>
      </c>
      <c r="AB680" s="24">
        <f t="shared" si="246"/>
        <v>0</v>
      </c>
      <c r="AC680" s="24">
        <f t="shared" si="219"/>
        <v>0</v>
      </c>
      <c r="AD680" s="24">
        <f t="shared" si="220"/>
        <v>0</v>
      </c>
      <c r="AE680" s="24">
        <f t="shared" si="221"/>
        <v>0</v>
      </c>
      <c r="AF680" s="119" t="str">
        <f>VLOOKUP(P680*1,Referencias!$G:$H,2,0)</f>
        <v>dom</v>
      </c>
      <c r="BF680"/>
      <c r="BG680"/>
    </row>
    <row r="681" spans="1:59" ht="12" customHeight="1" x14ac:dyDescent="0.3">
      <c r="A681" s="162"/>
      <c r="B681" s="162"/>
      <c r="C681" s="162"/>
      <c r="D681" s="162"/>
      <c r="E681" s="162"/>
      <c r="F681" s="162"/>
      <c r="G681" s="162"/>
      <c r="H681" s="162"/>
      <c r="I681" s="162"/>
      <c r="N681" s="7" t="str">
        <f t="shared" si="235"/>
        <v>#LIGAE7B2R </v>
      </c>
      <c r="O681" s="7">
        <f t="shared" si="236"/>
        <v>0</v>
      </c>
      <c r="P681" s="21">
        <f t="shared" si="224"/>
        <v>43254</v>
      </c>
      <c r="Q681" s="22">
        <f>VLOOKUP(R681,Referencias!$D$1:$E$13,2,0)</f>
        <v>6</v>
      </c>
      <c r="R681" s="7" t="str">
        <f t="shared" si="237"/>
        <v>JUN</v>
      </c>
      <c r="S681" s="7">
        <f t="shared" si="238"/>
        <v>0</v>
      </c>
      <c r="T681" s="11">
        <f t="shared" si="239"/>
        <v>3</v>
      </c>
      <c r="U681" s="11">
        <f t="shared" si="240"/>
        <v>0</v>
      </c>
      <c r="V681" s="11" t="e">
        <f>VLOOKUP(C681,Referencias!$A$2:$B$33,2,1)</f>
        <v>#N/A</v>
      </c>
      <c r="W681" s="23" t="str">
        <f t="shared" si="241"/>
        <v/>
      </c>
      <c r="X681" s="11">
        <f t="shared" si="242"/>
        <v>0</v>
      </c>
      <c r="Y681" s="11">
        <f t="shared" si="243"/>
        <v>0</v>
      </c>
      <c r="Z681" s="24">
        <f t="shared" si="244"/>
        <v>0</v>
      </c>
      <c r="AA681" s="25">
        <f t="shared" si="245"/>
        <v>0</v>
      </c>
      <c r="AB681" s="24">
        <f t="shared" si="246"/>
        <v>0</v>
      </c>
      <c r="AC681" s="24">
        <f t="shared" si="219"/>
        <v>0</v>
      </c>
      <c r="AD681" s="24">
        <f t="shared" si="220"/>
        <v>0</v>
      </c>
      <c r="AE681" s="24">
        <f t="shared" si="221"/>
        <v>0</v>
      </c>
      <c r="AF681" s="119" t="str">
        <f>VLOOKUP(P681*1,Referencias!$G:$H,2,0)</f>
        <v>dom</v>
      </c>
      <c r="BF681"/>
      <c r="BG681"/>
    </row>
    <row r="682" spans="1:59" ht="12" customHeight="1" x14ac:dyDescent="0.3">
      <c r="A682" s="163"/>
      <c r="B682" s="164" t="s">
        <v>358</v>
      </c>
      <c r="C682" s="134">
        <v>0.49722222222222223</v>
      </c>
      <c r="D682" s="165">
        <v>2.73</v>
      </c>
      <c r="E682" s="165" t="s">
        <v>62</v>
      </c>
      <c r="F682" s="165"/>
      <c r="G682" s="166">
        <v>2.48</v>
      </c>
      <c r="H682" s="167">
        <v>189.1</v>
      </c>
      <c r="I682" s="165"/>
      <c r="N682" s="7" t="str">
        <f t="shared" si="235"/>
        <v>#LIAFFLYLA </v>
      </c>
      <c r="O682" s="7" t="str">
        <f t="shared" si="236"/>
        <v>#LIAFFLYLA </v>
      </c>
      <c r="P682" s="21">
        <f t="shared" si="224"/>
        <v>43254</v>
      </c>
      <c r="Q682" s="22">
        <f>VLOOKUP(R682,Referencias!$D$1:$E$13,2,0)</f>
        <v>6</v>
      </c>
      <c r="R682" s="7" t="str">
        <f t="shared" si="237"/>
        <v>JUN</v>
      </c>
      <c r="S682" s="7">
        <f t="shared" si="238"/>
        <v>0</v>
      </c>
      <c r="T682" s="11">
        <f t="shared" si="239"/>
        <v>3</v>
      </c>
      <c r="U682" s="11">
        <f t="shared" si="240"/>
        <v>0</v>
      </c>
      <c r="V682" s="11" t="str">
        <f>VLOOKUP(C682,Referencias!$A$2:$B$33,2,1)</f>
        <v>11 - 12</v>
      </c>
      <c r="W682" s="23">
        <f t="shared" si="241"/>
        <v>1.8749999999999933E-2</v>
      </c>
      <c r="X682" s="11">
        <f t="shared" si="242"/>
        <v>2.73</v>
      </c>
      <c r="Y682" s="11">
        <f t="shared" si="243"/>
        <v>4.8209979133872674</v>
      </c>
      <c r="Z682" s="24">
        <f t="shared" si="244"/>
        <v>2.48</v>
      </c>
      <c r="AA682" s="25">
        <f t="shared" si="245"/>
        <v>5.5111111111111306</v>
      </c>
      <c r="AB682" s="24">
        <f t="shared" si="246"/>
        <v>1</v>
      </c>
      <c r="AC682" s="24">
        <f t="shared" si="219"/>
        <v>1.6247675782624689</v>
      </c>
      <c r="AD682" s="24">
        <f t="shared" si="220"/>
        <v>1.968528881178097</v>
      </c>
      <c r="AE682" s="24">
        <f t="shared" si="221"/>
        <v>2.3339937942814402</v>
      </c>
      <c r="AF682" s="119" t="str">
        <f>VLOOKUP(P682*1,Referencias!$G:$H,2,0)</f>
        <v>dom</v>
      </c>
      <c r="BF682"/>
      <c r="BG682"/>
    </row>
    <row r="683" spans="1:59" ht="12" customHeight="1" x14ac:dyDescent="0.3">
      <c r="A683" s="163"/>
      <c r="B683" s="164"/>
      <c r="C683" s="134">
        <v>0.51597222222222217</v>
      </c>
      <c r="D683" s="165"/>
      <c r="E683" s="165"/>
      <c r="F683" s="165"/>
      <c r="G683" s="166"/>
      <c r="H683" s="167"/>
      <c r="I683" s="165"/>
      <c r="N683" s="7" t="str">
        <f t="shared" si="235"/>
        <v>#LIAFFLYLA </v>
      </c>
      <c r="O683" s="7">
        <f t="shared" si="236"/>
        <v>0</v>
      </c>
      <c r="P683" s="21">
        <f t="shared" si="224"/>
        <v>43254</v>
      </c>
      <c r="Q683" s="22">
        <f>VLOOKUP(R683,Referencias!$D$1:$E$13,2,0)</f>
        <v>6</v>
      </c>
      <c r="R683" s="7" t="str">
        <f t="shared" si="237"/>
        <v>JUN</v>
      </c>
      <c r="S683" s="7">
        <f t="shared" si="238"/>
        <v>0</v>
      </c>
      <c r="T683" s="11">
        <f t="shared" si="239"/>
        <v>3</v>
      </c>
      <c r="U683" s="11">
        <f t="shared" si="240"/>
        <v>0</v>
      </c>
      <c r="V683" s="11" t="str">
        <f>VLOOKUP(C683,Referencias!$A$2:$B$33,2,1)</f>
        <v>12 - 13</v>
      </c>
      <c r="W683" s="23" t="str">
        <f t="shared" si="241"/>
        <v/>
      </c>
      <c r="X683" s="11">
        <f t="shared" si="242"/>
        <v>0</v>
      </c>
      <c r="Y683" s="11">
        <f t="shared" si="243"/>
        <v>0</v>
      </c>
      <c r="Z683" s="24">
        <f t="shared" si="244"/>
        <v>0</v>
      </c>
      <c r="AA683" s="25">
        <f t="shared" si="245"/>
        <v>0</v>
      </c>
      <c r="AB683" s="24">
        <f t="shared" si="246"/>
        <v>0</v>
      </c>
      <c r="AC683" s="24">
        <f t="shared" si="219"/>
        <v>0</v>
      </c>
      <c r="AD683" s="24">
        <f t="shared" si="220"/>
        <v>0</v>
      </c>
      <c r="AE683" s="24">
        <f t="shared" si="221"/>
        <v>0</v>
      </c>
      <c r="AF683" s="119" t="str">
        <f>VLOOKUP(P683*1,Referencias!$G:$H,2,0)</f>
        <v>dom</v>
      </c>
      <c r="BF683"/>
      <c r="BG683"/>
    </row>
    <row r="684" spans="1:59" ht="12" customHeight="1" x14ac:dyDescent="0.3">
      <c r="A684" s="161"/>
      <c r="B684" s="161"/>
      <c r="C684" s="161"/>
      <c r="D684" s="161"/>
      <c r="E684" s="161"/>
      <c r="F684" s="161"/>
      <c r="G684" s="161"/>
      <c r="H684" s="161"/>
      <c r="I684" s="161"/>
      <c r="N684" s="7" t="str">
        <f t="shared" si="235"/>
        <v>#LIAFFLYLA </v>
      </c>
      <c r="O684" s="7">
        <f t="shared" si="236"/>
        <v>0</v>
      </c>
      <c r="P684" s="21">
        <f t="shared" si="224"/>
        <v>43254</v>
      </c>
      <c r="Q684" s="22">
        <f>VLOOKUP(R684,Referencias!$D$1:$E$13,2,0)</f>
        <v>6</v>
      </c>
      <c r="R684" s="7" t="str">
        <f t="shared" si="237"/>
        <v>JUN</v>
      </c>
      <c r="S684" s="7">
        <f t="shared" si="238"/>
        <v>0</v>
      </c>
      <c r="T684" s="11">
        <f t="shared" si="239"/>
        <v>3</v>
      </c>
      <c r="U684" s="11">
        <f t="shared" si="240"/>
        <v>0</v>
      </c>
      <c r="V684" s="11" t="e">
        <f>VLOOKUP(C684,Referencias!$A$2:$B$33,2,1)</f>
        <v>#N/A</v>
      </c>
      <c r="W684" s="23" t="str">
        <f t="shared" si="241"/>
        <v/>
      </c>
      <c r="X684" s="11">
        <f t="shared" si="242"/>
        <v>0</v>
      </c>
      <c r="Y684" s="11">
        <f t="shared" si="243"/>
        <v>0</v>
      </c>
      <c r="Z684" s="24">
        <f t="shared" si="244"/>
        <v>0</v>
      </c>
      <c r="AA684" s="25">
        <f t="shared" si="245"/>
        <v>0</v>
      </c>
      <c r="AB684" s="24">
        <f t="shared" si="246"/>
        <v>0</v>
      </c>
      <c r="AC684" s="24">
        <f t="shared" si="219"/>
        <v>0</v>
      </c>
      <c r="AD684" s="24">
        <f t="shared" si="220"/>
        <v>0</v>
      </c>
      <c r="AE684" s="24">
        <f t="shared" si="221"/>
        <v>0</v>
      </c>
      <c r="AF684" s="119" t="str">
        <f>VLOOKUP(P684*1,Referencias!$G:$H,2,0)</f>
        <v>dom</v>
      </c>
      <c r="BF684"/>
      <c r="BG684"/>
    </row>
    <row r="685" spans="1:59" ht="12" customHeight="1" x14ac:dyDescent="0.3">
      <c r="A685" s="162"/>
      <c r="B685" s="162"/>
      <c r="C685" s="162"/>
      <c r="D685" s="162"/>
      <c r="E685" s="162"/>
      <c r="F685" s="162"/>
      <c r="G685" s="162"/>
      <c r="H685" s="162"/>
      <c r="I685" s="162"/>
      <c r="N685" s="7" t="str">
        <f t="shared" si="235"/>
        <v>#LIAFFLYLA </v>
      </c>
      <c r="O685" s="7">
        <f t="shared" si="236"/>
        <v>0</v>
      </c>
      <c r="P685" s="21">
        <f t="shared" si="224"/>
        <v>43254</v>
      </c>
      <c r="Q685" s="22">
        <f>VLOOKUP(R685,Referencias!$D$1:$E$13,2,0)</f>
        <v>6</v>
      </c>
      <c r="R685" s="7" t="str">
        <f t="shared" si="237"/>
        <v>JUN</v>
      </c>
      <c r="S685" s="7">
        <f t="shared" si="238"/>
        <v>0</v>
      </c>
      <c r="T685" s="11">
        <f t="shared" si="239"/>
        <v>3</v>
      </c>
      <c r="U685" s="11">
        <f t="shared" si="240"/>
        <v>0</v>
      </c>
      <c r="V685" s="11" t="e">
        <f>VLOOKUP(C685,Referencias!$A$2:$B$33,2,1)</f>
        <v>#N/A</v>
      </c>
      <c r="W685" s="23" t="str">
        <f t="shared" si="241"/>
        <v/>
      </c>
      <c r="X685" s="11">
        <f t="shared" si="242"/>
        <v>0</v>
      </c>
      <c r="Y685" s="11">
        <f t="shared" si="243"/>
        <v>0</v>
      </c>
      <c r="Z685" s="24">
        <f t="shared" si="244"/>
        <v>0</v>
      </c>
      <c r="AA685" s="25">
        <f t="shared" si="245"/>
        <v>0</v>
      </c>
      <c r="AB685" s="24">
        <f t="shared" si="246"/>
        <v>0</v>
      </c>
      <c r="AC685" s="24">
        <f t="shared" si="219"/>
        <v>0</v>
      </c>
      <c r="AD685" s="24">
        <f t="shared" si="220"/>
        <v>0</v>
      </c>
      <c r="AE685" s="24">
        <f t="shared" si="221"/>
        <v>0</v>
      </c>
      <c r="AF685" s="119" t="str">
        <f>VLOOKUP(P685*1,Referencias!$G:$H,2,0)</f>
        <v>dom</v>
      </c>
      <c r="BF685"/>
      <c r="BG685"/>
    </row>
    <row r="686" spans="1:59" ht="12" customHeight="1" x14ac:dyDescent="0.3">
      <c r="A686" s="163"/>
      <c r="B686" s="164" t="s">
        <v>359</v>
      </c>
      <c r="C686" s="134">
        <v>0.52500000000000002</v>
      </c>
      <c r="D686" s="165">
        <v>2.78</v>
      </c>
      <c r="E686" s="165" t="s">
        <v>17</v>
      </c>
      <c r="F686" s="165"/>
      <c r="G686" s="166">
        <v>2.4700000000000002</v>
      </c>
      <c r="H686" s="167">
        <v>191.57</v>
      </c>
      <c r="I686" s="165"/>
      <c r="N686" s="7" t="str">
        <f t="shared" si="235"/>
        <v>#LIPVZX9VQ </v>
      </c>
      <c r="O686" s="7" t="str">
        <f t="shared" si="236"/>
        <v>#LIPVZX9VQ </v>
      </c>
      <c r="P686" s="21">
        <f t="shared" si="224"/>
        <v>43254</v>
      </c>
      <c r="Q686" s="22">
        <f>VLOOKUP(R686,Referencias!$D$1:$E$13,2,0)</f>
        <v>6</v>
      </c>
      <c r="R686" s="7" t="str">
        <f t="shared" si="237"/>
        <v>JUN</v>
      </c>
      <c r="S686" s="7">
        <f t="shared" si="238"/>
        <v>0</v>
      </c>
      <c r="T686" s="11">
        <f t="shared" si="239"/>
        <v>3</v>
      </c>
      <c r="U686" s="11">
        <f t="shared" si="240"/>
        <v>0</v>
      </c>
      <c r="V686" s="11" t="str">
        <f>VLOOKUP(C686,Referencias!$A$2:$B$33,2,1)</f>
        <v>12 - 13</v>
      </c>
      <c r="W686" s="23">
        <f t="shared" si="241"/>
        <v>2.3611111111111027E-2</v>
      </c>
      <c r="X686" s="11">
        <f t="shared" si="242"/>
        <v>2.78</v>
      </c>
      <c r="Y686" s="11">
        <f t="shared" si="243"/>
        <v>4.9092945784676205</v>
      </c>
      <c r="Z686" s="24">
        <f t="shared" si="244"/>
        <v>2.4700000000000002</v>
      </c>
      <c r="AA686" s="25">
        <f t="shared" si="245"/>
        <v>4.3588235294117803</v>
      </c>
      <c r="AB686" s="24">
        <f t="shared" si="246"/>
        <v>1</v>
      </c>
      <c r="AC686" s="24">
        <f t="shared" si="219"/>
        <v>1.6182160960920557</v>
      </c>
      <c r="AD686" s="24">
        <f t="shared" si="220"/>
        <v>1.9605912647217338</v>
      </c>
      <c r="AE686" s="24">
        <f t="shared" si="221"/>
        <v>2.3245825289819186</v>
      </c>
      <c r="AF686" s="119" t="str">
        <f>VLOOKUP(P686*1,Referencias!$G:$H,2,0)</f>
        <v>dom</v>
      </c>
      <c r="BF686"/>
      <c r="BG686"/>
    </row>
    <row r="687" spans="1:59" ht="12" customHeight="1" x14ac:dyDescent="0.3">
      <c r="A687" s="163"/>
      <c r="B687" s="164"/>
      <c r="C687" s="134">
        <v>0.54861111111111105</v>
      </c>
      <c r="D687" s="165"/>
      <c r="E687" s="165"/>
      <c r="F687" s="165"/>
      <c r="G687" s="166"/>
      <c r="H687" s="167"/>
      <c r="I687" s="165"/>
      <c r="N687" s="7" t="str">
        <f t="shared" si="235"/>
        <v>#LIPVZX9VQ </v>
      </c>
      <c r="O687" s="7">
        <f t="shared" si="236"/>
        <v>0</v>
      </c>
      <c r="P687" s="21">
        <f t="shared" si="224"/>
        <v>43254</v>
      </c>
      <c r="Q687" s="22">
        <f>VLOOKUP(R687,Referencias!$D$1:$E$13,2,0)</f>
        <v>6</v>
      </c>
      <c r="R687" s="7" t="str">
        <f t="shared" si="237"/>
        <v>JUN</v>
      </c>
      <c r="S687" s="7">
        <f t="shared" si="238"/>
        <v>0</v>
      </c>
      <c r="T687" s="11">
        <f t="shared" si="239"/>
        <v>3</v>
      </c>
      <c r="U687" s="11">
        <f t="shared" si="240"/>
        <v>0</v>
      </c>
      <c r="V687" s="11" t="str">
        <f>VLOOKUP(C687,Referencias!$A$2:$B$33,2,1)</f>
        <v>13 - 14</v>
      </c>
      <c r="W687" s="23" t="str">
        <f t="shared" si="241"/>
        <v/>
      </c>
      <c r="X687" s="11">
        <f t="shared" si="242"/>
        <v>0</v>
      </c>
      <c r="Y687" s="11">
        <f t="shared" si="243"/>
        <v>0</v>
      </c>
      <c r="Z687" s="24">
        <f t="shared" si="244"/>
        <v>0</v>
      </c>
      <c r="AA687" s="25">
        <f t="shared" si="245"/>
        <v>0</v>
      </c>
      <c r="AB687" s="24">
        <f t="shared" si="246"/>
        <v>0</v>
      </c>
      <c r="AC687" s="24">
        <f t="shared" si="219"/>
        <v>0</v>
      </c>
      <c r="AD687" s="24">
        <f t="shared" si="220"/>
        <v>0</v>
      </c>
      <c r="AE687" s="24">
        <f t="shared" si="221"/>
        <v>0</v>
      </c>
      <c r="AF687" s="119" t="str">
        <f>VLOOKUP(P687*1,Referencias!$G:$H,2,0)</f>
        <v>dom</v>
      </c>
      <c r="BF687"/>
      <c r="BG687"/>
    </row>
    <row r="688" spans="1:59" ht="12" customHeight="1" x14ac:dyDescent="0.3">
      <c r="A688" s="161"/>
      <c r="B688" s="161"/>
      <c r="C688" s="161"/>
      <c r="D688" s="161"/>
      <c r="E688" s="161"/>
      <c r="F688" s="161"/>
      <c r="G688" s="161"/>
      <c r="H688" s="161"/>
      <c r="I688" s="161"/>
      <c r="N688" s="7" t="str">
        <f t="shared" si="235"/>
        <v>#LIPVZX9VQ </v>
      </c>
      <c r="O688" s="7">
        <f t="shared" si="236"/>
        <v>0</v>
      </c>
      <c r="P688" s="21">
        <f t="shared" si="224"/>
        <v>43254</v>
      </c>
      <c r="Q688" s="22">
        <f>VLOOKUP(R688,Referencias!$D$1:$E$13,2,0)</f>
        <v>6</v>
      </c>
      <c r="R688" s="7" t="str">
        <f t="shared" si="237"/>
        <v>JUN</v>
      </c>
      <c r="S688" s="7">
        <f t="shared" si="238"/>
        <v>0</v>
      </c>
      <c r="T688" s="11">
        <f t="shared" si="239"/>
        <v>3</v>
      </c>
      <c r="U688" s="11">
        <f t="shared" si="240"/>
        <v>0</v>
      </c>
      <c r="V688" s="11" t="e">
        <f>VLOOKUP(C688,Referencias!$A$2:$B$33,2,1)</f>
        <v>#N/A</v>
      </c>
      <c r="W688" s="23" t="str">
        <f t="shared" si="241"/>
        <v/>
      </c>
      <c r="X688" s="11">
        <f t="shared" si="242"/>
        <v>0</v>
      </c>
      <c r="Y688" s="11">
        <f t="shared" si="243"/>
        <v>0</v>
      </c>
      <c r="Z688" s="24">
        <f t="shared" si="244"/>
        <v>0</v>
      </c>
      <c r="AA688" s="25">
        <f t="shared" si="245"/>
        <v>0</v>
      </c>
      <c r="AB688" s="24">
        <f t="shared" si="246"/>
        <v>0</v>
      </c>
      <c r="AC688" s="24">
        <f t="shared" si="219"/>
        <v>0</v>
      </c>
      <c r="AD688" s="24">
        <f t="shared" si="220"/>
        <v>0</v>
      </c>
      <c r="AE688" s="24">
        <f t="shared" si="221"/>
        <v>0</v>
      </c>
      <c r="AF688" s="119" t="str">
        <f>VLOOKUP(P688*1,Referencias!$G:$H,2,0)</f>
        <v>dom</v>
      </c>
      <c r="BF688"/>
      <c r="BG688"/>
    </row>
    <row r="689" spans="1:59" ht="12" customHeight="1" x14ac:dyDescent="0.3">
      <c r="A689" s="162"/>
      <c r="B689" s="162"/>
      <c r="C689" s="162"/>
      <c r="D689" s="162"/>
      <c r="E689" s="162"/>
      <c r="F689" s="162"/>
      <c r="G689" s="162"/>
      <c r="H689" s="162"/>
      <c r="I689" s="162"/>
      <c r="N689" s="7" t="str">
        <f t="shared" si="235"/>
        <v>#LIPVZX9VQ </v>
      </c>
      <c r="O689" s="7">
        <f t="shared" si="236"/>
        <v>0</v>
      </c>
      <c r="P689" s="21">
        <f t="shared" si="224"/>
        <v>43254</v>
      </c>
      <c r="Q689" s="22">
        <f>VLOOKUP(R689,Referencias!$D$1:$E$13,2,0)</f>
        <v>6</v>
      </c>
      <c r="R689" s="7" t="str">
        <f t="shared" si="237"/>
        <v>JUN</v>
      </c>
      <c r="S689" s="7">
        <f t="shared" si="238"/>
        <v>0</v>
      </c>
      <c r="T689" s="11">
        <f t="shared" si="239"/>
        <v>3</v>
      </c>
      <c r="U689" s="11">
        <f t="shared" si="240"/>
        <v>0</v>
      </c>
      <c r="V689" s="11" t="e">
        <f>VLOOKUP(C689,Referencias!$A$2:$B$33,2,1)</f>
        <v>#N/A</v>
      </c>
      <c r="W689" s="23" t="str">
        <f t="shared" si="241"/>
        <v/>
      </c>
      <c r="X689" s="11">
        <f t="shared" si="242"/>
        <v>0</v>
      </c>
      <c r="Y689" s="11">
        <f t="shared" si="243"/>
        <v>0</v>
      </c>
      <c r="Z689" s="24">
        <f t="shared" si="244"/>
        <v>0</v>
      </c>
      <c r="AA689" s="25">
        <f t="shared" si="245"/>
        <v>0</v>
      </c>
      <c r="AB689" s="24">
        <f t="shared" si="246"/>
        <v>0</v>
      </c>
      <c r="AC689" s="24">
        <f t="shared" si="219"/>
        <v>0</v>
      </c>
      <c r="AD689" s="24">
        <f t="shared" si="220"/>
        <v>0</v>
      </c>
      <c r="AE689" s="24">
        <f t="shared" si="221"/>
        <v>0</v>
      </c>
      <c r="AF689" s="119" t="str">
        <f>VLOOKUP(P689*1,Referencias!$G:$H,2,0)</f>
        <v>dom</v>
      </c>
      <c r="BF689"/>
      <c r="BG689"/>
    </row>
    <row r="690" spans="1:59" ht="12" customHeight="1" x14ac:dyDescent="0.3">
      <c r="A690" s="163"/>
      <c r="B690" s="164" t="s">
        <v>360</v>
      </c>
      <c r="C690" s="134">
        <v>0.56597222222222221</v>
      </c>
      <c r="D690" s="165">
        <v>4.5199999999999996</v>
      </c>
      <c r="E690" s="165" t="s">
        <v>44</v>
      </c>
      <c r="F690" s="165"/>
      <c r="G690" s="166">
        <v>3.08</v>
      </c>
      <c r="H690" s="167">
        <v>194.65</v>
      </c>
      <c r="I690" s="147" t="s">
        <v>350</v>
      </c>
      <c r="N690" s="7" t="str">
        <f t="shared" si="235"/>
        <v>#LIP4LJKF6 </v>
      </c>
      <c r="O690" s="7" t="str">
        <f t="shared" si="236"/>
        <v>#LIP4LJKF6 </v>
      </c>
      <c r="P690" s="21">
        <f t="shared" si="224"/>
        <v>43254</v>
      </c>
      <c r="Q690" s="22">
        <f>VLOOKUP(R690,Referencias!$D$1:$E$13,2,0)</f>
        <v>6</v>
      </c>
      <c r="R690" s="7" t="str">
        <f t="shared" si="237"/>
        <v>JUN</v>
      </c>
      <c r="S690" s="7">
        <f t="shared" si="238"/>
        <v>0</v>
      </c>
      <c r="T690" s="11">
        <f t="shared" si="239"/>
        <v>3</v>
      </c>
      <c r="U690" s="11">
        <f t="shared" si="240"/>
        <v>0</v>
      </c>
      <c r="V690" s="11" t="str">
        <f>VLOOKUP(C690,Referencias!$A$2:$B$33,2,1)</f>
        <v>13 - 14</v>
      </c>
      <c r="W690" s="23">
        <f t="shared" si="241"/>
        <v>1.6666666666666607E-2</v>
      </c>
      <c r="X690" s="11">
        <f t="shared" si="242"/>
        <v>4.5199999999999996</v>
      </c>
      <c r="Y690" s="11">
        <f t="shared" si="243"/>
        <v>7.9820185232639007</v>
      </c>
      <c r="Z690" s="24">
        <f t="shared" si="244"/>
        <v>3.08</v>
      </c>
      <c r="AA690" s="25">
        <f t="shared" si="245"/>
        <v>7.7000000000000268</v>
      </c>
      <c r="AB690" s="24">
        <f t="shared" si="246"/>
        <v>1</v>
      </c>
      <c r="AC690" s="24">
        <f t="shared" si="219"/>
        <v>2.0178565084872599</v>
      </c>
      <c r="AD690" s="24">
        <f t="shared" si="220"/>
        <v>2.4447858685598947</v>
      </c>
      <c r="AE690" s="24">
        <f t="shared" si="221"/>
        <v>2.8986697122527567</v>
      </c>
      <c r="AF690" s="119" t="str">
        <f>VLOOKUP(P690*1,Referencias!$G:$H,2,0)</f>
        <v>dom</v>
      </c>
      <c r="BF690"/>
      <c r="BG690"/>
    </row>
    <row r="691" spans="1:59" ht="12" customHeight="1" x14ac:dyDescent="0.3">
      <c r="A691" s="163"/>
      <c r="B691" s="164"/>
      <c r="C691" s="134">
        <v>0.58263888888888882</v>
      </c>
      <c r="D691" s="165"/>
      <c r="E691" s="165"/>
      <c r="F691" s="165"/>
      <c r="G691" s="166"/>
      <c r="H691" s="167"/>
      <c r="I691" s="147" t="s">
        <v>361</v>
      </c>
      <c r="N691" s="7" t="str">
        <f t="shared" si="235"/>
        <v>#LIP4LJKF6 </v>
      </c>
      <c r="O691" s="7">
        <f t="shared" si="236"/>
        <v>0</v>
      </c>
      <c r="P691" s="21">
        <f t="shared" si="224"/>
        <v>43254</v>
      </c>
      <c r="Q691" s="22">
        <f>VLOOKUP(R691,Referencias!$D$1:$E$13,2,0)</f>
        <v>6</v>
      </c>
      <c r="R691" s="7" t="str">
        <f t="shared" si="237"/>
        <v>JUN</v>
      </c>
      <c r="S691" s="7">
        <f t="shared" si="238"/>
        <v>0</v>
      </c>
      <c r="T691" s="11">
        <f t="shared" si="239"/>
        <v>3</v>
      </c>
      <c r="U691" s="11">
        <f t="shared" si="240"/>
        <v>0</v>
      </c>
      <c r="V691" s="11" t="str">
        <f>VLOOKUP(C691,Referencias!$A$2:$B$33,2,1)</f>
        <v>13 - 14</v>
      </c>
      <c r="W691" s="23" t="str">
        <f t="shared" si="241"/>
        <v/>
      </c>
      <c r="X691" s="11">
        <f t="shared" si="242"/>
        <v>0</v>
      </c>
      <c r="Y691" s="11">
        <f t="shared" si="243"/>
        <v>0</v>
      </c>
      <c r="Z691" s="24">
        <f t="shared" si="244"/>
        <v>0</v>
      </c>
      <c r="AA691" s="25">
        <f t="shared" si="245"/>
        <v>0</v>
      </c>
      <c r="AB691" s="24">
        <f t="shared" si="246"/>
        <v>0</v>
      </c>
      <c r="AC691" s="24">
        <f t="shared" si="219"/>
        <v>0</v>
      </c>
      <c r="AD691" s="24">
        <f t="shared" si="220"/>
        <v>0</v>
      </c>
      <c r="AE691" s="24">
        <f t="shared" si="221"/>
        <v>0</v>
      </c>
      <c r="AF691" s="119" t="str">
        <f>VLOOKUP(P691*1,Referencias!$G:$H,2,0)</f>
        <v>dom</v>
      </c>
      <c r="BF691"/>
      <c r="BG691"/>
    </row>
    <row r="692" spans="1:59" ht="12" customHeight="1" x14ac:dyDescent="0.25">
      <c r="A692" s="161"/>
      <c r="B692" s="161"/>
      <c r="C692" s="161"/>
      <c r="D692" s="161"/>
      <c r="E692" s="161"/>
      <c r="F692" s="161"/>
      <c r="G692" s="161"/>
      <c r="H692" s="161"/>
      <c r="I692" s="161"/>
      <c r="N692" s="7" t="str">
        <f t="shared" si="235"/>
        <v>#LIP4LJKF6 </v>
      </c>
      <c r="O692" s="7">
        <f t="shared" si="236"/>
        <v>0</v>
      </c>
      <c r="P692" s="21">
        <f t="shared" si="224"/>
        <v>43254</v>
      </c>
      <c r="Q692" s="22">
        <f>VLOOKUP(R692,Referencias!$D$1:$E$13,2,0)</f>
        <v>6</v>
      </c>
      <c r="R692" s="7" t="str">
        <f t="shared" si="237"/>
        <v>JUN</v>
      </c>
      <c r="S692" s="7">
        <f t="shared" si="238"/>
        <v>0</v>
      </c>
      <c r="T692" s="11">
        <f t="shared" si="239"/>
        <v>3</v>
      </c>
      <c r="U692" s="11">
        <f t="shared" si="240"/>
        <v>0</v>
      </c>
      <c r="V692" s="11" t="e">
        <f>VLOOKUP(C692,Referencias!$A$2:$B$33,2,1)</f>
        <v>#N/A</v>
      </c>
      <c r="W692" s="23" t="str">
        <f t="shared" si="241"/>
        <v/>
      </c>
      <c r="X692" s="11">
        <f t="shared" si="242"/>
        <v>0</v>
      </c>
      <c r="Y692" s="11">
        <f t="shared" si="243"/>
        <v>0</v>
      </c>
      <c r="Z692" s="24">
        <f t="shared" si="244"/>
        <v>0</v>
      </c>
      <c r="AA692" s="25">
        <f t="shared" si="245"/>
        <v>0</v>
      </c>
      <c r="AB692" s="24">
        <f t="shared" si="246"/>
        <v>0</v>
      </c>
      <c r="AC692" s="24">
        <f t="shared" si="219"/>
        <v>0</v>
      </c>
      <c r="AD692" s="24">
        <f t="shared" si="220"/>
        <v>0</v>
      </c>
      <c r="AE692" s="24">
        <f t="shared" si="221"/>
        <v>0</v>
      </c>
      <c r="AF692" s="119" t="str">
        <f>VLOOKUP(P692*1,Referencias!$G:$H,2,0)</f>
        <v>dom</v>
      </c>
    </row>
    <row r="693" spans="1:59" ht="12" customHeight="1" x14ac:dyDescent="0.25">
      <c r="A693" s="162"/>
      <c r="B693" s="162"/>
      <c r="C693" s="162"/>
      <c r="D693" s="162"/>
      <c r="E693" s="162"/>
      <c r="F693" s="162"/>
      <c r="G693" s="162"/>
      <c r="H693" s="162"/>
      <c r="I693" s="162"/>
      <c r="N693" s="7" t="str">
        <f t="shared" si="235"/>
        <v>#LIP4LJKF6 </v>
      </c>
      <c r="O693" s="7">
        <f t="shared" si="236"/>
        <v>0</v>
      </c>
      <c r="P693" s="21">
        <f t="shared" si="224"/>
        <v>43254</v>
      </c>
      <c r="Q693" s="22">
        <f>VLOOKUP(R693,Referencias!$D$1:$E$13,2,0)</f>
        <v>6</v>
      </c>
      <c r="R693" s="7" t="str">
        <f t="shared" si="237"/>
        <v>JUN</v>
      </c>
      <c r="S693" s="7">
        <f t="shared" si="238"/>
        <v>0</v>
      </c>
      <c r="T693" s="11">
        <f t="shared" si="239"/>
        <v>3</v>
      </c>
      <c r="U693" s="11">
        <f t="shared" si="240"/>
        <v>0</v>
      </c>
      <c r="V693" s="11" t="e">
        <f>VLOOKUP(C693,Referencias!$A$2:$B$33,2,1)</f>
        <v>#N/A</v>
      </c>
      <c r="W693" s="23" t="str">
        <f t="shared" si="241"/>
        <v/>
      </c>
      <c r="X693" s="11">
        <f t="shared" si="242"/>
        <v>0</v>
      </c>
      <c r="Y693" s="11">
        <f t="shared" si="243"/>
        <v>0</v>
      </c>
      <c r="Z693" s="24">
        <f t="shared" si="244"/>
        <v>0</v>
      </c>
      <c r="AA693" s="25">
        <f t="shared" si="245"/>
        <v>0</v>
      </c>
      <c r="AB693" s="24">
        <f t="shared" si="246"/>
        <v>0</v>
      </c>
      <c r="AC693" s="24">
        <f t="shared" si="219"/>
        <v>0</v>
      </c>
      <c r="AD693" s="24">
        <f t="shared" si="220"/>
        <v>0</v>
      </c>
      <c r="AE693" s="24">
        <f t="shared" si="221"/>
        <v>0</v>
      </c>
      <c r="AF693" s="119" t="str">
        <f>VLOOKUP(P693*1,Referencias!$G:$H,2,0)</f>
        <v>dom</v>
      </c>
    </row>
    <row r="694" spans="1:59" x14ac:dyDescent="0.25">
      <c r="A694" s="163"/>
      <c r="B694" s="164" t="s">
        <v>362</v>
      </c>
      <c r="C694" s="134">
        <v>0.58263888888888882</v>
      </c>
      <c r="D694" s="165">
        <v>2.83</v>
      </c>
      <c r="E694" s="165" t="s">
        <v>36</v>
      </c>
      <c r="F694" s="165"/>
      <c r="G694" s="166">
        <v>2.48</v>
      </c>
      <c r="H694" s="167">
        <v>197.13</v>
      </c>
      <c r="I694" s="165"/>
      <c r="N694" s="7" t="str">
        <f t="shared" si="235"/>
        <v>#LI2LKLXBA </v>
      </c>
      <c r="O694" s="7" t="str">
        <f t="shared" si="236"/>
        <v>#LI2LKLXBA </v>
      </c>
      <c r="P694" s="21">
        <f t="shared" si="224"/>
        <v>43254</v>
      </c>
      <c r="Q694" s="22">
        <f>VLOOKUP(R694,Referencias!$D$1:$E$13,2,0)</f>
        <v>6</v>
      </c>
      <c r="R694" s="7" t="str">
        <f t="shared" si="237"/>
        <v>JUN</v>
      </c>
      <c r="S694" s="7">
        <f t="shared" si="238"/>
        <v>0</v>
      </c>
      <c r="T694" s="11">
        <f t="shared" si="239"/>
        <v>3</v>
      </c>
      <c r="U694" s="11">
        <f t="shared" si="240"/>
        <v>0</v>
      </c>
      <c r="V694" s="11" t="str">
        <f>VLOOKUP(C694,Referencias!$A$2:$B$33,2,1)</f>
        <v>13 - 14</v>
      </c>
      <c r="W694" s="23">
        <f t="shared" si="241"/>
        <v>1.5277777777777835E-2</v>
      </c>
      <c r="X694" s="11">
        <f t="shared" si="242"/>
        <v>2.83</v>
      </c>
      <c r="Y694" s="11">
        <f t="shared" si="243"/>
        <v>4.9975912435479737</v>
      </c>
      <c r="Z694" s="24">
        <f t="shared" si="244"/>
        <v>2.48</v>
      </c>
      <c r="AA694" s="25">
        <f t="shared" si="245"/>
        <v>6.763636363636337</v>
      </c>
      <c r="AB694" s="24">
        <f t="shared" si="246"/>
        <v>1</v>
      </c>
      <c r="AC694" s="24">
        <f t="shared" si="219"/>
        <v>1.6247675782624689</v>
      </c>
      <c r="AD694" s="24">
        <f t="shared" si="220"/>
        <v>1.968528881178097</v>
      </c>
      <c r="AE694" s="24">
        <f t="shared" si="221"/>
        <v>2.3339937942814402</v>
      </c>
      <c r="AF694" s="119" t="str">
        <f>VLOOKUP(P694*1,Referencias!$G:$H,2,0)</f>
        <v>dom</v>
      </c>
    </row>
    <row r="695" spans="1:59" ht="12" customHeight="1" x14ac:dyDescent="0.25">
      <c r="A695" s="163"/>
      <c r="B695" s="164"/>
      <c r="C695" s="134">
        <v>0.59791666666666665</v>
      </c>
      <c r="D695" s="165"/>
      <c r="E695" s="165"/>
      <c r="F695" s="165"/>
      <c r="G695" s="166"/>
      <c r="H695" s="167"/>
      <c r="I695" s="165"/>
      <c r="N695" s="7" t="str">
        <f t="shared" si="235"/>
        <v>#LI2LKLXBA </v>
      </c>
      <c r="O695" s="7">
        <f t="shared" si="236"/>
        <v>0</v>
      </c>
      <c r="P695" s="21">
        <f t="shared" si="224"/>
        <v>43254</v>
      </c>
      <c r="Q695" s="22">
        <f>VLOOKUP(R695,Referencias!$D$1:$E$13,2,0)</f>
        <v>6</v>
      </c>
      <c r="R695" s="7" t="str">
        <f t="shared" si="237"/>
        <v>JUN</v>
      </c>
      <c r="S695" s="7">
        <f t="shared" si="238"/>
        <v>0</v>
      </c>
      <c r="T695" s="11">
        <f t="shared" si="239"/>
        <v>3</v>
      </c>
      <c r="U695" s="11">
        <f t="shared" si="240"/>
        <v>0</v>
      </c>
      <c r="V695" s="11" t="str">
        <f>VLOOKUP(C695,Referencias!$A$2:$B$33,2,1)</f>
        <v>14 - 15</v>
      </c>
      <c r="W695" s="23" t="str">
        <f t="shared" si="241"/>
        <v/>
      </c>
      <c r="X695" s="11">
        <f t="shared" si="242"/>
        <v>0</v>
      </c>
      <c r="Y695" s="11">
        <f t="shared" si="243"/>
        <v>0</v>
      </c>
      <c r="Z695" s="24">
        <f t="shared" si="244"/>
        <v>0</v>
      </c>
      <c r="AA695" s="25">
        <f t="shared" si="245"/>
        <v>0</v>
      </c>
      <c r="AB695" s="24">
        <f t="shared" si="246"/>
        <v>0</v>
      </c>
      <c r="AC695" s="24">
        <f t="shared" si="219"/>
        <v>0</v>
      </c>
      <c r="AD695" s="24">
        <f t="shared" si="220"/>
        <v>0</v>
      </c>
      <c r="AE695" s="24">
        <f t="shared" si="221"/>
        <v>0</v>
      </c>
      <c r="AF695" s="119" t="str">
        <f>VLOOKUP(P695*1,Referencias!$G:$H,2,0)</f>
        <v>dom</v>
      </c>
    </row>
    <row r="696" spans="1:59" ht="12" customHeight="1" x14ac:dyDescent="0.25">
      <c r="A696" s="161"/>
      <c r="B696" s="161"/>
      <c r="C696" s="161"/>
      <c r="D696" s="161"/>
      <c r="E696" s="161"/>
      <c r="F696" s="161"/>
      <c r="G696" s="161"/>
      <c r="H696" s="161"/>
      <c r="I696" s="161"/>
      <c r="N696" s="7" t="str">
        <f t="shared" si="235"/>
        <v>#LI2LKLXBA </v>
      </c>
      <c r="O696" s="7">
        <f t="shared" si="236"/>
        <v>0</v>
      </c>
      <c r="P696" s="21">
        <f t="shared" si="224"/>
        <v>43254</v>
      </c>
      <c r="Q696" s="22">
        <f>VLOOKUP(R696,Referencias!$D$1:$E$13,2,0)</f>
        <v>6</v>
      </c>
      <c r="R696" s="7" t="str">
        <f t="shared" si="237"/>
        <v>JUN</v>
      </c>
      <c r="S696" s="7">
        <f t="shared" si="238"/>
        <v>0</v>
      </c>
      <c r="T696" s="11">
        <f t="shared" si="239"/>
        <v>3</v>
      </c>
      <c r="U696" s="11">
        <f t="shared" si="240"/>
        <v>0</v>
      </c>
      <c r="V696" s="11" t="e">
        <f>VLOOKUP(C696,Referencias!$A$2:$B$33,2,1)</f>
        <v>#N/A</v>
      </c>
      <c r="W696" s="23" t="str">
        <f t="shared" si="241"/>
        <v/>
      </c>
      <c r="X696" s="11">
        <f t="shared" si="242"/>
        <v>0</v>
      </c>
      <c r="Y696" s="11">
        <f t="shared" si="243"/>
        <v>0</v>
      </c>
      <c r="Z696" s="24">
        <f t="shared" si="244"/>
        <v>0</v>
      </c>
      <c r="AA696" s="25">
        <f t="shared" si="245"/>
        <v>0</v>
      </c>
      <c r="AB696" s="24">
        <f t="shared" si="246"/>
        <v>0</v>
      </c>
      <c r="AC696" s="24">
        <f t="shared" si="219"/>
        <v>0</v>
      </c>
      <c r="AD696" s="24">
        <f t="shared" si="220"/>
        <v>0</v>
      </c>
      <c r="AE696" s="24">
        <f t="shared" si="221"/>
        <v>0</v>
      </c>
      <c r="AF696" s="119" t="str">
        <f>VLOOKUP(P696*1,Referencias!$G:$H,2,0)</f>
        <v>dom</v>
      </c>
    </row>
    <row r="697" spans="1:59" ht="12" customHeight="1" x14ac:dyDescent="0.25">
      <c r="A697" s="162"/>
      <c r="B697" s="162"/>
      <c r="C697" s="162"/>
      <c r="D697" s="162"/>
      <c r="E697" s="162"/>
      <c r="F697" s="162"/>
      <c r="G697" s="162"/>
      <c r="H697" s="162"/>
      <c r="I697" s="162"/>
      <c r="N697" s="7" t="str">
        <f t="shared" si="235"/>
        <v>#LI2LKLXBA </v>
      </c>
      <c r="O697" s="7">
        <f t="shared" si="236"/>
        <v>0</v>
      </c>
      <c r="P697" s="21">
        <f t="shared" si="224"/>
        <v>43254</v>
      </c>
      <c r="Q697" s="22">
        <f>VLOOKUP(R697,Referencias!$D$1:$E$13,2,0)</f>
        <v>6</v>
      </c>
      <c r="R697" s="7" t="str">
        <f t="shared" si="237"/>
        <v>JUN</v>
      </c>
      <c r="S697" s="7">
        <f t="shared" si="238"/>
        <v>0</v>
      </c>
      <c r="T697" s="11">
        <f t="shared" si="239"/>
        <v>3</v>
      </c>
      <c r="U697" s="11">
        <f t="shared" si="240"/>
        <v>0</v>
      </c>
      <c r="V697" s="11" t="e">
        <f>VLOOKUP(C697,Referencias!$A$2:$B$33,2,1)</f>
        <v>#N/A</v>
      </c>
      <c r="W697" s="23" t="str">
        <f t="shared" si="241"/>
        <v/>
      </c>
      <c r="X697" s="11">
        <f t="shared" si="242"/>
        <v>0</v>
      </c>
      <c r="Y697" s="11">
        <f t="shared" si="243"/>
        <v>0</v>
      </c>
      <c r="Z697" s="24">
        <f t="shared" si="244"/>
        <v>0</v>
      </c>
      <c r="AA697" s="25">
        <f t="shared" si="245"/>
        <v>0</v>
      </c>
      <c r="AB697" s="24">
        <f t="shared" si="246"/>
        <v>0</v>
      </c>
      <c r="AC697" s="24">
        <f t="shared" si="219"/>
        <v>0</v>
      </c>
      <c r="AD697" s="24">
        <f t="shared" si="220"/>
        <v>0</v>
      </c>
      <c r="AE697" s="24">
        <f t="shared" si="221"/>
        <v>0</v>
      </c>
      <c r="AF697" s="119" t="str">
        <f>VLOOKUP(P697*1,Referencias!$G:$H,2,0)</f>
        <v>dom</v>
      </c>
    </row>
    <row r="698" spans="1:59" x14ac:dyDescent="0.25">
      <c r="A698" s="163"/>
      <c r="B698" s="164" t="s">
        <v>363</v>
      </c>
      <c r="C698" s="134">
        <v>0.59791666666666665</v>
      </c>
      <c r="D698" s="165">
        <v>6.2</v>
      </c>
      <c r="E698" s="165" t="s">
        <v>62</v>
      </c>
      <c r="F698" s="165"/>
      <c r="G698" s="166">
        <v>3.69</v>
      </c>
      <c r="H698" s="167">
        <v>200.82</v>
      </c>
      <c r="I698" s="165"/>
      <c r="N698" s="7" t="str">
        <f t="shared" si="235"/>
        <v>#LIRVHA7W1 </v>
      </c>
      <c r="O698" s="7" t="str">
        <f t="shared" si="236"/>
        <v>#LIRVHA7W1 </v>
      </c>
      <c r="P698" s="21">
        <f t="shared" si="224"/>
        <v>43254</v>
      </c>
      <c r="Q698" s="22">
        <f>VLOOKUP(R698,Referencias!$D$1:$E$13,2,0)</f>
        <v>6</v>
      </c>
      <c r="R698" s="7" t="str">
        <f t="shared" si="237"/>
        <v>JUN</v>
      </c>
      <c r="S698" s="7">
        <f t="shared" si="238"/>
        <v>0</v>
      </c>
      <c r="T698" s="11">
        <f t="shared" si="239"/>
        <v>3</v>
      </c>
      <c r="U698" s="11">
        <f t="shared" si="240"/>
        <v>0</v>
      </c>
      <c r="V698" s="11" t="str">
        <f>VLOOKUP(C698,Referencias!$A$2:$B$33,2,1)</f>
        <v>14 - 15</v>
      </c>
      <c r="W698" s="23">
        <f t="shared" si="241"/>
        <v>2.2916666666666696E-2</v>
      </c>
      <c r="X698" s="11">
        <f t="shared" si="242"/>
        <v>6.2</v>
      </c>
      <c r="Y698" s="11">
        <f t="shared" si="243"/>
        <v>10.948786469963759</v>
      </c>
      <c r="Z698" s="24">
        <f t="shared" si="244"/>
        <v>3.69</v>
      </c>
      <c r="AA698" s="25">
        <f t="shared" si="245"/>
        <v>6.7090909090909001</v>
      </c>
      <c r="AB698" s="24">
        <f t="shared" si="246"/>
        <v>1</v>
      </c>
      <c r="AC698" s="24">
        <f t="shared" si="219"/>
        <v>2.4174969208824639</v>
      </c>
      <c r="AD698" s="24">
        <f t="shared" si="220"/>
        <v>2.9289804723980555</v>
      </c>
      <c r="AE698" s="24">
        <f t="shared" si="221"/>
        <v>3.4727568955235948</v>
      </c>
      <c r="AF698" s="119" t="str">
        <f>VLOOKUP(P698*1,Referencias!$G:$H,2,0)</f>
        <v>dom</v>
      </c>
    </row>
    <row r="699" spans="1:59" ht="12" customHeight="1" x14ac:dyDescent="0.25">
      <c r="A699" s="163"/>
      <c r="B699" s="164"/>
      <c r="C699" s="134">
        <v>0.62083333333333335</v>
      </c>
      <c r="D699" s="165"/>
      <c r="E699" s="165"/>
      <c r="F699" s="165"/>
      <c r="G699" s="166"/>
      <c r="H699" s="167"/>
      <c r="I699" s="165"/>
      <c r="N699" s="7" t="str">
        <f t="shared" si="235"/>
        <v>#LIRVHA7W1 </v>
      </c>
      <c r="O699" s="7">
        <f t="shared" si="236"/>
        <v>0</v>
      </c>
      <c r="P699" s="21">
        <f t="shared" si="224"/>
        <v>43254</v>
      </c>
      <c r="Q699" s="22">
        <f>VLOOKUP(R699,Referencias!$D$1:$E$13,2,0)</f>
        <v>6</v>
      </c>
      <c r="R699" s="7" t="str">
        <f t="shared" si="237"/>
        <v>JUN</v>
      </c>
      <c r="S699" s="7">
        <f t="shared" si="238"/>
        <v>0</v>
      </c>
      <c r="T699" s="11">
        <f t="shared" si="239"/>
        <v>3</v>
      </c>
      <c r="U699" s="11">
        <f t="shared" si="240"/>
        <v>0</v>
      </c>
      <c r="V699" s="11" t="str">
        <f>VLOOKUP(C699,Referencias!$A$2:$B$33,2,1)</f>
        <v>14 - 15</v>
      </c>
      <c r="W699" s="23" t="str">
        <f t="shared" si="241"/>
        <v/>
      </c>
      <c r="X699" s="11">
        <f t="shared" si="242"/>
        <v>0</v>
      </c>
      <c r="Y699" s="11">
        <f t="shared" si="243"/>
        <v>0</v>
      </c>
      <c r="Z699" s="24">
        <f t="shared" si="244"/>
        <v>0</v>
      </c>
      <c r="AA699" s="25">
        <f t="shared" si="245"/>
        <v>0</v>
      </c>
      <c r="AB699" s="24">
        <f t="shared" si="246"/>
        <v>0</v>
      </c>
      <c r="AC699" s="24">
        <f t="shared" si="219"/>
        <v>0</v>
      </c>
      <c r="AD699" s="24">
        <f t="shared" si="220"/>
        <v>0</v>
      </c>
      <c r="AE699" s="24">
        <f t="shared" si="221"/>
        <v>0</v>
      </c>
      <c r="AF699" s="119" t="str">
        <f>VLOOKUP(P699*1,Referencias!$G:$H,2,0)</f>
        <v>dom</v>
      </c>
    </row>
    <row r="700" spans="1:59" ht="12" customHeight="1" x14ac:dyDescent="0.25">
      <c r="A700" s="161"/>
      <c r="B700" s="161"/>
      <c r="C700" s="161"/>
      <c r="D700" s="161"/>
      <c r="E700" s="161"/>
      <c r="F700" s="161"/>
      <c r="G700" s="161"/>
      <c r="H700" s="161"/>
      <c r="I700" s="161"/>
      <c r="N700" s="7" t="str">
        <f t="shared" si="235"/>
        <v>#LIRVHA7W1 </v>
      </c>
      <c r="O700" s="7">
        <f t="shared" si="236"/>
        <v>0</v>
      </c>
      <c r="P700" s="21">
        <f t="shared" si="224"/>
        <v>43254</v>
      </c>
      <c r="Q700" s="22">
        <f>VLOOKUP(R700,Referencias!$D$1:$E$13,2,0)</f>
        <v>6</v>
      </c>
      <c r="R700" s="7" t="str">
        <f t="shared" si="237"/>
        <v>JUN</v>
      </c>
      <c r="S700" s="7">
        <f t="shared" si="238"/>
        <v>0</v>
      </c>
      <c r="T700" s="11">
        <f t="shared" si="239"/>
        <v>3</v>
      </c>
      <c r="U700" s="11">
        <f t="shared" si="240"/>
        <v>0</v>
      </c>
      <c r="V700" s="11" t="e">
        <f>VLOOKUP(C700,Referencias!$A$2:$B$33,2,1)</f>
        <v>#N/A</v>
      </c>
      <c r="W700" s="23" t="str">
        <f t="shared" si="241"/>
        <v/>
      </c>
      <c r="X700" s="11">
        <f t="shared" si="242"/>
        <v>0</v>
      </c>
      <c r="Y700" s="11">
        <f t="shared" si="243"/>
        <v>0</v>
      </c>
      <c r="Z700" s="24">
        <f t="shared" si="244"/>
        <v>0</v>
      </c>
      <c r="AA700" s="25">
        <f t="shared" si="245"/>
        <v>0</v>
      </c>
      <c r="AB700" s="24">
        <f t="shared" si="246"/>
        <v>0</v>
      </c>
      <c r="AC700" s="24">
        <f t="shared" si="219"/>
        <v>0</v>
      </c>
      <c r="AD700" s="24">
        <f t="shared" si="220"/>
        <v>0</v>
      </c>
      <c r="AE700" s="24">
        <f t="shared" si="221"/>
        <v>0</v>
      </c>
      <c r="AF700" s="119" t="str">
        <f>VLOOKUP(P700*1,Referencias!$G:$H,2,0)</f>
        <v>dom</v>
      </c>
    </row>
    <row r="701" spans="1:59" ht="12" customHeight="1" x14ac:dyDescent="0.25">
      <c r="A701" s="162"/>
      <c r="B701" s="162"/>
      <c r="C701" s="162"/>
      <c r="D701" s="162"/>
      <c r="E701" s="162"/>
      <c r="F701" s="162"/>
      <c r="G701" s="162"/>
      <c r="H701" s="162"/>
      <c r="I701" s="162"/>
      <c r="N701" s="7" t="str">
        <f t="shared" si="235"/>
        <v>#LIRVHA7W1 </v>
      </c>
      <c r="O701" s="7">
        <f t="shared" si="236"/>
        <v>0</v>
      </c>
      <c r="P701" s="21">
        <f t="shared" si="224"/>
        <v>43254</v>
      </c>
      <c r="Q701" s="22">
        <f>VLOOKUP(R701,Referencias!$D$1:$E$13,2,0)</f>
        <v>6</v>
      </c>
      <c r="R701" s="7" t="str">
        <f t="shared" si="237"/>
        <v>JUN</v>
      </c>
      <c r="S701" s="7">
        <f t="shared" si="238"/>
        <v>0</v>
      </c>
      <c r="T701" s="11">
        <f t="shared" si="239"/>
        <v>3</v>
      </c>
      <c r="U701" s="11">
        <f t="shared" si="240"/>
        <v>0</v>
      </c>
      <c r="V701" s="11" t="e">
        <f>VLOOKUP(C701,Referencias!$A$2:$B$33,2,1)</f>
        <v>#N/A</v>
      </c>
      <c r="W701" s="23" t="str">
        <f t="shared" si="241"/>
        <v/>
      </c>
      <c r="X701" s="11">
        <f t="shared" si="242"/>
        <v>0</v>
      </c>
      <c r="Y701" s="11">
        <f t="shared" si="243"/>
        <v>0</v>
      </c>
      <c r="Z701" s="24">
        <f t="shared" si="244"/>
        <v>0</v>
      </c>
      <c r="AA701" s="25">
        <f t="shared" si="245"/>
        <v>0</v>
      </c>
      <c r="AB701" s="24">
        <f t="shared" si="246"/>
        <v>0</v>
      </c>
      <c r="AC701" s="24">
        <f t="shared" si="219"/>
        <v>0</v>
      </c>
      <c r="AD701" s="24">
        <f t="shared" si="220"/>
        <v>0</v>
      </c>
      <c r="AE701" s="24">
        <f t="shared" si="221"/>
        <v>0</v>
      </c>
      <c r="AF701" s="119" t="str">
        <f>VLOOKUP(P701*1,Referencias!$G:$H,2,0)</f>
        <v>dom</v>
      </c>
    </row>
    <row r="702" spans="1:59" x14ac:dyDescent="0.25">
      <c r="A702" s="163"/>
      <c r="B702" s="164" t="s">
        <v>364</v>
      </c>
      <c r="C702" s="134">
        <v>0.62083333333333335</v>
      </c>
      <c r="D702" s="165">
        <v>6.06</v>
      </c>
      <c r="E702" s="165" t="s">
        <v>86</v>
      </c>
      <c r="F702" s="165"/>
      <c r="G702" s="166">
        <v>3.8</v>
      </c>
      <c r="H702" s="167">
        <v>204.62</v>
      </c>
      <c r="I702" s="165"/>
      <c r="N702" s="7" t="str">
        <f t="shared" si="235"/>
        <v>#LIZSURSAP </v>
      </c>
      <c r="O702" s="7" t="str">
        <f t="shared" si="236"/>
        <v>#LIZSURSAP </v>
      </c>
      <c r="P702" s="21">
        <f t="shared" si="224"/>
        <v>43254</v>
      </c>
      <c r="Q702" s="22">
        <f>VLOOKUP(R702,Referencias!$D$1:$E$13,2,0)</f>
        <v>6</v>
      </c>
      <c r="R702" s="7" t="str">
        <f t="shared" si="237"/>
        <v>JUN</v>
      </c>
      <c r="S702" s="7">
        <f t="shared" si="238"/>
        <v>0</v>
      </c>
      <c r="T702" s="11">
        <f t="shared" si="239"/>
        <v>3</v>
      </c>
      <c r="U702" s="11">
        <f t="shared" si="240"/>
        <v>0</v>
      </c>
      <c r="V702" s="11" t="str">
        <f>VLOOKUP(C702,Referencias!$A$2:$B$33,2,1)</f>
        <v>14 - 15</v>
      </c>
      <c r="W702" s="23">
        <f t="shared" si="241"/>
        <v>2.7083333333333348E-2</v>
      </c>
      <c r="X702" s="11">
        <f t="shared" si="242"/>
        <v>6.06</v>
      </c>
      <c r="Y702" s="11">
        <f t="shared" si="243"/>
        <v>10.701555807738769</v>
      </c>
      <c r="Z702" s="24">
        <f t="shared" si="244"/>
        <v>3.8</v>
      </c>
      <c r="AA702" s="25">
        <f t="shared" si="245"/>
        <v>5.8461538461538423</v>
      </c>
      <c r="AB702" s="24">
        <f t="shared" si="246"/>
        <v>1</v>
      </c>
      <c r="AC702" s="24">
        <f t="shared" si="219"/>
        <v>2.4895632247570085</v>
      </c>
      <c r="AD702" s="24">
        <f t="shared" si="220"/>
        <v>3.0162942534180517</v>
      </c>
      <c r="AE702" s="24">
        <f t="shared" si="221"/>
        <v>3.576280813818336</v>
      </c>
      <c r="AF702" s="119" t="str">
        <f>VLOOKUP(P702*1,Referencias!$G:$H,2,0)</f>
        <v>dom</v>
      </c>
    </row>
    <row r="703" spans="1:59" ht="12" customHeight="1" x14ac:dyDescent="0.25">
      <c r="A703" s="163"/>
      <c r="B703" s="164"/>
      <c r="C703" s="134">
        <v>0.6479166666666667</v>
      </c>
      <c r="D703" s="165"/>
      <c r="E703" s="165"/>
      <c r="F703" s="165"/>
      <c r="G703" s="166"/>
      <c r="H703" s="167"/>
      <c r="I703" s="165"/>
      <c r="N703" s="7" t="str">
        <f t="shared" si="235"/>
        <v>#LIZSURSAP </v>
      </c>
      <c r="O703" s="7">
        <f t="shared" si="236"/>
        <v>0</v>
      </c>
      <c r="P703" s="21">
        <f t="shared" si="224"/>
        <v>43254</v>
      </c>
      <c r="Q703" s="22">
        <f>VLOOKUP(R703,Referencias!$D$1:$E$13,2,0)</f>
        <v>6</v>
      </c>
      <c r="R703" s="7" t="str">
        <f t="shared" si="237"/>
        <v>JUN</v>
      </c>
      <c r="S703" s="7">
        <f t="shared" si="238"/>
        <v>0</v>
      </c>
      <c r="T703" s="11">
        <f t="shared" si="239"/>
        <v>3</v>
      </c>
      <c r="U703" s="11">
        <f t="shared" si="240"/>
        <v>0</v>
      </c>
      <c r="V703" s="11" t="str">
        <f>VLOOKUP(C703,Referencias!$A$2:$B$33,2,1)</f>
        <v>15 - 16</v>
      </c>
      <c r="W703" s="23" t="str">
        <f t="shared" si="241"/>
        <v/>
      </c>
      <c r="X703" s="11">
        <f t="shared" si="242"/>
        <v>0</v>
      </c>
      <c r="Y703" s="11">
        <f t="shared" si="243"/>
        <v>0</v>
      </c>
      <c r="Z703" s="24">
        <f t="shared" si="244"/>
        <v>0</v>
      </c>
      <c r="AA703" s="25">
        <f t="shared" si="245"/>
        <v>0</v>
      </c>
      <c r="AB703" s="24">
        <f t="shared" si="246"/>
        <v>0</v>
      </c>
      <c r="AC703" s="24">
        <f t="shared" si="219"/>
        <v>0</v>
      </c>
      <c r="AD703" s="24">
        <f t="shared" si="220"/>
        <v>0</v>
      </c>
      <c r="AE703" s="24">
        <f t="shared" si="221"/>
        <v>0</v>
      </c>
      <c r="AF703" s="119" t="str">
        <f>VLOOKUP(P703*1,Referencias!$G:$H,2,0)</f>
        <v>dom</v>
      </c>
    </row>
    <row r="704" spans="1:59" ht="12" customHeight="1" x14ac:dyDescent="0.25">
      <c r="A704" s="161"/>
      <c r="B704" s="161"/>
      <c r="C704" s="161"/>
      <c r="D704" s="161"/>
      <c r="E704" s="161"/>
      <c r="F704" s="161"/>
      <c r="G704" s="161"/>
      <c r="H704" s="161"/>
      <c r="I704" s="161"/>
      <c r="N704" s="7" t="str">
        <f t="shared" si="235"/>
        <v>#LIZSURSAP </v>
      </c>
      <c r="O704" s="7">
        <f t="shared" si="236"/>
        <v>0</v>
      </c>
      <c r="P704" s="21">
        <f t="shared" si="224"/>
        <v>43254</v>
      </c>
      <c r="Q704" s="22">
        <f>VLOOKUP(R704,Referencias!$D$1:$E$13,2,0)</f>
        <v>6</v>
      </c>
      <c r="R704" s="7" t="str">
        <f t="shared" si="237"/>
        <v>JUN</v>
      </c>
      <c r="S704" s="7">
        <f t="shared" si="238"/>
        <v>0</v>
      </c>
      <c r="T704" s="11">
        <f t="shared" si="239"/>
        <v>3</v>
      </c>
      <c r="U704" s="11">
        <f t="shared" si="240"/>
        <v>0</v>
      </c>
      <c r="V704" s="11" t="e">
        <f>VLOOKUP(C704,Referencias!$A$2:$B$33,2,1)</f>
        <v>#N/A</v>
      </c>
      <c r="W704" s="23" t="str">
        <f t="shared" si="241"/>
        <v/>
      </c>
      <c r="X704" s="11">
        <f t="shared" si="242"/>
        <v>0</v>
      </c>
      <c r="Y704" s="11">
        <f t="shared" si="243"/>
        <v>0</v>
      </c>
      <c r="Z704" s="24">
        <f t="shared" si="244"/>
        <v>0</v>
      </c>
      <c r="AA704" s="25">
        <f t="shared" si="245"/>
        <v>0</v>
      </c>
      <c r="AB704" s="24">
        <f t="shared" si="246"/>
        <v>0</v>
      </c>
      <c r="AC704" s="24">
        <f t="shared" si="219"/>
        <v>0</v>
      </c>
      <c r="AD704" s="24">
        <f t="shared" si="220"/>
        <v>0</v>
      </c>
      <c r="AE704" s="24">
        <f t="shared" si="221"/>
        <v>0</v>
      </c>
      <c r="AF704" s="119" t="str">
        <f>VLOOKUP(P704*1,Referencias!$G:$H,2,0)</f>
        <v>dom</v>
      </c>
    </row>
    <row r="705" spans="1:32" ht="12" customHeight="1" x14ac:dyDescent="0.25">
      <c r="A705" s="162"/>
      <c r="B705" s="162"/>
      <c r="C705" s="162"/>
      <c r="D705" s="162"/>
      <c r="E705" s="162"/>
      <c r="F705" s="162"/>
      <c r="G705" s="162"/>
      <c r="H705" s="162"/>
      <c r="I705" s="162"/>
      <c r="N705" s="7" t="str">
        <f t="shared" si="235"/>
        <v>#LIZSURSAP </v>
      </c>
      <c r="O705" s="7">
        <f t="shared" si="236"/>
        <v>0</v>
      </c>
      <c r="P705" s="21">
        <f t="shared" si="224"/>
        <v>43254</v>
      </c>
      <c r="Q705" s="22">
        <f>VLOOKUP(R705,Referencias!$D$1:$E$13,2,0)</f>
        <v>6</v>
      </c>
      <c r="R705" s="7" t="str">
        <f t="shared" si="237"/>
        <v>JUN</v>
      </c>
      <c r="S705" s="7">
        <f t="shared" si="238"/>
        <v>0</v>
      </c>
      <c r="T705" s="11">
        <f t="shared" si="239"/>
        <v>3</v>
      </c>
      <c r="U705" s="11">
        <f t="shared" si="240"/>
        <v>0</v>
      </c>
      <c r="V705" s="11" t="e">
        <f>VLOOKUP(C705,Referencias!$A$2:$B$33,2,1)</f>
        <v>#N/A</v>
      </c>
      <c r="W705" s="23" t="str">
        <f t="shared" si="241"/>
        <v/>
      </c>
      <c r="X705" s="11">
        <f t="shared" si="242"/>
        <v>0</v>
      </c>
      <c r="Y705" s="11">
        <f t="shared" si="243"/>
        <v>0</v>
      </c>
      <c r="Z705" s="24">
        <f t="shared" si="244"/>
        <v>0</v>
      </c>
      <c r="AA705" s="25">
        <f t="shared" si="245"/>
        <v>0</v>
      </c>
      <c r="AB705" s="24">
        <f t="shared" si="246"/>
        <v>0</v>
      </c>
      <c r="AC705" s="24">
        <f t="shared" si="219"/>
        <v>0</v>
      </c>
      <c r="AD705" s="24">
        <f t="shared" si="220"/>
        <v>0</v>
      </c>
      <c r="AE705" s="24">
        <f t="shared" si="221"/>
        <v>0</v>
      </c>
      <c r="AF705" s="119" t="str">
        <f>VLOOKUP(P705*1,Referencias!$G:$H,2,0)</f>
        <v>dom</v>
      </c>
    </row>
    <row r="706" spans="1:32" x14ac:dyDescent="0.25">
      <c r="A706" s="163"/>
      <c r="B706" s="164" t="s">
        <v>365</v>
      </c>
      <c r="C706" s="134">
        <v>0.65694444444444444</v>
      </c>
      <c r="D706" s="165">
        <v>4.38</v>
      </c>
      <c r="E706" s="165" t="s">
        <v>62</v>
      </c>
      <c r="F706" s="165"/>
      <c r="G706" s="166">
        <v>3.09</v>
      </c>
      <c r="H706" s="167">
        <v>207.71</v>
      </c>
      <c r="I706" s="165"/>
      <c r="N706" s="7" t="str">
        <f t="shared" si="235"/>
        <v>#LIW6MJNPB </v>
      </c>
      <c r="O706" s="7" t="str">
        <f t="shared" si="236"/>
        <v>#LIW6MJNPB </v>
      </c>
      <c r="P706" s="21">
        <f t="shared" si="224"/>
        <v>43254</v>
      </c>
      <c r="Q706" s="22">
        <f>VLOOKUP(R706,Referencias!$D$1:$E$13,2,0)</f>
        <v>6</v>
      </c>
      <c r="R706" s="7" t="str">
        <f t="shared" si="237"/>
        <v>JUN</v>
      </c>
      <c r="S706" s="7">
        <f t="shared" si="238"/>
        <v>0</v>
      </c>
      <c r="T706" s="11">
        <f t="shared" si="239"/>
        <v>3</v>
      </c>
      <c r="U706" s="11">
        <f t="shared" si="240"/>
        <v>0</v>
      </c>
      <c r="V706" s="11" t="str">
        <f>VLOOKUP(C706,Referencias!$A$2:$B$33,2,1)</f>
        <v>15 - 16</v>
      </c>
      <c r="W706" s="23">
        <f t="shared" si="241"/>
        <v>2.2916666666666696E-2</v>
      </c>
      <c r="X706" s="11">
        <f t="shared" si="242"/>
        <v>4.38</v>
      </c>
      <c r="Y706" s="11">
        <f t="shared" si="243"/>
        <v>7.7347878610389129</v>
      </c>
      <c r="Z706" s="24">
        <f t="shared" si="244"/>
        <v>3.09</v>
      </c>
      <c r="AA706" s="25">
        <f t="shared" si="245"/>
        <v>5.6181818181818111</v>
      </c>
      <c r="AB706" s="24">
        <f t="shared" si="246"/>
        <v>1</v>
      </c>
      <c r="AC706" s="24">
        <f t="shared" ref="AC706:AC769" si="247">Z706*$AL$14</f>
        <v>2.0244079906576729</v>
      </c>
      <c r="AD706" s="24">
        <f t="shared" ref="AD706:AD769" si="248">Z706*$AN$14</f>
        <v>2.452723485016258</v>
      </c>
      <c r="AE706" s="24">
        <f t="shared" ref="AE706:AE769" si="249">Z706*$AL$26</f>
        <v>2.9080809775522782</v>
      </c>
      <c r="AF706" s="119" t="str">
        <f>VLOOKUP(P706*1,Referencias!$G:$H,2,0)</f>
        <v>dom</v>
      </c>
    </row>
    <row r="707" spans="1:32" ht="12" customHeight="1" x14ac:dyDescent="0.25">
      <c r="A707" s="163"/>
      <c r="B707" s="164"/>
      <c r="C707" s="134">
        <v>0.67986111111111114</v>
      </c>
      <c r="D707" s="165"/>
      <c r="E707" s="165"/>
      <c r="F707" s="165"/>
      <c r="G707" s="166"/>
      <c r="H707" s="167"/>
      <c r="I707" s="165"/>
      <c r="N707" s="7" t="str">
        <f t="shared" si="235"/>
        <v>#LIW6MJNPB </v>
      </c>
      <c r="O707" s="7">
        <f t="shared" si="236"/>
        <v>0</v>
      </c>
      <c r="P707" s="21">
        <f t="shared" ref="P707:P770" si="250">(T707&amp;"/"&amp;Q707&amp;"/2018")*1</f>
        <v>43254</v>
      </c>
      <c r="Q707" s="22">
        <f>VLOOKUP(R707,Referencias!$D$1:$E$13,2,0)</f>
        <v>6</v>
      </c>
      <c r="R707" s="7" t="str">
        <f t="shared" si="237"/>
        <v>JUN</v>
      </c>
      <c r="S707" s="7">
        <f t="shared" si="238"/>
        <v>0</v>
      </c>
      <c r="T707" s="11">
        <f t="shared" si="239"/>
        <v>3</v>
      </c>
      <c r="U707" s="11">
        <f t="shared" si="240"/>
        <v>0</v>
      </c>
      <c r="V707" s="11" t="str">
        <f>VLOOKUP(C707,Referencias!$A$2:$B$33,2,1)</f>
        <v>16 - 17</v>
      </c>
      <c r="W707" s="23" t="str">
        <f t="shared" si="241"/>
        <v/>
      </c>
      <c r="X707" s="11">
        <f t="shared" si="242"/>
        <v>0</v>
      </c>
      <c r="Y707" s="11">
        <f t="shared" si="243"/>
        <v>0</v>
      </c>
      <c r="Z707" s="24">
        <f t="shared" si="244"/>
        <v>0</v>
      </c>
      <c r="AA707" s="25">
        <f t="shared" si="245"/>
        <v>0</v>
      </c>
      <c r="AB707" s="24">
        <f t="shared" si="246"/>
        <v>0</v>
      </c>
      <c r="AC707" s="24">
        <f t="shared" si="247"/>
        <v>0</v>
      </c>
      <c r="AD707" s="24">
        <f t="shared" si="248"/>
        <v>0</v>
      </c>
      <c r="AE707" s="24">
        <f t="shared" si="249"/>
        <v>0</v>
      </c>
      <c r="AF707" s="119" t="str">
        <f>VLOOKUP(P707*1,Referencias!$G:$H,2,0)</f>
        <v>dom</v>
      </c>
    </row>
    <row r="708" spans="1:32" ht="12" customHeight="1" x14ac:dyDescent="0.25">
      <c r="A708" s="161"/>
      <c r="B708" s="161"/>
      <c r="C708" s="161"/>
      <c r="D708" s="161"/>
      <c r="E708" s="161"/>
      <c r="F708" s="161"/>
      <c r="G708" s="161"/>
      <c r="H708" s="161"/>
      <c r="I708" s="161"/>
      <c r="N708" s="7" t="str">
        <f t="shared" si="235"/>
        <v>#LIW6MJNPB </v>
      </c>
      <c r="O708" s="7">
        <f t="shared" si="236"/>
        <v>0</v>
      </c>
      <c r="P708" s="21">
        <f t="shared" si="250"/>
        <v>43254</v>
      </c>
      <c r="Q708" s="22">
        <f>VLOOKUP(R708,Referencias!$D$1:$E$13,2,0)</f>
        <v>6</v>
      </c>
      <c r="R708" s="7" t="str">
        <f t="shared" si="237"/>
        <v>JUN</v>
      </c>
      <c r="S708" s="7">
        <f t="shared" si="238"/>
        <v>0</v>
      </c>
      <c r="T708" s="11">
        <f t="shared" si="239"/>
        <v>3</v>
      </c>
      <c r="U708" s="11">
        <f t="shared" si="240"/>
        <v>0</v>
      </c>
      <c r="V708" s="11" t="e">
        <f>VLOOKUP(C708,Referencias!$A$2:$B$33,2,1)</f>
        <v>#N/A</v>
      </c>
      <c r="W708" s="23" t="str">
        <f t="shared" si="241"/>
        <v/>
      </c>
      <c r="X708" s="11">
        <f t="shared" si="242"/>
        <v>0</v>
      </c>
      <c r="Y708" s="11">
        <f t="shared" si="243"/>
        <v>0</v>
      </c>
      <c r="Z708" s="24">
        <f t="shared" si="244"/>
        <v>0</v>
      </c>
      <c r="AA708" s="25">
        <f t="shared" si="245"/>
        <v>0</v>
      </c>
      <c r="AB708" s="24">
        <f t="shared" si="246"/>
        <v>0</v>
      </c>
      <c r="AC708" s="24">
        <f t="shared" si="247"/>
        <v>0</v>
      </c>
      <c r="AD708" s="24">
        <f t="shared" si="248"/>
        <v>0</v>
      </c>
      <c r="AE708" s="24">
        <f t="shared" si="249"/>
        <v>0</v>
      </c>
      <c r="AF708" s="119" t="str">
        <f>VLOOKUP(P708*1,Referencias!$G:$H,2,0)</f>
        <v>dom</v>
      </c>
    </row>
    <row r="709" spans="1:32" ht="12" customHeight="1" x14ac:dyDescent="0.25">
      <c r="A709" s="162"/>
      <c r="B709" s="162"/>
      <c r="C709" s="162"/>
      <c r="D709" s="162"/>
      <c r="E709" s="162"/>
      <c r="F709" s="162"/>
      <c r="G709" s="162"/>
      <c r="H709" s="162"/>
      <c r="I709" s="162"/>
      <c r="N709" s="7" t="str">
        <f t="shared" si="235"/>
        <v>#LIW6MJNPB </v>
      </c>
      <c r="O709" s="7">
        <f t="shared" si="236"/>
        <v>0</v>
      </c>
      <c r="P709" s="21">
        <f t="shared" si="250"/>
        <v>43254</v>
      </c>
      <c r="Q709" s="22">
        <f>VLOOKUP(R709,Referencias!$D$1:$E$13,2,0)</f>
        <v>6</v>
      </c>
      <c r="R709" s="7" t="str">
        <f t="shared" si="237"/>
        <v>JUN</v>
      </c>
      <c r="S709" s="7">
        <f t="shared" si="238"/>
        <v>0</v>
      </c>
      <c r="T709" s="11">
        <f t="shared" si="239"/>
        <v>3</v>
      </c>
      <c r="U709" s="11">
        <f t="shared" si="240"/>
        <v>0</v>
      </c>
      <c r="V709" s="11" t="e">
        <f>VLOOKUP(C709,Referencias!$A$2:$B$33,2,1)</f>
        <v>#N/A</v>
      </c>
      <c r="W709" s="23" t="str">
        <f t="shared" si="241"/>
        <v/>
      </c>
      <c r="X709" s="11">
        <f t="shared" si="242"/>
        <v>0</v>
      </c>
      <c r="Y709" s="11">
        <f t="shared" si="243"/>
        <v>0</v>
      </c>
      <c r="Z709" s="24">
        <f t="shared" si="244"/>
        <v>0</v>
      </c>
      <c r="AA709" s="25">
        <f t="shared" si="245"/>
        <v>0</v>
      </c>
      <c r="AB709" s="24">
        <f t="shared" si="246"/>
        <v>0</v>
      </c>
      <c r="AC709" s="24">
        <f t="shared" si="247"/>
        <v>0</v>
      </c>
      <c r="AD709" s="24">
        <f t="shared" si="248"/>
        <v>0</v>
      </c>
      <c r="AE709" s="24">
        <f t="shared" si="249"/>
        <v>0</v>
      </c>
      <c r="AF709" s="119" t="str">
        <f>VLOOKUP(P709*1,Referencias!$G:$H,2,0)</f>
        <v>dom</v>
      </c>
    </row>
    <row r="710" spans="1:32" x14ac:dyDescent="0.25">
      <c r="A710" s="163"/>
      <c r="B710" s="164" t="s">
        <v>366</v>
      </c>
      <c r="C710" s="134">
        <v>0.76111111111111107</v>
      </c>
      <c r="D710" s="165">
        <v>3.48</v>
      </c>
      <c r="E710" s="165" t="s">
        <v>55</v>
      </c>
      <c r="F710" s="165"/>
      <c r="G710" s="166">
        <v>2.71</v>
      </c>
      <c r="H710" s="167">
        <v>210.42</v>
      </c>
      <c r="I710" s="165"/>
      <c r="N710" s="7" t="str">
        <f t="shared" si="235"/>
        <v>#LIEWNZE5L </v>
      </c>
      <c r="O710" s="7" t="str">
        <f t="shared" si="236"/>
        <v>#LIEWNZE5L </v>
      </c>
      <c r="P710" s="21">
        <f t="shared" si="250"/>
        <v>43254</v>
      </c>
      <c r="Q710" s="22">
        <f>VLOOKUP(R710,Referencias!$D$1:$E$13,2,0)</f>
        <v>6</v>
      </c>
      <c r="R710" s="7" t="str">
        <f t="shared" si="237"/>
        <v>JUN</v>
      </c>
      <c r="S710" s="7">
        <f t="shared" si="238"/>
        <v>0</v>
      </c>
      <c r="T710" s="11">
        <f t="shared" si="239"/>
        <v>3</v>
      </c>
      <c r="U710" s="11">
        <f t="shared" si="240"/>
        <v>0</v>
      </c>
      <c r="V710" s="11" t="str">
        <f>VLOOKUP(C710,Referencias!$A$2:$B$33,2,1)</f>
        <v>18 - 19</v>
      </c>
      <c r="W710" s="23">
        <f t="shared" si="241"/>
        <v>1.5972222222222165E-2</v>
      </c>
      <c r="X710" s="11">
        <f t="shared" si="242"/>
        <v>3.48</v>
      </c>
      <c r="Y710" s="11">
        <f t="shared" si="243"/>
        <v>6.1454478895925613</v>
      </c>
      <c r="Z710" s="24">
        <f t="shared" si="244"/>
        <v>2.71</v>
      </c>
      <c r="AA710" s="25">
        <f t="shared" si="245"/>
        <v>7.0695652173913306</v>
      </c>
      <c r="AB710" s="24">
        <f t="shared" si="246"/>
        <v>1</v>
      </c>
      <c r="AC710" s="24">
        <f t="shared" si="247"/>
        <v>1.7754516681819721</v>
      </c>
      <c r="AD710" s="24">
        <f t="shared" si="248"/>
        <v>2.151094059674453</v>
      </c>
      <c r="AE710" s="24">
        <f t="shared" si="249"/>
        <v>2.5504528961704449</v>
      </c>
      <c r="AF710" s="119" t="str">
        <f>VLOOKUP(P710*1,Referencias!$G:$H,2,0)</f>
        <v>dom</v>
      </c>
    </row>
    <row r="711" spans="1:32" ht="12" customHeight="1" x14ac:dyDescent="0.25">
      <c r="A711" s="163"/>
      <c r="B711" s="164"/>
      <c r="C711" s="134">
        <v>0.77708333333333324</v>
      </c>
      <c r="D711" s="165"/>
      <c r="E711" s="165"/>
      <c r="F711" s="165"/>
      <c r="G711" s="166"/>
      <c r="H711" s="167"/>
      <c r="I711" s="165"/>
      <c r="N711" s="7" t="str">
        <f t="shared" si="235"/>
        <v>#LIEWNZE5L </v>
      </c>
      <c r="O711" s="7">
        <f t="shared" si="236"/>
        <v>0</v>
      </c>
      <c r="P711" s="21">
        <f t="shared" si="250"/>
        <v>43254</v>
      </c>
      <c r="Q711" s="22">
        <f>VLOOKUP(R711,Referencias!$D$1:$E$13,2,0)</f>
        <v>6</v>
      </c>
      <c r="R711" s="7" t="str">
        <f t="shared" si="237"/>
        <v>JUN</v>
      </c>
      <c r="S711" s="7">
        <f t="shared" si="238"/>
        <v>0</v>
      </c>
      <c r="T711" s="11">
        <f t="shared" si="239"/>
        <v>3</v>
      </c>
      <c r="U711" s="11">
        <f t="shared" si="240"/>
        <v>0</v>
      </c>
      <c r="V711" s="11" t="str">
        <f>VLOOKUP(C711,Referencias!$A$2:$B$33,2,1)</f>
        <v>18 - 19</v>
      </c>
      <c r="W711" s="23" t="str">
        <f t="shared" si="241"/>
        <v/>
      </c>
      <c r="X711" s="11">
        <f t="shared" si="242"/>
        <v>0</v>
      </c>
      <c r="Y711" s="11">
        <f t="shared" si="243"/>
        <v>0</v>
      </c>
      <c r="Z711" s="24">
        <f t="shared" si="244"/>
        <v>0</v>
      </c>
      <c r="AA711" s="25">
        <f t="shared" si="245"/>
        <v>0</v>
      </c>
      <c r="AB711" s="24">
        <f t="shared" si="246"/>
        <v>0</v>
      </c>
      <c r="AC711" s="24">
        <f t="shared" si="247"/>
        <v>0</v>
      </c>
      <c r="AD711" s="24">
        <f t="shared" si="248"/>
        <v>0</v>
      </c>
      <c r="AE711" s="24">
        <f t="shared" si="249"/>
        <v>0</v>
      </c>
      <c r="AF711" s="119" t="str">
        <f>VLOOKUP(P711*1,Referencias!$G:$H,2,0)</f>
        <v>dom</v>
      </c>
    </row>
    <row r="712" spans="1:32" ht="12" customHeight="1" x14ac:dyDescent="0.25">
      <c r="A712" s="161"/>
      <c r="B712" s="161"/>
      <c r="C712" s="161"/>
      <c r="D712" s="161"/>
      <c r="E712" s="161"/>
      <c r="F712" s="161"/>
      <c r="G712" s="161"/>
      <c r="H712" s="161"/>
      <c r="I712" s="161"/>
      <c r="N712" s="7" t="str">
        <f t="shared" si="235"/>
        <v>#LIEWNZE5L </v>
      </c>
      <c r="O712" s="7">
        <f t="shared" si="236"/>
        <v>0</v>
      </c>
      <c r="P712" s="21">
        <f t="shared" si="250"/>
        <v>43254</v>
      </c>
      <c r="Q712" s="22">
        <f>VLOOKUP(R712,Referencias!$D$1:$E$13,2,0)</f>
        <v>6</v>
      </c>
      <c r="R712" s="7" t="str">
        <f t="shared" si="237"/>
        <v>JUN</v>
      </c>
      <c r="S712" s="7">
        <f t="shared" si="238"/>
        <v>0</v>
      </c>
      <c r="T712" s="11">
        <f t="shared" si="239"/>
        <v>3</v>
      </c>
      <c r="U712" s="11">
        <f t="shared" si="240"/>
        <v>0</v>
      </c>
      <c r="V712" s="11" t="e">
        <f>VLOOKUP(C712,Referencias!$A$2:$B$33,2,1)</f>
        <v>#N/A</v>
      </c>
      <c r="W712" s="23" t="str">
        <f t="shared" si="241"/>
        <v/>
      </c>
      <c r="X712" s="11">
        <f t="shared" si="242"/>
        <v>0</v>
      </c>
      <c r="Y712" s="11">
        <f t="shared" si="243"/>
        <v>0</v>
      </c>
      <c r="Z712" s="24">
        <f t="shared" si="244"/>
        <v>0</v>
      </c>
      <c r="AA712" s="25">
        <f t="shared" si="245"/>
        <v>0</v>
      </c>
      <c r="AB712" s="24">
        <f t="shared" si="246"/>
        <v>0</v>
      </c>
      <c r="AC712" s="24">
        <f t="shared" si="247"/>
        <v>0</v>
      </c>
      <c r="AD712" s="24">
        <f t="shared" si="248"/>
        <v>0</v>
      </c>
      <c r="AE712" s="24">
        <f t="shared" si="249"/>
        <v>0</v>
      </c>
      <c r="AF712" s="119" t="str">
        <f>VLOOKUP(P712*1,Referencias!$G:$H,2,0)</f>
        <v>dom</v>
      </c>
    </row>
    <row r="713" spans="1:32" ht="12" customHeight="1" x14ac:dyDescent="0.25">
      <c r="A713" s="162"/>
      <c r="B713" s="162"/>
      <c r="C713" s="162"/>
      <c r="D713" s="162"/>
      <c r="E713" s="162"/>
      <c r="F713" s="162"/>
      <c r="G713" s="162"/>
      <c r="H713" s="162"/>
      <c r="I713" s="162"/>
      <c r="N713" s="7" t="str">
        <f t="shared" si="235"/>
        <v>#LIEWNZE5L </v>
      </c>
      <c r="O713" s="7">
        <f t="shared" si="236"/>
        <v>0</v>
      </c>
      <c r="P713" s="21">
        <f t="shared" si="250"/>
        <v>43254</v>
      </c>
      <c r="Q713" s="22">
        <f>VLOOKUP(R713,Referencias!$D$1:$E$13,2,0)</f>
        <v>6</v>
      </c>
      <c r="R713" s="7" t="str">
        <f t="shared" si="237"/>
        <v>JUN</v>
      </c>
      <c r="S713" s="7">
        <f t="shared" si="238"/>
        <v>0</v>
      </c>
      <c r="T713" s="11">
        <f t="shared" si="239"/>
        <v>3</v>
      </c>
      <c r="U713" s="11">
        <f t="shared" si="240"/>
        <v>0</v>
      </c>
      <c r="V713" s="11" t="e">
        <f>VLOOKUP(C713,Referencias!$A$2:$B$33,2,1)</f>
        <v>#N/A</v>
      </c>
      <c r="W713" s="23" t="str">
        <f t="shared" si="241"/>
        <v/>
      </c>
      <c r="X713" s="11">
        <f t="shared" si="242"/>
        <v>0</v>
      </c>
      <c r="Y713" s="11">
        <f t="shared" si="243"/>
        <v>0</v>
      </c>
      <c r="Z713" s="24">
        <f t="shared" si="244"/>
        <v>0</v>
      </c>
      <c r="AA713" s="25">
        <f t="shared" si="245"/>
        <v>0</v>
      </c>
      <c r="AB713" s="24">
        <f t="shared" si="246"/>
        <v>0</v>
      </c>
      <c r="AC713" s="24">
        <f t="shared" si="247"/>
        <v>0</v>
      </c>
      <c r="AD713" s="24">
        <f t="shared" si="248"/>
        <v>0</v>
      </c>
      <c r="AE713" s="24">
        <f t="shared" si="249"/>
        <v>0</v>
      </c>
      <c r="AF713" s="119" t="str">
        <f>VLOOKUP(P713*1,Referencias!$G:$H,2,0)</f>
        <v>dom</v>
      </c>
    </row>
    <row r="714" spans="1:32" x14ac:dyDescent="0.25">
      <c r="A714" s="163"/>
      <c r="B714" s="164" t="s">
        <v>367</v>
      </c>
      <c r="C714" s="134">
        <v>0.78819444444444453</v>
      </c>
      <c r="D714" s="165">
        <v>5.72</v>
      </c>
      <c r="E714" s="165" t="s">
        <v>53</v>
      </c>
      <c r="F714" s="165"/>
      <c r="G714" s="166">
        <v>3.5</v>
      </c>
      <c r="H714" s="167">
        <v>213.92</v>
      </c>
      <c r="I714" s="165"/>
      <c r="N714" s="7" t="str">
        <f t="shared" si="235"/>
        <v>#LI11LRZL3 </v>
      </c>
      <c r="O714" s="7" t="str">
        <f t="shared" si="236"/>
        <v>#LI11LRZL3 </v>
      </c>
      <c r="P714" s="21">
        <f t="shared" si="250"/>
        <v>43254</v>
      </c>
      <c r="Q714" s="22">
        <f>VLOOKUP(R714,Referencias!$D$1:$E$13,2,0)</f>
        <v>6</v>
      </c>
      <c r="R714" s="7" t="str">
        <f t="shared" si="237"/>
        <v>JUN</v>
      </c>
      <c r="S714" s="7">
        <f t="shared" si="238"/>
        <v>0</v>
      </c>
      <c r="T714" s="11">
        <f t="shared" si="239"/>
        <v>3</v>
      </c>
      <c r="U714" s="11">
        <f t="shared" si="240"/>
        <v>0</v>
      </c>
      <c r="V714" s="11" t="str">
        <f>VLOOKUP(C714,Referencias!$A$2:$B$33,2,1)</f>
        <v>18 - 19</v>
      </c>
      <c r="W714" s="23">
        <f t="shared" si="241"/>
        <v>2.4999999999999911E-2</v>
      </c>
      <c r="X714" s="11">
        <f t="shared" si="242"/>
        <v>5.72</v>
      </c>
      <c r="Y714" s="11">
        <f t="shared" si="243"/>
        <v>10.10113848519237</v>
      </c>
      <c r="Z714" s="24">
        <f t="shared" si="244"/>
        <v>3.5</v>
      </c>
      <c r="AA714" s="25">
        <f t="shared" si="245"/>
        <v>5.8333333333333544</v>
      </c>
      <c r="AB714" s="24">
        <f t="shared" si="246"/>
        <v>1</v>
      </c>
      <c r="AC714" s="24">
        <f t="shared" si="247"/>
        <v>2.2930187596446134</v>
      </c>
      <c r="AD714" s="24">
        <f t="shared" si="248"/>
        <v>2.7781657597271532</v>
      </c>
      <c r="AE714" s="24">
        <f t="shared" si="249"/>
        <v>3.2939428548326779</v>
      </c>
      <c r="AF714" s="119" t="str">
        <f>VLOOKUP(P714*1,Referencias!$G:$H,2,0)</f>
        <v>dom</v>
      </c>
    </row>
    <row r="715" spans="1:32" ht="12" customHeight="1" x14ac:dyDescent="0.25">
      <c r="A715" s="163"/>
      <c r="B715" s="164"/>
      <c r="C715" s="134">
        <v>0.81319444444444444</v>
      </c>
      <c r="D715" s="165"/>
      <c r="E715" s="165"/>
      <c r="F715" s="165"/>
      <c r="G715" s="166"/>
      <c r="H715" s="167"/>
      <c r="I715" s="165"/>
      <c r="N715" s="7" t="str">
        <f t="shared" si="235"/>
        <v>#LI11LRZL3 </v>
      </c>
      <c r="O715" s="7">
        <f t="shared" si="236"/>
        <v>0</v>
      </c>
      <c r="P715" s="21">
        <f t="shared" si="250"/>
        <v>43254</v>
      </c>
      <c r="Q715" s="22">
        <f>VLOOKUP(R715,Referencias!$D$1:$E$13,2,0)</f>
        <v>6</v>
      </c>
      <c r="R715" s="7" t="str">
        <f t="shared" si="237"/>
        <v>JUN</v>
      </c>
      <c r="S715" s="7">
        <f t="shared" si="238"/>
        <v>0</v>
      </c>
      <c r="T715" s="11">
        <f t="shared" si="239"/>
        <v>3</v>
      </c>
      <c r="U715" s="11">
        <f t="shared" si="240"/>
        <v>0</v>
      </c>
      <c r="V715" s="11" t="str">
        <f>VLOOKUP(C715,Referencias!$A$2:$B$33,2,1)</f>
        <v>19 - 20</v>
      </c>
      <c r="W715" s="23" t="str">
        <f t="shared" si="241"/>
        <v/>
      </c>
      <c r="X715" s="11">
        <f t="shared" si="242"/>
        <v>0</v>
      </c>
      <c r="Y715" s="11">
        <f t="shared" si="243"/>
        <v>0</v>
      </c>
      <c r="Z715" s="24">
        <f t="shared" si="244"/>
        <v>0</v>
      </c>
      <c r="AA715" s="25">
        <f t="shared" si="245"/>
        <v>0</v>
      </c>
      <c r="AB715" s="24">
        <f t="shared" si="246"/>
        <v>0</v>
      </c>
      <c r="AC715" s="24">
        <f t="shared" si="247"/>
        <v>0</v>
      </c>
      <c r="AD715" s="24">
        <f t="shared" si="248"/>
        <v>0</v>
      </c>
      <c r="AE715" s="24">
        <f t="shared" si="249"/>
        <v>0</v>
      </c>
      <c r="AF715" s="119" t="str">
        <f>VLOOKUP(P715*1,Referencias!$G:$H,2,0)</f>
        <v>dom</v>
      </c>
    </row>
    <row r="716" spans="1:32" ht="12" customHeight="1" x14ac:dyDescent="0.25">
      <c r="A716" s="161"/>
      <c r="B716" s="161"/>
      <c r="C716" s="161"/>
      <c r="D716" s="161"/>
      <c r="E716" s="161"/>
      <c r="F716" s="161"/>
      <c r="G716" s="161"/>
      <c r="H716" s="161"/>
      <c r="I716" s="161"/>
      <c r="N716" s="7" t="str">
        <f t="shared" si="235"/>
        <v>#LI11LRZL3 </v>
      </c>
      <c r="O716" s="7">
        <f t="shared" si="236"/>
        <v>0</v>
      </c>
      <c r="P716" s="21">
        <f t="shared" si="250"/>
        <v>43254</v>
      </c>
      <c r="Q716" s="22">
        <f>VLOOKUP(R716,Referencias!$D$1:$E$13,2,0)</f>
        <v>6</v>
      </c>
      <c r="R716" s="7" t="str">
        <f t="shared" si="237"/>
        <v>JUN</v>
      </c>
      <c r="S716" s="7">
        <f t="shared" si="238"/>
        <v>0</v>
      </c>
      <c r="T716" s="11">
        <f t="shared" si="239"/>
        <v>3</v>
      </c>
      <c r="U716" s="11">
        <f t="shared" si="240"/>
        <v>0</v>
      </c>
      <c r="V716" s="11" t="e">
        <f>VLOOKUP(C716,Referencias!$A$2:$B$33,2,1)</f>
        <v>#N/A</v>
      </c>
      <c r="W716" s="23" t="str">
        <f t="shared" si="241"/>
        <v/>
      </c>
      <c r="X716" s="11">
        <f t="shared" si="242"/>
        <v>0</v>
      </c>
      <c r="Y716" s="11">
        <f t="shared" si="243"/>
        <v>0</v>
      </c>
      <c r="Z716" s="24">
        <f t="shared" si="244"/>
        <v>0</v>
      </c>
      <c r="AA716" s="25">
        <f t="shared" si="245"/>
        <v>0</v>
      </c>
      <c r="AB716" s="24">
        <f t="shared" si="246"/>
        <v>0</v>
      </c>
      <c r="AC716" s="24">
        <f t="shared" si="247"/>
        <v>0</v>
      </c>
      <c r="AD716" s="24">
        <f t="shared" si="248"/>
        <v>0</v>
      </c>
      <c r="AE716" s="24">
        <f t="shared" si="249"/>
        <v>0</v>
      </c>
      <c r="AF716" s="119" t="str">
        <f>VLOOKUP(P716*1,Referencias!$G:$H,2,0)</f>
        <v>dom</v>
      </c>
    </row>
    <row r="717" spans="1:32" ht="12" customHeight="1" x14ac:dyDescent="0.25">
      <c r="A717" s="162"/>
      <c r="B717" s="162"/>
      <c r="C717" s="162"/>
      <c r="D717" s="162"/>
      <c r="E717" s="162"/>
      <c r="F717" s="162"/>
      <c r="G717" s="162"/>
      <c r="H717" s="162"/>
      <c r="I717" s="162"/>
      <c r="N717" s="7" t="str">
        <f t="shared" si="235"/>
        <v>#LI11LRZL3 </v>
      </c>
      <c r="O717" s="7">
        <f t="shared" si="236"/>
        <v>0</v>
      </c>
      <c r="P717" s="21">
        <f t="shared" si="250"/>
        <v>43254</v>
      </c>
      <c r="Q717" s="22">
        <f>VLOOKUP(R717,Referencias!$D$1:$E$13,2,0)</f>
        <v>6</v>
      </c>
      <c r="R717" s="7" t="str">
        <f t="shared" si="237"/>
        <v>JUN</v>
      </c>
      <c r="S717" s="7">
        <f t="shared" si="238"/>
        <v>0</v>
      </c>
      <c r="T717" s="11">
        <f t="shared" si="239"/>
        <v>3</v>
      </c>
      <c r="U717" s="11">
        <f t="shared" si="240"/>
        <v>0</v>
      </c>
      <c r="V717" s="11" t="e">
        <f>VLOOKUP(C717,Referencias!$A$2:$B$33,2,1)</f>
        <v>#N/A</v>
      </c>
      <c r="W717" s="23" t="str">
        <f t="shared" si="241"/>
        <v/>
      </c>
      <c r="X717" s="11">
        <f t="shared" si="242"/>
        <v>0</v>
      </c>
      <c r="Y717" s="11">
        <f t="shared" si="243"/>
        <v>0</v>
      </c>
      <c r="Z717" s="24">
        <f t="shared" si="244"/>
        <v>0</v>
      </c>
      <c r="AA717" s="25">
        <f t="shared" si="245"/>
        <v>0</v>
      </c>
      <c r="AB717" s="24">
        <f t="shared" si="246"/>
        <v>0</v>
      </c>
      <c r="AC717" s="24">
        <f t="shared" si="247"/>
        <v>0</v>
      </c>
      <c r="AD717" s="24">
        <f t="shared" si="248"/>
        <v>0</v>
      </c>
      <c r="AE717" s="24">
        <f t="shared" si="249"/>
        <v>0</v>
      </c>
      <c r="AF717" s="119" t="str">
        <f>VLOOKUP(P717*1,Referencias!$G:$H,2,0)</f>
        <v>dom</v>
      </c>
    </row>
    <row r="718" spans="1:32" x14ac:dyDescent="0.25">
      <c r="A718" s="163"/>
      <c r="B718" s="164" t="s">
        <v>368</v>
      </c>
      <c r="C718" s="134">
        <v>0.81319444444444444</v>
      </c>
      <c r="D718" s="165">
        <v>4.9400000000000004</v>
      </c>
      <c r="E718" s="165" t="s">
        <v>17</v>
      </c>
      <c r="F718" s="165"/>
      <c r="G718" s="166">
        <v>3.22</v>
      </c>
      <c r="H718" s="167">
        <v>217.14</v>
      </c>
      <c r="I718" s="165"/>
      <c r="N718" s="7" t="str">
        <f t="shared" si="235"/>
        <v>#LIFXU96EG </v>
      </c>
      <c r="O718" s="7" t="str">
        <f t="shared" si="236"/>
        <v>#LIFXU96EG </v>
      </c>
      <c r="P718" s="21">
        <f t="shared" si="250"/>
        <v>43254</v>
      </c>
      <c r="Q718" s="22">
        <f>VLOOKUP(R718,Referencias!$D$1:$E$13,2,0)</f>
        <v>6</v>
      </c>
      <c r="R718" s="7" t="str">
        <f t="shared" si="237"/>
        <v>JUN</v>
      </c>
      <c r="S718" s="7">
        <f t="shared" si="238"/>
        <v>0</v>
      </c>
      <c r="T718" s="11">
        <f t="shared" si="239"/>
        <v>3</v>
      </c>
      <c r="U718" s="11">
        <f t="shared" si="240"/>
        <v>0</v>
      </c>
      <c r="V718" s="11" t="str">
        <f>VLOOKUP(C718,Referencias!$A$2:$B$33,2,1)</f>
        <v>19 - 20</v>
      </c>
      <c r="W718" s="23">
        <f t="shared" si="241"/>
        <v>1.9444444444444486E-2</v>
      </c>
      <c r="X718" s="11">
        <f t="shared" si="242"/>
        <v>4.9400000000000004</v>
      </c>
      <c r="Y718" s="11">
        <f t="shared" si="243"/>
        <v>8.7237105099388668</v>
      </c>
      <c r="Z718" s="24">
        <f t="shared" si="244"/>
        <v>3.22</v>
      </c>
      <c r="AA718" s="25">
        <f t="shared" si="245"/>
        <v>6.8999999999999853</v>
      </c>
      <c r="AB718" s="24">
        <f t="shared" si="246"/>
        <v>1</v>
      </c>
      <c r="AC718" s="24">
        <f t="shared" si="247"/>
        <v>2.1095772588730446</v>
      </c>
      <c r="AD718" s="24">
        <f t="shared" si="248"/>
        <v>2.555912498948981</v>
      </c>
      <c r="AE718" s="24">
        <f t="shared" si="249"/>
        <v>3.0304274264460638</v>
      </c>
      <c r="AF718" s="119" t="str">
        <f>VLOOKUP(P718*1,Referencias!$G:$H,2,0)</f>
        <v>dom</v>
      </c>
    </row>
    <row r="719" spans="1:32" ht="12" customHeight="1" x14ac:dyDescent="0.25">
      <c r="A719" s="163"/>
      <c r="B719" s="164"/>
      <c r="C719" s="134">
        <v>0.83263888888888893</v>
      </c>
      <c r="D719" s="165"/>
      <c r="E719" s="165"/>
      <c r="F719" s="165"/>
      <c r="G719" s="166"/>
      <c r="H719" s="167"/>
      <c r="I719" s="165"/>
      <c r="N719" s="7" t="str">
        <f t="shared" si="235"/>
        <v>#LIFXU96EG </v>
      </c>
      <c r="O719" s="7">
        <f t="shared" si="236"/>
        <v>0</v>
      </c>
      <c r="P719" s="21">
        <f t="shared" si="250"/>
        <v>43254</v>
      </c>
      <c r="Q719" s="22">
        <f>VLOOKUP(R719,Referencias!$D$1:$E$13,2,0)</f>
        <v>6</v>
      </c>
      <c r="R719" s="7" t="str">
        <f t="shared" si="237"/>
        <v>JUN</v>
      </c>
      <c r="S719" s="7">
        <f t="shared" si="238"/>
        <v>0</v>
      </c>
      <c r="T719" s="11">
        <f t="shared" si="239"/>
        <v>3</v>
      </c>
      <c r="U719" s="11">
        <f t="shared" si="240"/>
        <v>0</v>
      </c>
      <c r="V719" s="11" t="str">
        <f>VLOOKUP(C719,Referencias!$A$2:$B$33,2,1)</f>
        <v>19 - 20</v>
      </c>
      <c r="W719" s="23" t="str">
        <f t="shared" si="241"/>
        <v/>
      </c>
      <c r="X719" s="11">
        <f t="shared" si="242"/>
        <v>0</v>
      </c>
      <c r="Y719" s="11">
        <f t="shared" si="243"/>
        <v>0</v>
      </c>
      <c r="Z719" s="24">
        <f t="shared" si="244"/>
        <v>0</v>
      </c>
      <c r="AA719" s="25">
        <f t="shared" si="245"/>
        <v>0</v>
      </c>
      <c r="AB719" s="24">
        <f t="shared" si="246"/>
        <v>0</v>
      </c>
      <c r="AC719" s="24">
        <f t="shared" si="247"/>
        <v>0</v>
      </c>
      <c r="AD719" s="24">
        <f t="shared" si="248"/>
        <v>0</v>
      </c>
      <c r="AE719" s="24">
        <f t="shared" si="249"/>
        <v>0</v>
      </c>
      <c r="AF719" s="119" t="str">
        <f>VLOOKUP(P719*1,Referencias!$G:$H,2,0)</f>
        <v>dom</v>
      </c>
    </row>
    <row r="720" spans="1:32" ht="12" customHeight="1" x14ac:dyDescent="0.25">
      <c r="A720" s="161"/>
      <c r="B720" s="161"/>
      <c r="C720" s="161"/>
      <c r="D720" s="161"/>
      <c r="E720" s="161"/>
      <c r="F720" s="161"/>
      <c r="G720" s="161"/>
      <c r="H720" s="161"/>
      <c r="I720" s="161"/>
      <c r="N720" s="7" t="str">
        <f t="shared" si="235"/>
        <v>#LIFXU96EG </v>
      </c>
      <c r="O720" s="7">
        <f t="shared" si="236"/>
        <v>0</v>
      </c>
      <c r="P720" s="21">
        <f t="shared" si="250"/>
        <v>43254</v>
      </c>
      <c r="Q720" s="22">
        <f>VLOOKUP(R720,Referencias!$D$1:$E$13,2,0)</f>
        <v>6</v>
      </c>
      <c r="R720" s="7" t="str">
        <f t="shared" si="237"/>
        <v>JUN</v>
      </c>
      <c r="S720" s="7">
        <f t="shared" si="238"/>
        <v>0</v>
      </c>
      <c r="T720" s="11">
        <f t="shared" si="239"/>
        <v>3</v>
      </c>
      <c r="U720" s="11">
        <f t="shared" si="240"/>
        <v>0</v>
      </c>
      <c r="V720" s="11" t="e">
        <f>VLOOKUP(C720,Referencias!$A$2:$B$33,2,1)</f>
        <v>#N/A</v>
      </c>
      <c r="W720" s="23" t="str">
        <f t="shared" si="241"/>
        <v/>
      </c>
      <c r="X720" s="11">
        <f t="shared" si="242"/>
        <v>0</v>
      </c>
      <c r="Y720" s="11">
        <f t="shared" si="243"/>
        <v>0</v>
      </c>
      <c r="Z720" s="24">
        <f t="shared" si="244"/>
        <v>0</v>
      </c>
      <c r="AA720" s="25">
        <f t="shared" si="245"/>
        <v>0</v>
      </c>
      <c r="AB720" s="24">
        <f t="shared" si="246"/>
        <v>0</v>
      </c>
      <c r="AC720" s="24">
        <f t="shared" si="247"/>
        <v>0</v>
      </c>
      <c r="AD720" s="24">
        <f t="shared" si="248"/>
        <v>0</v>
      </c>
      <c r="AE720" s="24">
        <f t="shared" si="249"/>
        <v>0</v>
      </c>
      <c r="AF720" s="119" t="str">
        <f>VLOOKUP(P720*1,Referencias!$G:$H,2,0)</f>
        <v>dom</v>
      </c>
    </row>
    <row r="721" spans="1:32" ht="12" customHeight="1" x14ac:dyDescent="0.25">
      <c r="A721" s="162"/>
      <c r="B721" s="162"/>
      <c r="C721" s="162"/>
      <c r="D721" s="162"/>
      <c r="E721" s="162"/>
      <c r="F721" s="162"/>
      <c r="G721" s="162"/>
      <c r="H721" s="162"/>
      <c r="I721" s="162"/>
      <c r="N721" s="7" t="str">
        <f t="shared" si="235"/>
        <v>#LIFXU96EG </v>
      </c>
      <c r="O721" s="7">
        <f t="shared" si="236"/>
        <v>0</v>
      </c>
      <c r="P721" s="21">
        <f t="shared" si="250"/>
        <v>43254</v>
      </c>
      <c r="Q721" s="22">
        <f>VLOOKUP(R721,Referencias!$D$1:$E$13,2,0)</f>
        <v>6</v>
      </c>
      <c r="R721" s="7" t="str">
        <f t="shared" si="237"/>
        <v>JUN</v>
      </c>
      <c r="S721" s="7">
        <f t="shared" si="238"/>
        <v>0</v>
      </c>
      <c r="T721" s="11">
        <f t="shared" si="239"/>
        <v>3</v>
      </c>
      <c r="U721" s="11">
        <f t="shared" si="240"/>
        <v>0</v>
      </c>
      <c r="V721" s="11" t="e">
        <f>VLOOKUP(C721,Referencias!$A$2:$B$33,2,1)</f>
        <v>#N/A</v>
      </c>
      <c r="W721" s="23" t="str">
        <f t="shared" si="241"/>
        <v/>
      </c>
      <c r="X721" s="11">
        <f t="shared" si="242"/>
        <v>0</v>
      </c>
      <c r="Y721" s="11">
        <f t="shared" si="243"/>
        <v>0</v>
      </c>
      <c r="Z721" s="24">
        <f t="shared" si="244"/>
        <v>0</v>
      </c>
      <c r="AA721" s="25">
        <f t="shared" si="245"/>
        <v>0</v>
      </c>
      <c r="AB721" s="24">
        <f t="shared" si="246"/>
        <v>0</v>
      </c>
      <c r="AC721" s="24">
        <f t="shared" si="247"/>
        <v>0</v>
      </c>
      <c r="AD721" s="24">
        <f t="shared" si="248"/>
        <v>0</v>
      </c>
      <c r="AE721" s="24">
        <f t="shared" si="249"/>
        <v>0</v>
      </c>
      <c r="AF721" s="119" t="str">
        <f>VLOOKUP(P721*1,Referencias!$G:$H,2,0)</f>
        <v>dom</v>
      </c>
    </row>
    <row r="722" spans="1:32" x14ac:dyDescent="0.25">
      <c r="A722" s="163"/>
      <c r="B722" s="164" t="s">
        <v>369</v>
      </c>
      <c r="C722" s="134">
        <v>0.83750000000000002</v>
      </c>
      <c r="D722" s="165">
        <v>8.5</v>
      </c>
      <c r="E722" s="165" t="s">
        <v>29</v>
      </c>
      <c r="F722" s="149">
        <v>0.45</v>
      </c>
      <c r="G722" s="166">
        <v>1.95</v>
      </c>
      <c r="H722" s="167">
        <v>219.09</v>
      </c>
      <c r="I722" s="165"/>
      <c r="N722" s="7" t="str">
        <f t="shared" si="235"/>
        <v>#LIQL1JYJZ </v>
      </c>
      <c r="O722" s="7" t="str">
        <f t="shared" si="236"/>
        <v>#LIQL1JYJZ </v>
      </c>
      <c r="P722" s="21">
        <f t="shared" si="250"/>
        <v>43254</v>
      </c>
      <c r="Q722" s="22">
        <f>VLOOKUP(R722,Referencias!$D$1:$E$13,2,0)</f>
        <v>6</v>
      </c>
      <c r="R722" s="7" t="str">
        <f t="shared" si="237"/>
        <v>JUN</v>
      </c>
      <c r="S722" s="7">
        <f t="shared" si="238"/>
        <v>0</v>
      </c>
      <c r="T722" s="11">
        <f t="shared" si="239"/>
        <v>3</v>
      </c>
      <c r="U722" s="11">
        <f t="shared" si="240"/>
        <v>0</v>
      </c>
      <c r="V722" s="11" t="str">
        <f>VLOOKUP(C722,Referencias!$A$2:$B$33,2,1)</f>
        <v>20 - 21</v>
      </c>
      <c r="W722" s="23">
        <f t="shared" si="241"/>
        <v>6.944444444444442E-2</v>
      </c>
      <c r="X722" s="11">
        <f t="shared" si="242"/>
        <v>8.5</v>
      </c>
      <c r="Y722" s="11">
        <f t="shared" si="243"/>
        <v>15.01043306365999</v>
      </c>
      <c r="Z722" s="24">
        <f t="shared" si="244"/>
        <v>1.95</v>
      </c>
      <c r="AA722" s="25">
        <f t="shared" si="245"/>
        <v>1.1700000000000004</v>
      </c>
      <c r="AB722" s="24">
        <f t="shared" si="246"/>
        <v>1</v>
      </c>
      <c r="AC722" s="24">
        <f t="shared" si="247"/>
        <v>1.2775390232305703</v>
      </c>
      <c r="AD722" s="24">
        <f t="shared" si="248"/>
        <v>1.5478352089908425</v>
      </c>
      <c r="AE722" s="24">
        <f t="shared" si="249"/>
        <v>1.8351967334067776</v>
      </c>
      <c r="AF722" s="119" t="str">
        <f>VLOOKUP(P722*1,Referencias!$G:$H,2,0)</f>
        <v>dom</v>
      </c>
    </row>
    <row r="723" spans="1:32" x14ac:dyDescent="0.25">
      <c r="A723" s="163"/>
      <c r="B723" s="164"/>
      <c r="C723" s="134">
        <v>0.90694444444444444</v>
      </c>
      <c r="D723" s="165"/>
      <c r="E723" s="165"/>
      <c r="F723" s="145" t="s">
        <v>70</v>
      </c>
      <c r="G723" s="166"/>
      <c r="H723" s="167"/>
      <c r="I723" s="165"/>
      <c r="N723" s="7" t="str">
        <f t="shared" si="235"/>
        <v>#LIQL1JYJZ </v>
      </c>
      <c r="O723" s="7">
        <f t="shared" si="236"/>
        <v>0</v>
      </c>
      <c r="P723" s="21">
        <f t="shared" si="250"/>
        <v>43254</v>
      </c>
      <c r="Q723" s="22">
        <f>VLOOKUP(R723,Referencias!$D$1:$E$13,2,0)</f>
        <v>6</v>
      </c>
      <c r="R723" s="7" t="str">
        <f t="shared" si="237"/>
        <v>JUN</v>
      </c>
      <c r="S723" s="7">
        <f t="shared" si="238"/>
        <v>0</v>
      </c>
      <c r="T723" s="11">
        <f t="shared" si="239"/>
        <v>3</v>
      </c>
      <c r="U723" s="11">
        <f t="shared" si="240"/>
        <v>0</v>
      </c>
      <c r="V723" s="11" t="str">
        <f>VLOOKUP(C723,Referencias!$A$2:$B$33,2,1)</f>
        <v>21 - 22</v>
      </c>
      <c r="W723" s="23" t="str">
        <f t="shared" si="241"/>
        <v/>
      </c>
      <c r="X723" s="11">
        <f t="shared" si="242"/>
        <v>0</v>
      </c>
      <c r="Y723" s="11">
        <f t="shared" si="243"/>
        <v>0</v>
      </c>
      <c r="Z723" s="24">
        <f t="shared" si="244"/>
        <v>0</v>
      </c>
      <c r="AA723" s="25">
        <f t="shared" si="245"/>
        <v>0</v>
      </c>
      <c r="AB723" s="24">
        <f t="shared" si="246"/>
        <v>0</v>
      </c>
      <c r="AC723" s="24">
        <f t="shared" si="247"/>
        <v>0</v>
      </c>
      <c r="AD723" s="24">
        <f t="shared" si="248"/>
        <v>0</v>
      </c>
      <c r="AE723" s="24">
        <f t="shared" si="249"/>
        <v>0</v>
      </c>
      <c r="AF723" s="119" t="str">
        <f>VLOOKUP(P723*1,Referencias!$G:$H,2,0)</f>
        <v>dom</v>
      </c>
    </row>
    <row r="724" spans="1:32" ht="12.6" thickBot="1" x14ac:dyDescent="0.3">
      <c r="A724" s="172"/>
      <c r="B724" s="172"/>
      <c r="C724" s="172"/>
      <c r="D724" s="172"/>
      <c r="E724" s="172"/>
      <c r="F724" s="172"/>
      <c r="G724" s="172"/>
      <c r="H724" s="172"/>
      <c r="I724" s="172"/>
      <c r="N724" s="7" t="str">
        <f t="shared" si="235"/>
        <v>#LIQL1JYJZ </v>
      </c>
      <c r="O724" s="7">
        <f t="shared" si="236"/>
        <v>0</v>
      </c>
      <c r="P724" s="21">
        <f t="shared" si="250"/>
        <v>43254</v>
      </c>
      <c r="Q724" s="22">
        <f>VLOOKUP(R724,Referencias!$D$1:$E$13,2,0)</f>
        <v>6</v>
      </c>
      <c r="R724" s="7" t="str">
        <f t="shared" si="237"/>
        <v>JUN</v>
      </c>
      <c r="S724" s="7">
        <f t="shared" si="238"/>
        <v>0</v>
      </c>
      <c r="T724" s="11">
        <f t="shared" si="239"/>
        <v>3</v>
      </c>
      <c r="U724" s="11">
        <f t="shared" si="240"/>
        <v>0</v>
      </c>
      <c r="V724" s="11" t="e">
        <f>VLOOKUP(C724,Referencias!$A$2:$B$33,2,1)</f>
        <v>#N/A</v>
      </c>
      <c r="W724" s="23" t="str">
        <f t="shared" si="241"/>
        <v/>
      </c>
      <c r="X724" s="11">
        <f t="shared" si="242"/>
        <v>0</v>
      </c>
      <c r="Y724" s="11">
        <f t="shared" si="243"/>
        <v>0</v>
      </c>
      <c r="Z724" s="24">
        <f t="shared" si="244"/>
        <v>0</v>
      </c>
      <c r="AA724" s="25">
        <f t="shared" si="245"/>
        <v>0</v>
      </c>
      <c r="AB724" s="24">
        <f t="shared" si="246"/>
        <v>0</v>
      </c>
      <c r="AC724" s="24">
        <f t="shared" si="247"/>
        <v>0</v>
      </c>
      <c r="AD724" s="24">
        <f t="shared" si="248"/>
        <v>0</v>
      </c>
      <c r="AE724" s="24">
        <f t="shared" si="249"/>
        <v>0</v>
      </c>
      <c r="AF724" s="119" t="str">
        <f>VLOOKUP(P724*1,Referencias!$G:$H,2,0)</f>
        <v>dom</v>
      </c>
    </row>
    <row r="725" spans="1:32" x14ac:dyDescent="0.25">
      <c r="A725" s="147">
        <v>4</v>
      </c>
      <c r="B725" s="168" t="s">
        <v>375</v>
      </c>
      <c r="C725" s="134">
        <v>0.51736111111111105</v>
      </c>
      <c r="D725" s="169">
        <v>7.75</v>
      </c>
      <c r="E725" s="169" t="s">
        <v>36</v>
      </c>
      <c r="F725" s="169"/>
      <c r="G725" s="170">
        <v>4.21</v>
      </c>
      <c r="H725" s="171">
        <v>223.3</v>
      </c>
      <c r="I725" s="169"/>
      <c r="N725" s="7" t="str">
        <f t="shared" ref="N725:N755" si="251">IF(O725&lt;&gt;0,O725,N724)</f>
        <v>#LIWGSXK3N </v>
      </c>
      <c r="O725" s="7" t="str">
        <f t="shared" ref="O725:O755" si="252">IF(X725&gt;0,B725,0)</f>
        <v>#LIWGSXK3N </v>
      </c>
      <c r="P725" s="21">
        <f t="shared" si="250"/>
        <v>43255</v>
      </c>
      <c r="Q725" s="22">
        <f>VLOOKUP(R725,Referencias!$D$1:$E$13,2,0)</f>
        <v>6</v>
      </c>
      <c r="R725" s="7" t="str">
        <f t="shared" ref="R725:R755" si="253">IF(S725="ganhos garantidos",R724,IF(S725&lt;&gt;0,S725,R724))</f>
        <v>JUN</v>
      </c>
      <c r="S725" s="7" t="str">
        <f t="shared" ref="S725:S755" si="254">IF(X725&gt;0,A726,0)</f>
        <v>JUN</v>
      </c>
      <c r="T725" s="11">
        <f t="shared" ref="T725:T755" si="255">IF(U725&lt;&gt;0,U725,T724)</f>
        <v>4</v>
      </c>
      <c r="U725" s="11">
        <f t="shared" ref="U725:U755" si="256">IF(X725&gt;0,A725,0)</f>
        <v>4</v>
      </c>
      <c r="V725" s="11" t="str">
        <f>VLOOKUP(C725,Referencias!$A$2:$B$33,2,1)</f>
        <v>12 - 13</v>
      </c>
      <c r="W725" s="23">
        <f t="shared" ref="W725:W755" si="257">IF(X725&gt;0,C726-C725,"")</f>
        <v>3.125E-2</v>
      </c>
      <c r="X725" s="11">
        <f t="shared" ref="X725:X755" si="258">D725*1</f>
        <v>7.75</v>
      </c>
      <c r="Y725" s="11">
        <f t="shared" ref="Y725:Y755" si="259">X725*$AK$2</f>
        <v>13.685983087454698</v>
      </c>
      <c r="Z725" s="24">
        <f t="shared" ref="Z725:Z755" si="260">IF(A725="Ganhos Garantidos",G725,IF(X725&gt;0,G725*1,0))</f>
        <v>4.21</v>
      </c>
      <c r="AA725" s="25">
        <f t="shared" ref="AA725:AA755" si="261">IFERROR(Z725/(86400*(W725)/360/10),0)</f>
        <v>5.6133333333333333</v>
      </c>
      <c r="AB725" s="24">
        <f t="shared" ref="AB725:AB755" si="262">IF(O725&gt;0,1,0)</f>
        <v>1</v>
      </c>
      <c r="AC725" s="24">
        <f t="shared" si="247"/>
        <v>2.7581739937439491</v>
      </c>
      <c r="AD725" s="24">
        <f t="shared" si="248"/>
        <v>3.3417365281289468</v>
      </c>
      <c r="AE725" s="24">
        <f t="shared" si="249"/>
        <v>3.9621426910987356</v>
      </c>
      <c r="AF725" s="119" t="str">
        <f>VLOOKUP(P725*1,Referencias!$G:$H,2,0)</f>
        <v>seg</v>
      </c>
    </row>
    <row r="726" spans="1:32" ht="12" customHeight="1" x14ac:dyDescent="0.25">
      <c r="A726" s="147" t="s">
        <v>250</v>
      </c>
      <c r="B726" s="164"/>
      <c r="C726" s="134">
        <v>0.54861111111111105</v>
      </c>
      <c r="D726" s="165"/>
      <c r="E726" s="165"/>
      <c r="F726" s="165"/>
      <c r="G726" s="166"/>
      <c r="H726" s="167"/>
      <c r="I726" s="165"/>
      <c r="N726" s="7" t="str">
        <f t="shared" si="251"/>
        <v>#LIWGSXK3N </v>
      </c>
      <c r="O726" s="7">
        <f t="shared" si="252"/>
        <v>0</v>
      </c>
      <c r="P726" s="21">
        <f t="shared" si="250"/>
        <v>43255</v>
      </c>
      <c r="Q726" s="22">
        <f>VLOOKUP(R726,Referencias!$D$1:$E$13,2,0)</f>
        <v>6</v>
      </c>
      <c r="R726" s="7" t="str">
        <f t="shared" si="253"/>
        <v>JUN</v>
      </c>
      <c r="S726" s="7">
        <f t="shared" si="254"/>
        <v>0</v>
      </c>
      <c r="T726" s="11">
        <f t="shared" si="255"/>
        <v>4</v>
      </c>
      <c r="U726" s="11">
        <f t="shared" si="256"/>
        <v>0</v>
      </c>
      <c r="V726" s="11" t="str">
        <f>VLOOKUP(C726,Referencias!$A$2:$B$33,2,1)</f>
        <v>13 - 14</v>
      </c>
      <c r="W726" s="23" t="str">
        <f t="shared" si="257"/>
        <v/>
      </c>
      <c r="X726" s="11">
        <f t="shared" si="258"/>
        <v>0</v>
      </c>
      <c r="Y726" s="11">
        <f t="shared" si="259"/>
        <v>0</v>
      </c>
      <c r="Z726" s="24">
        <f t="shared" si="260"/>
        <v>0</v>
      </c>
      <c r="AA726" s="25">
        <f t="shared" si="261"/>
        <v>0</v>
      </c>
      <c r="AB726" s="24">
        <f t="shared" si="262"/>
        <v>0</v>
      </c>
      <c r="AC726" s="24">
        <f t="shared" si="247"/>
        <v>0</v>
      </c>
      <c r="AD726" s="24">
        <f t="shared" si="248"/>
        <v>0</v>
      </c>
      <c r="AE726" s="24">
        <f t="shared" si="249"/>
        <v>0</v>
      </c>
      <c r="AF726" s="119" t="str">
        <f>VLOOKUP(P726*1,Referencias!$G:$H,2,0)</f>
        <v>seg</v>
      </c>
    </row>
    <row r="727" spans="1:32" ht="12" customHeight="1" x14ac:dyDescent="0.25">
      <c r="A727" s="161"/>
      <c r="B727" s="161"/>
      <c r="C727" s="161"/>
      <c r="D727" s="161"/>
      <c r="E727" s="161"/>
      <c r="F727" s="161"/>
      <c r="G727" s="161"/>
      <c r="H727" s="161"/>
      <c r="I727" s="161"/>
      <c r="N727" s="7" t="str">
        <f t="shared" si="251"/>
        <v>#LIWGSXK3N </v>
      </c>
      <c r="O727" s="7">
        <f t="shared" si="252"/>
        <v>0</v>
      </c>
      <c r="P727" s="21">
        <f t="shared" si="250"/>
        <v>43255</v>
      </c>
      <c r="Q727" s="22">
        <f>VLOOKUP(R727,Referencias!$D$1:$E$13,2,0)</f>
        <v>6</v>
      </c>
      <c r="R727" s="7" t="str">
        <f t="shared" si="253"/>
        <v>JUN</v>
      </c>
      <c r="S727" s="7">
        <f t="shared" si="254"/>
        <v>0</v>
      </c>
      <c r="T727" s="11">
        <f t="shared" si="255"/>
        <v>4</v>
      </c>
      <c r="U727" s="11">
        <f t="shared" si="256"/>
        <v>0</v>
      </c>
      <c r="V727" s="11" t="e">
        <f>VLOOKUP(C727,Referencias!$A$2:$B$33,2,1)</f>
        <v>#N/A</v>
      </c>
      <c r="W727" s="23" t="str">
        <f t="shared" si="257"/>
        <v/>
      </c>
      <c r="X727" s="11">
        <f t="shared" si="258"/>
        <v>0</v>
      </c>
      <c r="Y727" s="11">
        <f t="shared" si="259"/>
        <v>0</v>
      </c>
      <c r="Z727" s="24">
        <f t="shared" si="260"/>
        <v>0</v>
      </c>
      <c r="AA727" s="25">
        <f t="shared" si="261"/>
        <v>0</v>
      </c>
      <c r="AB727" s="24">
        <f t="shared" si="262"/>
        <v>0</v>
      </c>
      <c r="AC727" s="24">
        <f t="shared" si="247"/>
        <v>0</v>
      </c>
      <c r="AD727" s="24">
        <f t="shared" si="248"/>
        <v>0</v>
      </c>
      <c r="AE727" s="24">
        <f t="shared" si="249"/>
        <v>0</v>
      </c>
      <c r="AF727" s="119" t="str">
        <f>VLOOKUP(P727*1,Referencias!$G:$H,2,0)</f>
        <v>seg</v>
      </c>
    </row>
    <row r="728" spans="1:32" ht="12" customHeight="1" x14ac:dyDescent="0.25">
      <c r="A728" s="162"/>
      <c r="B728" s="162"/>
      <c r="C728" s="162"/>
      <c r="D728" s="162"/>
      <c r="E728" s="162"/>
      <c r="F728" s="162"/>
      <c r="G728" s="162"/>
      <c r="H728" s="162"/>
      <c r="I728" s="162"/>
      <c r="N728" s="7" t="str">
        <f t="shared" si="251"/>
        <v>#LIWGSXK3N </v>
      </c>
      <c r="O728" s="7">
        <f t="shared" si="252"/>
        <v>0</v>
      </c>
      <c r="P728" s="21">
        <f t="shared" si="250"/>
        <v>43255</v>
      </c>
      <c r="Q728" s="22">
        <f>VLOOKUP(R728,Referencias!$D$1:$E$13,2,0)</f>
        <v>6</v>
      </c>
      <c r="R728" s="7" t="str">
        <f t="shared" si="253"/>
        <v>JUN</v>
      </c>
      <c r="S728" s="7">
        <f t="shared" si="254"/>
        <v>0</v>
      </c>
      <c r="T728" s="11">
        <f t="shared" si="255"/>
        <v>4</v>
      </c>
      <c r="U728" s="11">
        <f t="shared" si="256"/>
        <v>0</v>
      </c>
      <c r="V728" s="11" t="e">
        <f>VLOOKUP(C728,Referencias!$A$2:$B$33,2,1)</f>
        <v>#N/A</v>
      </c>
      <c r="W728" s="23" t="str">
        <f t="shared" si="257"/>
        <v/>
      </c>
      <c r="X728" s="11">
        <f t="shared" si="258"/>
        <v>0</v>
      </c>
      <c r="Y728" s="11">
        <f t="shared" si="259"/>
        <v>0</v>
      </c>
      <c r="Z728" s="24">
        <f t="shared" si="260"/>
        <v>0</v>
      </c>
      <c r="AA728" s="25">
        <f t="shared" si="261"/>
        <v>0</v>
      </c>
      <c r="AB728" s="24">
        <f t="shared" si="262"/>
        <v>0</v>
      </c>
      <c r="AC728" s="24">
        <f t="shared" si="247"/>
        <v>0</v>
      </c>
      <c r="AD728" s="24">
        <f t="shared" si="248"/>
        <v>0</v>
      </c>
      <c r="AE728" s="24">
        <f t="shared" si="249"/>
        <v>0</v>
      </c>
      <c r="AF728" s="119" t="str">
        <f>VLOOKUP(P728*1,Referencias!$G:$H,2,0)</f>
        <v>seg</v>
      </c>
    </row>
    <row r="729" spans="1:32" x14ac:dyDescent="0.25">
      <c r="A729" s="163"/>
      <c r="B729" s="164" t="s">
        <v>376</v>
      </c>
      <c r="C729" s="134">
        <v>0.54861111111111105</v>
      </c>
      <c r="D729" s="165">
        <v>10.95</v>
      </c>
      <c r="E729" s="165" t="s">
        <v>48</v>
      </c>
      <c r="F729" s="149">
        <v>0.81</v>
      </c>
      <c r="G729" s="166">
        <v>6.23</v>
      </c>
      <c r="H729" s="167">
        <v>229.53</v>
      </c>
      <c r="I729" s="165"/>
      <c r="N729" s="7" t="str">
        <f t="shared" si="251"/>
        <v>#LIVVV6G5V </v>
      </c>
      <c r="O729" s="7" t="str">
        <f t="shared" si="252"/>
        <v>#LIVVV6G5V </v>
      </c>
      <c r="P729" s="21">
        <f t="shared" si="250"/>
        <v>43255</v>
      </c>
      <c r="Q729" s="22">
        <f>VLOOKUP(R729,Referencias!$D$1:$E$13,2,0)</f>
        <v>6</v>
      </c>
      <c r="R729" s="7" t="str">
        <f t="shared" si="253"/>
        <v>JUN</v>
      </c>
      <c r="S729" s="7">
        <f t="shared" si="254"/>
        <v>0</v>
      </c>
      <c r="T729" s="11">
        <f t="shared" si="255"/>
        <v>4</v>
      </c>
      <c r="U729" s="11">
        <f t="shared" si="256"/>
        <v>0</v>
      </c>
      <c r="V729" s="11" t="str">
        <f>VLOOKUP(C729,Referencias!$A$2:$B$33,2,1)</f>
        <v>13 - 14</v>
      </c>
      <c r="W729" s="23">
        <f t="shared" si="257"/>
        <v>2.2916666666666696E-2</v>
      </c>
      <c r="X729" s="11">
        <f t="shared" si="258"/>
        <v>10.95</v>
      </c>
      <c r="Y729" s="11">
        <f t="shared" si="259"/>
        <v>19.336969652597283</v>
      </c>
      <c r="Z729" s="24">
        <f t="shared" si="260"/>
        <v>6.23</v>
      </c>
      <c r="AA729" s="25">
        <f t="shared" si="261"/>
        <v>11.327272727272714</v>
      </c>
      <c r="AB729" s="24">
        <f t="shared" si="262"/>
        <v>1</v>
      </c>
      <c r="AC729" s="24">
        <f t="shared" si="247"/>
        <v>4.081573392167412</v>
      </c>
      <c r="AD729" s="24">
        <f t="shared" si="248"/>
        <v>4.9451350523143329</v>
      </c>
      <c r="AE729" s="24">
        <f t="shared" si="249"/>
        <v>5.8632182816021672</v>
      </c>
      <c r="AF729" s="119" t="str">
        <f>VLOOKUP(P729*1,Referencias!$G:$H,2,0)</f>
        <v>seg</v>
      </c>
    </row>
    <row r="730" spans="1:32" ht="12" customHeight="1" x14ac:dyDescent="0.25">
      <c r="A730" s="163"/>
      <c r="B730" s="164"/>
      <c r="C730" s="134">
        <v>0.57152777777777775</v>
      </c>
      <c r="D730" s="165"/>
      <c r="E730" s="165"/>
      <c r="F730" s="145" t="s">
        <v>377</v>
      </c>
      <c r="G730" s="166"/>
      <c r="H730" s="167"/>
      <c r="I730" s="165"/>
      <c r="N730" s="7" t="str">
        <f t="shared" si="251"/>
        <v>#LIVVV6G5V </v>
      </c>
      <c r="O730" s="7">
        <f t="shared" si="252"/>
        <v>0</v>
      </c>
      <c r="P730" s="21">
        <f t="shared" si="250"/>
        <v>43255</v>
      </c>
      <c r="Q730" s="22">
        <f>VLOOKUP(R730,Referencias!$D$1:$E$13,2,0)</f>
        <v>6</v>
      </c>
      <c r="R730" s="7" t="str">
        <f t="shared" si="253"/>
        <v>JUN</v>
      </c>
      <c r="S730" s="7">
        <f t="shared" si="254"/>
        <v>0</v>
      </c>
      <c r="T730" s="11">
        <f t="shared" si="255"/>
        <v>4</v>
      </c>
      <c r="U730" s="11">
        <f t="shared" si="256"/>
        <v>0</v>
      </c>
      <c r="V730" s="11" t="str">
        <f>VLOOKUP(C730,Referencias!$A$2:$B$33,2,1)</f>
        <v>13 - 14</v>
      </c>
      <c r="W730" s="23" t="str">
        <f t="shared" si="257"/>
        <v/>
      </c>
      <c r="X730" s="11">
        <f t="shared" si="258"/>
        <v>0</v>
      </c>
      <c r="Y730" s="11">
        <f t="shared" si="259"/>
        <v>0</v>
      </c>
      <c r="Z730" s="24">
        <f t="shared" si="260"/>
        <v>0</v>
      </c>
      <c r="AA730" s="25">
        <f t="shared" si="261"/>
        <v>0</v>
      </c>
      <c r="AB730" s="24">
        <f t="shared" si="262"/>
        <v>0</v>
      </c>
      <c r="AC730" s="24">
        <f t="shared" si="247"/>
        <v>0</v>
      </c>
      <c r="AD730" s="24">
        <f t="shared" si="248"/>
        <v>0</v>
      </c>
      <c r="AE730" s="24">
        <f t="shared" si="249"/>
        <v>0</v>
      </c>
      <c r="AF730" s="119" t="str">
        <f>VLOOKUP(P730*1,Referencias!$G:$H,2,0)</f>
        <v>seg</v>
      </c>
    </row>
    <row r="731" spans="1:32" ht="12" customHeight="1" x14ac:dyDescent="0.25">
      <c r="A731" s="161"/>
      <c r="B731" s="161"/>
      <c r="C731" s="161"/>
      <c r="D731" s="161"/>
      <c r="E731" s="161"/>
      <c r="F731" s="161"/>
      <c r="G731" s="161"/>
      <c r="H731" s="161"/>
      <c r="I731" s="161"/>
      <c r="N731" s="7" t="str">
        <f t="shared" si="251"/>
        <v>#LIVVV6G5V </v>
      </c>
      <c r="O731" s="7">
        <f t="shared" si="252"/>
        <v>0</v>
      </c>
      <c r="P731" s="21">
        <f t="shared" si="250"/>
        <v>43255</v>
      </c>
      <c r="Q731" s="22">
        <f>VLOOKUP(R731,Referencias!$D$1:$E$13,2,0)</f>
        <v>6</v>
      </c>
      <c r="R731" s="7" t="str">
        <f t="shared" si="253"/>
        <v>JUN</v>
      </c>
      <c r="S731" s="7">
        <f t="shared" si="254"/>
        <v>0</v>
      </c>
      <c r="T731" s="11">
        <f t="shared" si="255"/>
        <v>4</v>
      </c>
      <c r="U731" s="11">
        <f t="shared" si="256"/>
        <v>0</v>
      </c>
      <c r="V731" s="11" t="e">
        <f>VLOOKUP(C731,Referencias!$A$2:$B$33,2,1)</f>
        <v>#N/A</v>
      </c>
      <c r="W731" s="23" t="str">
        <f t="shared" si="257"/>
        <v/>
      </c>
      <c r="X731" s="11">
        <f t="shared" si="258"/>
        <v>0</v>
      </c>
      <c r="Y731" s="11">
        <f t="shared" si="259"/>
        <v>0</v>
      </c>
      <c r="Z731" s="24">
        <f t="shared" si="260"/>
        <v>0</v>
      </c>
      <c r="AA731" s="25">
        <f t="shared" si="261"/>
        <v>0</v>
      </c>
      <c r="AB731" s="24">
        <f t="shared" si="262"/>
        <v>0</v>
      </c>
      <c r="AC731" s="24">
        <f t="shared" si="247"/>
        <v>0</v>
      </c>
      <c r="AD731" s="24">
        <f t="shared" si="248"/>
        <v>0</v>
      </c>
      <c r="AE731" s="24">
        <f t="shared" si="249"/>
        <v>0</v>
      </c>
      <c r="AF731" s="119" t="str">
        <f>VLOOKUP(P731*1,Referencias!$G:$H,2,0)</f>
        <v>seg</v>
      </c>
    </row>
    <row r="732" spans="1:32" ht="12" customHeight="1" x14ac:dyDescent="0.25">
      <c r="A732" s="162"/>
      <c r="B732" s="162"/>
      <c r="C732" s="162"/>
      <c r="D732" s="162"/>
      <c r="E732" s="162"/>
      <c r="F732" s="162"/>
      <c r="G732" s="162"/>
      <c r="H732" s="162"/>
      <c r="I732" s="162"/>
      <c r="N732" s="7" t="str">
        <f t="shared" si="251"/>
        <v>#LIVVV6G5V </v>
      </c>
      <c r="O732" s="7">
        <f t="shared" si="252"/>
        <v>0</v>
      </c>
      <c r="P732" s="21">
        <f t="shared" si="250"/>
        <v>43255</v>
      </c>
      <c r="Q732" s="22">
        <f>VLOOKUP(R732,Referencias!$D$1:$E$13,2,0)</f>
        <v>6</v>
      </c>
      <c r="R732" s="7" t="str">
        <f t="shared" si="253"/>
        <v>JUN</v>
      </c>
      <c r="S732" s="7">
        <f t="shared" si="254"/>
        <v>0</v>
      </c>
      <c r="T732" s="11">
        <f t="shared" si="255"/>
        <v>4</v>
      </c>
      <c r="U732" s="11">
        <f t="shared" si="256"/>
        <v>0</v>
      </c>
      <c r="V732" s="11" t="e">
        <f>VLOOKUP(C732,Referencias!$A$2:$B$33,2,1)</f>
        <v>#N/A</v>
      </c>
      <c r="W732" s="23" t="str">
        <f t="shared" si="257"/>
        <v/>
      </c>
      <c r="X732" s="11">
        <f t="shared" si="258"/>
        <v>0</v>
      </c>
      <c r="Y732" s="11">
        <f t="shared" si="259"/>
        <v>0</v>
      </c>
      <c r="Z732" s="24">
        <f t="shared" si="260"/>
        <v>0</v>
      </c>
      <c r="AA732" s="25">
        <f t="shared" si="261"/>
        <v>0</v>
      </c>
      <c r="AB732" s="24">
        <f t="shared" si="262"/>
        <v>0</v>
      </c>
      <c r="AC732" s="24">
        <f t="shared" si="247"/>
        <v>0</v>
      </c>
      <c r="AD732" s="24">
        <f t="shared" si="248"/>
        <v>0</v>
      </c>
      <c r="AE732" s="24">
        <f t="shared" si="249"/>
        <v>0</v>
      </c>
      <c r="AF732" s="119" t="str">
        <f>VLOOKUP(P732*1,Referencias!$G:$H,2,0)</f>
        <v>seg</v>
      </c>
    </row>
    <row r="733" spans="1:32" x14ac:dyDescent="0.25">
      <c r="A733" s="163"/>
      <c r="B733" s="164" t="s">
        <v>378</v>
      </c>
      <c r="C733" s="134">
        <v>0.57152777777777775</v>
      </c>
      <c r="D733" s="165">
        <v>10.11</v>
      </c>
      <c r="E733" s="165" t="s">
        <v>53</v>
      </c>
      <c r="F733" s="149">
        <v>1.5</v>
      </c>
      <c r="G733" s="166">
        <v>6.53</v>
      </c>
      <c r="H733" s="167">
        <v>236.06</v>
      </c>
      <c r="I733" s="165"/>
      <c r="N733" s="7" t="str">
        <f t="shared" si="251"/>
        <v>#LIMHRMT2Y </v>
      </c>
      <c r="O733" s="7" t="str">
        <f t="shared" si="252"/>
        <v>#LIMHRMT2Y </v>
      </c>
      <c r="P733" s="21">
        <f t="shared" si="250"/>
        <v>43255</v>
      </c>
      <c r="Q733" s="22">
        <f>VLOOKUP(R733,Referencias!$D$1:$E$13,2,0)</f>
        <v>6</v>
      </c>
      <c r="R733" s="7" t="str">
        <f t="shared" si="253"/>
        <v>JUN</v>
      </c>
      <c r="S733" s="7">
        <f t="shared" si="254"/>
        <v>0</v>
      </c>
      <c r="T733" s="11">
        <f t="shared" si="255"/>
        <v>4</v>
      </c>
      <c r="U733" s="11">
        <f t="shared" si="256"/>
        <v>0</v>
      </c>
      <c r="V733" s="11" t="str">
        <f>VLOOKUP(C733,Referencias!$A$2:$B$33,2,1)</f>
        <v>13 - 14</v>
      </c>
      <c r="W733" s="23">
        <f t="shared" si="257"/>
        <v>2.5694444444444464E-2</v>
      </c>
      <c r="X733" s="11">
        <f t="shared" si="258"/>
        <v>10.11</v>
      </c>
      <c r="Y733" s="11">
        <f t="shared" si="259"/>
        <v>17.853585679247352</v>
      </c>
      <c r="Z733" s="24">
        <f t="shared" si="260"/>
        <v>6.53</v>
      </c>
      <c r="AA733" s="25">
        <f t="shared" si="261"/>
        <v>10.589189189189181</v>
      </c>
      <c r="AB733" s="24">
        <f t="shared" si="262"/>
        <v>1</v>
      </c>
      <c r="AC733" s="24">
        <f t="shared" si="247"/>
        <v>4.2781178572798071</v>
      </c>
      <c r="AD733" s="24">
        <f t="shared" si="248"/>
        <v>5.1832635460052314</v>
      </c>
      <c r="AE733" s="24">
        <f t="shared" si="249"/>
        <v>6.1455562405878252</v>
      </c>
      <c r="AF733" s="119" t="str">
        <f>VLOOKUP(P733*1,Referencias!$G:$H,2,0)</f>
        <v>seg</v>
      </c>
    </row>
    <row r="734" spans="1:32" ht="12" customHeight="1" x14ac:dyDescent="0.25">
      <c r="A734" s="163"/>
      <c r="B734" s="164"/>
      <c r="C734" s="134">
        <v>0.59722222222222221</v>
      </c>
      <c r="D734" s="165"/>
      <c r="E734" s="165"/>
      <c r="F734" s="145" t="s">
        <v>377</v>
      </c>
      <c r="G734" s="166"/>
      <c r="H734" s="167"/>
      <c r="I734" s="165"/>
      <c r="N734" s="7" t="str">
        <f t="shared" si="251"/>
        <v>#LIMHRMT2Y </v>
      </c>
      <c r="O734" s="7">
        <f t="shared" si="252"/>
        <v>0</v>
      </c>
      <c r="P734" s="21">
        <f t="shared" si="250"/>
        <v>43255</v>
      </c>
      <c r="Q734" s="22">
        <f>VLOOKUP(R734,Referencias!$D$1:$E$13,2,0)</f>
        <v>6</v>
      </c>
      <c r="R734" s="7" t="str">
        <f t="shared" si="253"/>
        <v>JUN</v>
      </c>
      <c r="S734" s="7">
        <f t="shared" si="254"/>
        <v>0</v>
      </c>
      <c r="T734" s="11">
        <f t="shared" si="255"/>
        <v>4</v>
      </c>
      <c r="U734" s="11">
        <f t="shared" si="256"/>
        <v>0</v>
      </c>
      <c r="V734" s="11" t="str">
        <f>VLOOKUP(C734,Referencias!$A$2:$B$33,2,1)</f>
        <v>14 - 15</v>
      </c>
      <c r="W734" s="23" t="str">
        <f t="shared" si="257"/>
        <v/>
      </c>
      <c r="X734" s="11">
        <f t="shared" si="258"/>
        <v>0</v>
      </c>
      <c r="Y734" s="11">
        <f t="shared" si="259"/>
        <v>0</v>
      </c>
      <c r="Z734" s="24">
        <f t="shared" si="260"/>
        <v>0</v>
      </c>
      <c r="AA734" s="25">
        <f t="shared" si="261"/>
        <v>0</v>
      </c>
      <c r="AB734" s="24">
        <f t="shared" si="262"/>
        <v>0</v>
      </c>
      <c r="AC734" s="24">
        <f t="shared" si="247"/>
        <v>0</v>
      </c>
      <c r="AD734" s="24">
        <f t="shared" si="248"/>
        <v>0</v>
      </c>
      <c r="AE734" s="24">
        <f t="shared" si="249"/>
        <v>0</v>
      </c>
      <c r="AF734" s="119" t="str">
        <f>VLOOKUP(P734*1,Referencias!$G:$H,2,0)</f>
        <v>seg</v>
      </c>
    </row>
    <row r="735" spans="1:32" ht="12" customHeight="1" x14ac:dyDescent="0.25">
      <c r="A735" s="161"/>
      <c r="B735" s="161"/>
      <c r="C735" s="161"/>
      <c r="D735" s="161"/>
      <c r="E735" s="161"/>
      <c r="F735" s="161"/>
      <c r="G735" s="161"/>
      <c r="H735" s="161"/>
      <c r="I735" s="161"/>
      <c r="N735" s="7" t="str">
        <f t="shared" si="251"/>
        <v>#LIMHRMT2Y </v>
      </c>
      <c r="O735" s="7">
        <f t="shared" si="252"/>
        <v>0</v>
      </c>
      <c r="P735" s="21">
        <f t="shared" si="250"/>
        <v>43255</v>
      </c>
      <c r="Q735" s="22">
        <f>VLOOKUP(R735,Referencias!$D$1:$E$13,2,0)</f>
        <v>6</v>
      </c>
      <c r="R735" s="7" t="str">
        <f t="shared" si="253"/>
        <v>JUN</v>
      </c>
      <c r="S735" s="7">
        <f t="shared" si="254"/>
        <v>0</v>
      </c>
      <c r="T735" s="11">
        <f t="shared" si="255"/>
        <v>4</v>
      </c>
      <c r="U735" s="11">
        <f t="shared" si="256"/>
        <v>0</v>
      </c>
      <c r="V735" s="11" t="e">
        <f>VLOOKUP(C735,Referencias!$A$2:$B$33,2,1)</f>
        <v>#N/A</v>
      </c>
      <c r="W735" s="23" t="str">
        <f t="shared" si="257"/>
        <v/>
      </c>
      <c r="X735" s="11">
        <f t="shared" si="258"/>
        <v>0</v>
      </c>
      <c r="Y735" s="11">
        <f t="shared" si="259"/>
        <v>0</v>
      </c>
      <c r="Z735" s="24">
        <f t="shared" si="260"/>
        <v>0</v>
      </c>
      <c r="AA735" s="25">
        <f t="shared" si="261"/>
        <v>0</v>
      </c>
      <c r="AB735" s="24">
        <f t="shared" si="262"/>
        <v>0</v>
      </c>
      <c r="AC735" s="24">
        <f t="shared" si="247"/>
        <v>0</v>
      </c>
      <c r="AD735" s="24">
        <f t="shared" si="248"/>
        <v>0</v>
      </c>
      <c r="AE735" s="24">
        <f t="shared" si="249"/>
        <v>0</v>
      </c>
      <c r="AF735" s="119" t="str">
        <f>VLOOKUP(P735*1,Referencias!$G:$H,2,0)</f>
        <v>seg</v>
      </c>
    </row>
    <row r="736" spans="1:32" ht="12" customHeight="1" x14ac:dyDescent="0.25">
      <c r="A736" s="162"/>
      <c r="B736" s="162"/>
      <c r="C736" s="162"/>
      <c r="D736" s="162"/>
      <c r="E736" s="162"/>
      <c r="F736" s="162"/>
      <c r="G736" s="162"/>
      <c r="H736" s="162"/>
      <c r="I736" s="162"/>
      <c r="N736" s="7" t="str">
        <f t="shared" si="251"/>
        <v>#LIMHRMT2Y </v>
      </c>
      <c r="O736" s="7">
        <f t="shared" si="252"/>
        <v>0</v>
      </c>
      <c r="P736" s="21">
        <f t="shared" si="250"/>
        <v>43255</v>
      </c>
      <c r="Q736" s="22">
        <f>VLOOKUP(R736,Referencias!$D$1:$E$13,2,0)</f>
        <v>6</v>
      </c>
      <c r="R736" s="7" t="str">
        <f t="shared" si="253"/>
        <v>JUN</v>
      </c>
      <c r="S736" s="7">
        <f t="shared" si="254"/>
        <v>0</v>
      </c>
      <c r="T736" s="11">
        <f t="shared" si="255"/>
        <v>4</v>
      </c>
      <c r="U736" s="11">
        <f t="shared" si="256"/>
        <v>0</v>
      </c>
      <c r="V736" s="11" t="e">
        <f>VLOOKUP(C736,Referencias!$A$2:$B$33,2,1)</f>
        <v>#N/A</v>
      </c>
      <c r="W736" s="23" t="str">
        <f t="shared" si="257"/>
        <v/>
      </c>
      <c r="X736" s="11">
        <f t="shared" si="258"/>
        <v>0</v>
      </c>
      <c r="Y736" s="11">
        <f t="shared" si="259"/>
        <v>0</v>
      </c>
      <c r="Z736" s="24">
        <f t="shared" si="260"/>
        <v>0</v>
      </c>
      <c r="AA736" s="25">
        <f t="shared" si="261"/>
        <v>0</v>
      </c>
      <c r="AB736" s="24">
        <f t="shared" si="262"/>
        <v>0</v>
      </c>
      <c r="AC736" s="24">
        <f t="shared" si="247"/>
        <v>0</v>
      </c>
      <c r="AD736" s="24">
        <f t="shared" si="248"/>
        <v>0</v>
      </c>
      <c r="AE736" s="24">
        <f t="shared" si="249"/>
        <v>0</v>
      </c>
      <c r="AF736" s="119" t="str">
        <f>VLOOKUP(P736*1,Referencias!$G:$H,2,0)</f>
        <v>seg</v>
      </c>
    </row>
    <row r="737" spans="1:32" x14ac:dyDescent="0.25">
      <c r="A737" s="163"/>
      <c r="B737" s="164" t="s">
        <v>379</v>
      </c>
      <c r="C737" s="134">
        <v>0.59722222222222221</v>
      </c>
      <c r="D737" s="165">
        <v>3.4</v>
      </c>
      <c r="E737" s="165" t="s">
        <v>17</v>
      </c>
      <c r="F737" s="165"/>
      <c r="G737" s="166">
        <v>2.68</v>
      </c>
      <c r="H737" s="167">
        <v>238.74</v>
      </c>
      <c r="I737" s="165"/>
      <c r="N737" s="7" t="str">
        <f t="shared" si="251"/>
        <v>#LILTKETTX </v>
      </c>
      <c r="O737" s="7" t="str">
        <f t="shared" si="252"/>
        <v>#LILTKETTX </v>
      </c>
      <c r="P737" s="21">
        <f t="shared" si="250"/>
        <v>43255</v>
      </c>
      <c r="Q737" s="22">
        <f>VLOOKUP(R737,Referencias!$D$1:$E$13,2,0)</f>
        <v>6</v>
      </c>
      <c r="R737" s="7" t="str">
        <f t="shared" si="253"/>
        <v>JUN</v>
      </c>
      <c r="S737" s="7">
        <f t="shared" si="254"/>
        <v>0</v>
      </c>
      <c r="T737" s="11">
        <f t="shared" si="255"/>
        <v>4</v>
      </c>
      <c r="U737" s="11">
        <f t="shared" si="256"/>
        <v>0</v>
      </c>
      <c r="V737" s="11" t="str">
        <f>VLOOKUP(C737,Referencias!$A$2:$B$33,2,1)</f>
        <v>14 - 15</v>
      </c>
      <c r="W737" s="23">
        <f t="shared" si="257"/>
        <v>1.8055555555555602E-2</v>
      </c>
      <c r="X737" s="11">
        <f t="shared" si="258"/>
        <v>3.4</v>
      </c>
      <c r="Y737" s="11">
        <f t="shared" si="259"/>
        <v>6.0041732254639966</v>
      </c>
      <c r="Z737" s="24">
        <f t="shared" si="260"/>
        <v>2.68</v>
      </c>
      <c r="AA737" s="25">
        <f t="shared" si="261"/>
        <v>6.1846153846153689</v>
      </c>
      <c r="AB737" s="24">
        <f t="shared" si="262"/>
        <v>1</v>
      </c>
      <c r="AC737" s="24">
        <f t="shared" si="247"/>
        <v>1.7557972216707325</v>
      </c>
      <c r="AD737" s="24">
        <f t="shared" si="248"/>
        <v>2.1272812103053629</v>
      </c>
      <c r="AE737" s="24">
        <f t="shared" si="249"/>
        <v>2.5222191002718795</v>
      </c>
      <c r="AF737" s="119" t="str">
        <f>VLOOKUP(P737*1,Referencias!$G:$H,2,0)</f>
        <v>seg</v>
      </c>
    </row>
    <row r="738" spans="1:32" ht="12" customHeight="1" x14ac:dyDescent="0.25">
      <c r="A738" s="163"/>
      <c r="B738" s="164"/>
      <c r="C738" s="134">
        <v>0.61527777777777781</v>
      </c>
      <c r="D738" s="165"/>
      <c r="E738" s="165"/>
      <c r="F738" s="165"/>
      <c r="G738" s="166"/>
      <c r="H738" s="167"/>
      <c r="I738" s="165"/>
      <c r="N738" s="7" t="str">
        <f t="shared" si="251"/>
        <v>#LILTKETTX </v>
      </c>
      <c r="O738" s="7">
        <f t="shared" si="252"/>
        <v>0</v>
      </c>
      <c r="P738" s="21">
        <f t="shared" si="250"/>
        <v>43255</v>
      </c>
      <c r="Q738" s="22">
        <f>VLOOKUP(R738,Referencias!$D$1:$E$13,2,0)</f>
        <v>6</v>
      </c>
      <c r="R738" s="7" t="str">
        <f t="shared" si="253"/>
        <v>JUN</v>
      </c>
      <c r="S738" s="7">
        <f t="shared" si="254"/>
        <v>0</v>
      </c>
      <c r="T738" s="11">
        <f t="shared" si="255"/>
        <v>4</v>
      </c>
      <c r="U738" s="11">
        <f t="shared" si="256"/>
        <v>0</v>
      </c>
      <c r="V738" s="11" t="str">
        <f>VLOOKUP(C738,Referencias!$A$2:$B$33,2,1)</f>
        <v>14 - 15</v>
      </c>
      <c r="W738" s="23" t="str">
        <f t="shared" si="257"/>
        <v/>
      </c>
      <c r="X738" s="11">
        <f t="shared" si="258"/>
        <v>0</v>
      </c>
      <c r="Y738" s="11">
        <f t="shared" si="259"/>
        <v>0</v>
      </c>
      <c r="Z738" s="24">
        <f t="shared" si="260"/>
        <v>0</v>
      </c>
      <c r="AA738" s="25">
        <f t="shared" si="261"/>
        <v>0</v>
      </c>
      <c r="AB738" s="24">
        <f t="shared" si="262"/>
        <v>0</v>
      </c>
      <c r="AC738" s="24">
        <f t="shared" si="247"/>
        <v>0</v>
      </c>
      <c r="AD738" s="24">
        <f t="shared" si="248"/>
        <v>0</v>
      </c>
      <c r="AE738" s="24">
        <f t="shared" si="249"/>
        <v>0</v>
      </c>
      <c r="AF738" s="119" t="str">
        <f>VLOOKUP(P738*1,Referencias!$G:$H,2,0)</f>
        <v>seg</v>
      </c>
    </row>
    <row r="739" spans="1:32" ht="12" customHeight="1" x14ac:dyDescent="0.25">
      <c r="A739" s="161"/>
      <c r="B739" s="161"/>
      <c r="C739" s="161"/>
      <c r="D739" s="161"/>
      <c r="E739" s="161"/>
      <c r="F739" s="161"/>
      <c r="G739" s="161"/>
      <c r="H739" s="161"/>
      <c r="I739" s="161"/>
      <c r="N739" s="7" t="str">
        <f t="shared" si="251"/>
        <v>#LILTKETTX </v>
      </c>
      <c r="O739" s="7">
        <f t="shared" si="252"/>
        <v>0</v>
      </c>
      <c r="P739" s="21">
        <f t="shared" si="250"/>
        <v>43255</v>
      </c>
      <c r="Q739" s="22">
        <f>VLOOKUP(R739,Referencias!$D$1:$E$13,2,0)</f>
        <v>6</v>
      </c>
      <c r="R739" s="7" t="str">
        <f t="shared" si="253"/>
        <v>JUN</v>
      </c>
      <c r="S739" s="7">
        <f t="shared" si="254"/>
        <v>0</v>
      </c>
      <c r="T739" s="11">
        <f t="shared" si="255"/>
        <v>4</v>
      </c>
      <c r="U739" s="11">
        <f t="shared" si="256"/>
        <v>0</v>
      </c>
      <c r="V739" s="11" t="e">
        <f>VLOOKUP(C739,Referencias!$A$2:$B$33,2,1)</f>
        <v>#N/A</v>
      </c>
      <c r="W739" s="23" t="str">
        <f t="shared" si="257"/>
        <v/>
      </c>
      <c r="X739" s="11">
        <f t="shared" si="258"/>
        <v>0</v>
      </c>
      <c r="Y739" s="11">
        <f t="shared" si="259"/>
        <v>0</v>
      </c>
      <c r="Z739" s="24">
        <f t="shared" si="260"/>
        <v>0</v>
      </c>
      <c r="AA739" s="25">
        <f t="shared" si="261"/>
        <v>0</v>
      </c>
      <c r="AB739" s="24">
        <f t="shared" si="262"/>
        <v>0</v>
      </c>
      <c r="AC739" s="24">
        <f t="shared" si="247"/>
        <v>0</v>
      </c>
      <c r="AD739" s="24">
        <f t="shared" si="248"/>
        <v>0</v>
      </c>
      <c r="AE739" s="24">
        <f t="shared" si="249"/>
        <v>0</v>
      </c>
      <c r="AF739" s="119" t="str">
        <f>VLOOKUP(P739*1,Referencias!$G:$H,2,0)</f>
        <v>seg</v>
      </c>
    </row>
    <row r="740" spans="1:32" ht="12" customHeight="1" x14ac:dyDescent="0.25">
      <c r="A740" s="162"/>
      <c r="B740" s="162"/>
      <c r="C740" s="162"/>
      <c r="D740" s="162"/>
      <c r="E740" s="162"/>
      <c r="F740" s="162"/>
      <c r="G740" s="162"/>
      <c r="H740" s="162"/>
      <c r="I740" s="162"/>
      <c r="N740" s="7" t="str">
        <f t="shared" si="251"/>
        <v>#LILTKETTX </v>
      </c>
      <c r="O740" s="7">
        <f t="shared" si="252"/>
        <v>0</v>
      </c>
      <c r="P740" s="21">
        <f t="shared" si="250"/>
        <v>43255</v>
      </c>
      <c r="Q740" s="22">
        <f>VLOOKUP(R740,Referencias!$D$1:$E$13,2,0)</f>
        <v>6</v>
      </c>
      <c r="R740" s="7" t="str">
        <f t="shared" si="253"/>
        <v>JUN</v>
      </c>
      <c r="S740" s="7">
        <f t="shared" si="254"/>
        <v>0</v>
      </c>
      <c r="T740" s="11">
        <f t="shared" si="255"/>
        <v>4</v>
      </c>
      <c r="U740" s="11">
        <f t="shared" si="256"/>
        <v>0</v>
      </c>
      <c r="V740" s="11" t="e">
        <f>VLOOKUP(C740,Referencias!$A$2:$B$33,2,1)</f>
        <v>#N/A</v>
      </c>
      <c r="W740" s="23" t="str">
        <f t="shared" si="257"/>
        <v/>
      </c>
      <c r="X740" s="11">
        <f t="shared" si="258"/>
        <v>0</v>
      </c>
      <c r="Y740" s="11">
        <f t="shared" si="259"/>
        <v>0</v>
      </c>
      <c r="Z740" s="24">
        <f t="shared" si="260"/>
        <v>0</v>
      </c>
      <c r="AA740" s="25">
        <f t="shared" si="261"/>
        <v>0</v>
      </c>
      <c r="AB740" s="24">
        <f t="shared" si="262"/>
        <v>0</v>
      </c>
      <c r="AC740" s="24">
        <f t="shared" si="247"/>
        <v>0</v>
      </c>
      <c r="AD740" s="24">
        <f t="shared" si="248"/>
        <v>0</v>
      </c>
      <c r="AE740" s="24">
        <f t="shared" si="249"/>
        <v>0</v>
      </c>
      <c r="AF740" s="119" t="str">
        <f>VLOOKUP(P740*1,Referencias!$G:$H,2,0)</f>
        <v>seg</v>
      </c>
    </row>
    <row r="741" spans="1:32" x14ac:dyDescent="0.25">
      <c r="A741" s="163"/>
      <c r="B741" s="164" t="s">
        <v>380</v>
      </c>
      <c r="C741" s="134">
        <v>0.81388888888888899</v>
      </c>
      <c r="D741" s="165">
        <v>8.4600000000000009</v>
      </c>
      <c r="E741" s="165" t="s">
        <v>381</v>
      </c>
      <c r="F741" s="165"/>
      <c r="G741" s="166">
        <v>4.45</v>
      </c>
      <c r="H741" s="167">
        <v>243.19</v>
      </c>
      <c r="I741" s="165"/>
      <c r="N741" s="7" t="str">
        <f t="shared" si="251"/>
        <v>#LISTUETWJ </v>
      </c>
      <c r="O741" s="7" t="str">
        <f t="shared" si="252"/>
        <v>#LISTUETWJ </v>
      </c>
      <c r="P741" s="21">
        <f t="shared" si="250"/>
        <v>43255</v>
      </c>
      <c r="Q741" s="22">
        <f>VLOOKUP(R741,Referencias!$D$1:$E$13,2,0)</f>
        <v>6</v>
      </c>
      <c r="R741" s="7" t="str">
        <f t="shared" si="253"/>
        <v>JUN</v>
      </c>
      <c r="S741" s="7">
        <f t="shared" si="254"/>
        <v>0</v>
      </c>
      <c r="T741" s="11">
        <f t="shared" si="255"/>
        <v>4</v>
      </c>
      <c r="U741" s="11">
        <f t="shared" si="256"/>
        <v>0</v>
      </c>
      <c r="V741" s="11" t="str">
        <f>VLOOKUP(C741,Referencias!$A$2:$B$33,2,1)</f>
        <v>19 - 20</v>
      </c>
      <c r="W741" s="23">
        <f t="shared" si="257"/>
        <v>3.5416666666666541E-2</v>
      </c>
      <c r="X741" s="11">
        <f t="shared" si="258"/>
        <v>8.4600000000000009</v>
      </c>
      <c r="Y741" s="11">
        <f t="shared" si="259"/>
        <v>14.93979573159571</v>
      </c>
      <c r="Z741" s="24">
        <f t="shared" si="260"/>
        <v>4.45</v>
      </c>
      <c r="AA741" s="25">
        <f t="shared" si="261"/>
        <v>5.2352941176470775</v>
      </c>
      <c r="AB741" s="24">
        <f t="shared" si="262"/>
        <v>1</v>
      </c>
      <c r="AC741" s="24">
        <f t="shared" si="247"/>
        <v>2.9154095658338655</v>
      </c>
      <c r="AD741" s="24">
        <f t="shared" si="248"/>
        <v>3.532239323081666</v>
      </c>
      <c r="AE741" s="24">
        <f t="shared" si="249"/>
        <v>4.1880130582872619</v>
      </c>
      <c r="AF741" s="119" t="str">
        <f>VLOOKUP(P741*1,Referencias!$G:$H,2,0)</f>
        <v>seg</v>
      </c>
    </row>
    <row r="742" spans="1:32" ht="12" customHeight="1" x14ac:dyDescent="0.25">
      <c r="A742" s="163"/>
      <c r="B742" s="164"/>
      <c r="C742" s="134">
        <v>0.84930555555555554</v>
      </c>
      <c r="D742" s="165"/>
      <c r="E742" s="165"/>
      <c r="F742" s="165"/>
      <c r="G742" s="166"/>
      <c r="H742" s="167"/>
      <c r="I742" s="165"/>
      <c r="N742" s="7" t="str">
        <f t="shared" si="251"/>
        <v>#LISTUETWJ </v>
      </c>
      <c r="O742" s="7">
        <f t="shared" si="252"/>
        <v>0</v>
      </c>
      <c r="P742" s="21">
        <f t="shared" si="250"/>
        <v>43255</v>
      </c>
      <c r="Q742" s="22">
        <f>VLOOKUP(R742,Referencias!$D$1:$E$13,2,0)</f>
        <v>6</v>
      </c>
      <c r="R742" s="7" t="str">
        <f t="shared" si="253"/>
        <v>JUN</v>
      </c>
      <c r="S742" s="7">
        <f t="shared" si="254"/>
        <v>0</v>
      </c>
      <c r="T742" s="11">
        <f t="shared" si="255"/>
        <v>4</v>
      </c>
      <c r="U742" s="11">
        <f t="shared" si="256"/>
        <v>0</v>
      </c>
      <c r="V742" s="11" t="str">
        <f>VLOOKUP(C742,Referencias!$A$2:$B$33,2,1)</f>
        <v>20 - 21</v>
      </c>
      <c r="W742" s="23" t="str">
        <f t="shared" si="257"/>
        <v/>
      </c>
      <c r="X742" s="11">
        <f t="shared" si="258"/>
        <v>0</v>
      </c>
      <c r="Y742" s="11">
        <f t="shared" si="259"/>
        <v>0</v>
      </c>
      <c r="Z742" s="24">
        <f t="shared" si="260"/>
        <v>0</v>
      </c>
      <c r="AA742" s="25">
        <f t="shared" si="261"/>
        <v>0</v>
      </c>
      <c r="AB742" s="24">
        <f t="shared" si="262"/>
        <v>0</v>
      </c>
      <c r="AC742" s="24">
        <f t="shared" si="247"/>
        <v>0</v>
      </c>
      <c r="AD742" s="24">
        <f t="shared" si="248"/>
        <v>0</v>
      </c>
      <c r="AE742" s="24">
        <f t="shared" si="249"/>
        <v>0</v>
      </c>
      <c r="AF742" s="119" t="str">
        <f>VLOOKUP(P742*1,Referencias!$G:$H,2,0)</f>
        <v>seg</v>
      </c>
    </row>
    <row r="743" spans="1:32" ht="12" customHeight="1" x14ac:dyDescent="0.25">
      <c r="A743" s="161"/>
      <c r="B743" s="161"/>
      <c r="C743" s="161"/>
      <c r="D743" s="161"/>
      <c r="E743" s="161"/>
      <c r="F743" s="161"/>
      <c r="G743" s="161"/>
      <c r="H743" s="161"/>
      <c r="I743" s="161"/>
      <c r="N743" s="7" t="str">
        <f t="shared" si="251"/>
        <v>#LISTUETWJ </v>
      </c>
      <c r="O743" s="7">
        <f t="shared" si="252"/>
        <v>0</v>
      </c>
      <c r="P743" s="21">
        <f t="shared" si="250"/>
        <v>43255</v>
      </c>
      <c r="Q743" s="22">
        <f>VLOOKUP(R743,Referencias!$D$1:$E$13,2,0)</f>
        <v>6</v>
      </c>
      <c r="R743" s="7" t="str">
        <f t="shared" si="253"/>
        <v>JUN</v>
      </c>
      <c r="S743" s="7">
        <f t="shared" si="254"/>
        <v>0</v>
      </c>
      <c r="T743" s="11">
        <f t="shared" si="255"/>
        <v>4</v>
      </c>
      <c r="U743" s="11">
        <f t="shared" si="256"/>
        <v>0</v>
      </c>
      <c r="V743" s="11" t="e">
        <f>VLOOKUP(C743,Referencias!$A$2:$B$33,2,1)</f>
        <v>#N/A</v>
      </c>
      <c r="W743" s="23" t="str">
        <f t="shared" si="257"/>
        <v/>
      </c>
      <c r="X743" s="11">
        <f t="shared" si="258"/>
        <v>0</v>
      </c>
      <c r="Y743" s="11">
        <f t="shared" si="259"/>
        <v>0</v>
      </c>
      <c r="Z743" s="24">
        <f t="shared" si="260"/>
        <v>0</v>
      </c>
      <c r="AA743" s="25">
        <f t="shared" si="261"/>
        <v>0</v>
      </c>
      <c r="AB743" s="24">
        <f t="shared" si="262"/>
        <v>0</v>
      </c>
      <c r="AC743" s="24">
        <f t="shared" si="247"/>
        <v>0</v>
      </c>
      <c r="AD743" s="24">
        <f t="shared" si="248"/>
        <v>0</v>
      </c>
      <c r="AE743" s="24">
        <f t="shared" si="249"/>
        <v>0</v>
      </c>
      <c r="AF743" s="119" t="str">
        <f>VLOOKUP(P743*1,Referencias!$G:$H,2,0)</f>
        <v>seg</v>
      </c>
    </row>
    <row r="744" spans="1:32" ht="12" customHeight="1" x14ac:dyDescent="0.25">
      <c r="A744" s="162"/>
      <c r="B744" s="162"/>
      <c r="C744" s="162"/>
      <c r="D744" s="162"/>
      <c r="E744" s="162"/>
      <c r="F744" s="162"/>
      <c r="G744" s="162"/>
      <c r="H744" s="162"/>
      <c r="I744" s="162"/>
      <c r="N744" s="7" t="str">
        <f t="shared" si="251"/>
        <v>#LISTUETWJ </v>
      </c>
      <c r="O744" s="7">
        <f t="shared" si="252"/>
        <v>0</v>
      </c>
      <c r="P744" s="21">
        <f t="shared" si="250"/>
        <v>43255</v>
      </c>
      <c r="Q744" s="22">
        <f>VLOOKUP(R744,Referencias!$D$1:$E$13,2,0)</f>
        <v>6</v>
      </c>
      <c r="R744" s="7" t="str">
        <f t="shared" si="253"/>
        <v>JUN</v>
      </c>
      <c r="S744" s="7">
        <f t="shared" si="254"/>
        <v>0</v>
      </c>
      <c r="T744" s="11">
        <f t="shared" si="255"/>
        <v>4</v>
      </c>
      <c r="U744" s="11">
        <f t="shared" si="256"/>
        <v>0</v>
      </c>
      <c r="V744" s="11" t="e">
        <f>VLOOKUP(C744,Referencias!$A$2:$B$33,2,1)</f>
        <v>#N/A</v>
      </c>
      <c r="W744" s="23" t="str">
        <f t="shared" si="257"/>
        <v/>
      </c>
      <c r="X744" s="11">
        <f t="shared" si="258"/>
        <v>0</v>
      </c>
      <c r="Y744" s="11">
        <f t="shared" si="259"/>
        <v>0</v>
      </c>
      <c r="Z744" s="24">
        <f t="shared" si="260"/>
        <v>0</v>
      </c>
      <c r="AA744" s="25">
        <f t="shared" si="261"/>
        <v>0</v>
      </c>
      <c r="AB744" s="24">
        <f t="shared" si="262"/>
        <v>0</v>
      </c>
      <c r="AC744" s="24">
        <f t="shared" si="247"/>
        <v>0</v>
      </c>
      <c r="AD744" s="24">
        <f t="shared" si="248"/>
        <v>0</v>
      </c>
      <c r="AE744" s="24">
        <f t="shared" si="249"/>
        <v>0</v>
      </c>
      <c r="AF744" s="119" t="str">
        <f>VLOOKUP(P744*1,Referencias!$G:$H,2,0)</f>
        <v>seg</v>
      </c>
    </row>
    <row r="745" spans="1:32" x14ac:dyDescent="0.25">
      <c r="A745" s="163"/>
      <c r="B745" s="164" t="s">
        <v>382</v>
      </c>
      <c r="C745" s="134">
        <v>0.84930555555555554</v>
      </c>
      <c r="D745" s="165">
        <v>9.85</v>
      </c>
      <c r="E745" s="165" t="s">
        <v>44</v>
      </c>
      <c r="F745" s="149">
        <v>1.48</v>
      </c>
      <c r="G745" s="166">
        <v>6.44</v>
      </c>
      <c r="H745" s="167">
        <v>249.63</v>
      </c>
      <c r="I745" s="165"/>
      <c r="N745" s="7" t="str">
        <f t="shared" si="251"/>
        <v>#LILDLMHSL </v>
      </c>
      <c r="O745" s="7" t="str">
        <f t="shared" si="252"/>
        <v>#LILDLMHSL </v>
      </c>
      <c r="P745" s="21">
        <f t="shared" si="250"/>
        <v>43255</v>
      </c>
      <c r="Q745" s="22">
        <f>VLOOKUP(R745,Referencias!$D$1:$E$13,2,0)</f>
        <v>6</v>
      </c>
      <c r="R745" s="7" t="str">
        <f t="shared" si="253"/>
        <v>JUN</v>
      </c>
      <c r="S745" s="7">
        <f t="shared" si="254"/>
        <v>0</v>
      </c>
      <c r="T745" s="11">
        <f t="shared" si="255"/>
        <v>4</v>
      </c>
      <c r="U745" s="11">
        <f t="shared" si="256"/>
        <v>0</v>
      </c>
      <c r="V745" s="11" t="str">
        <f>VLOOKUP(C745,Referencias!$A$2:$B$33,2,1)</f>
        <v>20 - 21</v>
      </c>
      <c r="W745" s="23">
        <f t="shared" si="257"/>
        <v>3.6111111111111094E-2</v>
      </c>
      <c r="X745" s="11">
        <f t="shared" si="258"/>
        <v>9.85</v>
      </c>
      <c r="Y745" s="11">
        <f t="shared" si="259"/>
        <v>17.394443020829517</v>
      </c>
      <c r="Z745" s="24">
        <f t="shared" si="260"/>
        <v>6.44</v>
      </c>
      <c r="AA745" s="25">
        <f t="shared" si="261"/>
        <v>7.4307692307692346</v>
      </c>
      <c r="AB745" s="24">
        <f t="shared" si="262"/>
        <v>1</v>
      </c>
      <c r="AC745" s="24">
        <f t="shared" si="247"/>
        <v>4.2191545177460892</v>
      </c>
      <c r="AD745" s="24">
        <f t="shared" si="248"/>
        <v>5.111824997897962</v>
      </c>
      <c r="AE745" s="24">
        <f t="shared" si="249"/>
        <v>6.0608548528921276</v>
      </c>
      <c r="AF745" s="119" t="str">
        <f>VLOOKUP(P745*1,Referencias!$G:$H,2,0)</f>
        <v>seg</v>
      </c>
    </row>
    <row r="746" spans="1:32" ht="12" customHeight="1" x14ac:dyDescent="0.25">
      <c r="A746" s="163"/>
      <c r="B746" s="164"/>
      <c r="C746" s="134">
        <v>0.88541666666666663</v>
      </c>
      <c r="D746" s="165"/>
      <c r="E746" s="165"/>
      <c r="F746" s="145" t="s">
        <v>349</v>
      </c>
      <c r="G746" s="166"/>
      <c r="H746" s="167"/>
      <c r="I746" s="165"/>
      <c r="N746" s="7" t="str">
        <f t="shared" si="251"/>
        <v>#LILDLMHSL </v>
      </c>
      <c r="O746" s="7">
        <f t="shared" si="252"/>
        <v>0</v>
      </c>
      <c r="P746" s="21">
        <f t="shared" si="250"/>
        <v>43255</v>
      </c>
      <c r="Q746" s="22">
        <f>VLOOKUP(R746,Referencias!$D$1:$E$13,2,0)</f>
        <v>6</v>
      </c>
      <c r="R746" s="7" t="str">
        <f t="shared" si="253"/>
        <v>JUN</v>
      </c>
      <c r="S746" s="7">
        <f t="shared" si="254"/>
        <v>0</v>
      </c>
      <c r="T746" s="11">
        <f t="shared" si="255"/>
        <v>4</v>
      </c>
      <c r="U746" s="11">
        <f t="shared" si="256"/>
        <v>0</v>
      </c>
      <c r="V746" s="11" t="str">
        <f>VLOOKUP(C746,Referencias!$A$2:$B$33,2,1)</f>
        <v>21 - 22</v>
      </c>
      <c r="W746" s="23" t="str">
        <f t="shared" si="257"/>
        <v/>
      </c>
      <c r="X746" s="11">
        <f t="shared" si="258"/>
        <v>0</v>
      </c>
      <c r="Y746" s="11">
        <f t="shared" si="259"/>
        <v>0</v>
      </c>
      <c r="Z746" s="24">
        <f t="shared" si="260"/>
        <v>0</v>
      </c>
      <c r="AA746" s="25">
        <f t="shared" si="261"/>
        <v>0</v>
      </c>
      <c r="AB746" s="24">
        <f t="shared" si="262"/>
        <v>0</v>
      </c>
      <c r="AC746" s="24">
        <f t="shared" si="247"/>
        <v>0</v>
      </c>
      <c r="AD746" s="24">
        <f t="shared" si="248"/>
        <v>0</v>
      </c>
      <c r="AE746" s="24">
        <f t="shared" si="249"/>
        <v>0</v>
      </c>
      <c r="AF746" s="119" t="str">
        <f>VLOOKUP(P746*1,Referencias!$G:$H,2,0)</f>
        <v>seg</v>
      </c>
    </row>
    <row r="747" spans="1:32" ht="12" customHeight="1" x14ac:dyDescent="0.25">
      <c r="A747" s="161"/>
      <c r="B747" s="161"/>
      <c r="C747" s="161"/>
      <c r="D747" s="161"/>
      <c r="E747" s="161"/>
      <c r="F747" s="161"/>
      <c r="G747" s="161"/>
      <c r="H747" s="161"/>
      <c r="I747" s="161"/>
      <c r="N747" s="7" t="str">
        <f t="shared" si="251"/>
        <v>#LILDLMHSL </v>
      </c>
      <c r="O747" s="7">
        <f t="shared" si="252"/>
        <v>0</v>
      </c>
      <c r="P747" s="21">
        <f t="shared" si="250"/>
        <v>43255</v>
      </c>
      <c r="Q747" s="22">
        <f>VLOOKUP(R747,Referencias!$D$1:$E$13,2,0)</f>
        <v>6</v>
      </c>
      <c r="R747" s="7" t="str">
        <f t="shared" si="253"/>
        <v>JUN</v>
      </c>
      <c r="S747" s="7">
        <f t="shared" si="254"/>
        <v>0</v>
      </c>
      <c r="T747" s="11">
        <f t="shared" si="255"/>
        <v>4</v>
      </c>
      <c r="U747" s="11">
        <f t="shared" si="256"/>
        <v>0</v>
      </c>
      <c r="V747" s="11" t="e">
        <f>VLOOKUP(C747,Referencias!$A$2:$B$33,2,1)</f>
        <v>#N/A</v>
      </c>
      <c r="W747" s="23" t="str">
        <f t="shared" si="257"/>
        <v/>
      </c>
      <c r="X747" s="11">
        <f t="shared" si="258"/>
        <v>0</v>
      </c>
      <c r="Y747" s="11">
        <f t="shared" si="259"/>
        <v>0</v>
      </c>
      <c r="Z747" s="24">
        <f t="shared" si="260"/>
        <v>0</v>
      </c>
      <c r="AA747" s="25">
        <f t="shared" si="261"/>
        <v>0</v>
      </c>
      <c r="AB747" s="24">
        <f t="shared" si="262"/>
        <v>0</v>
      </c>
      <c r="AC747" s="24">
        <f t="shared" si="247"/>
        <v>0</v>
      </c>
      <c r="AD747" s="24">
        <f t="shared" si="248"/>
        <v>0</v>
      </c>
      <c r="AE747" s="24">
        <f t="shared" si="249"/>
        <v>0</v>
      </c>
      <c r="AF747" s="119" t="str">
        <f>VLOOKUP(P747*1,Referencias!$G:$H,2,0)</f>
        <v>seg</v>
      </c>
    </row>
    <row r="748" spans="1:32" ht="12" customHeight="1" x14ac:dyDescent="0.25">
      <c r="A748" s="162"/>
      <c r="B748" s="162"/>
      <c r="C748" s="162"/>
      <c r="D748" s="162"/>
      <c r="E748" s="162"/>
      <c r="F748" s="162"/>
      <c r="G748" s="162"/>
      <c r="H748" s="162"/>
      <c r="I748" s="162"/>
      <c r="N748" s="7" t="str">
        <f t="shared" si="251"/>
        <v>#LILDLMHSL </v>
      </c>
      <c r="O748" s="7">
        <f t="shared" si="252"/>
        <v>0</v>
      </c>
      <c r="P748" s="21">
        <f t="shared" si="250"/>
        <v>43255</v>
      </c>
      <c r="Q748" s="22">
        <f>VLOOKUP(R748,Referencias!$D$1:$E$13,2,0)</f>
        <v>6</v>
      </c>
      <c r="R748" s="7" t="str">
        <f t="shared" si="253"/>
        <v>JUN</v>
      </c>
      <c r="S748" s="7">
        <f t="shared" si="254"/>
        <v>0</v>
      </c>
      <c r="T748" s="11">
        <f t="shared" si="255"/>
        <v>4</v>
      </c>
      <c r="U748" s="11">
        <f t="shared" si="256"/>
        <v>0</v>
      </c>
      <c r="V748" s="11" t="e">
        <f>VLOOKUP(C748,Referencias!$A$2:$B$33,2,1)</f>
        <v>#N/A</v>
      </c>
      <c r="W748" s="23" t="str">
        <f t="shared" si="257"/>
        <v/>
      </c>
      <c r="X748" s="11">
        <f t="shared" si="258"/>
        <v>0</v>
      </c>
      <c r="Y748" s="11">
        <f t="shared" si="259"/>
        <v>0</v>
      </c>
      <c r="Z748" s="24">
        <f t="shared" si="260"/>
        <v>0</v>
      </c>
      <c r="AA748" s="25">
        <f t="shared" si="261"/>
        <v>0</v>
      </c>
      <c r="AB748" s="24">
        <f t="shared" si="262"/>
        <v>0</v>
      </c>
      <c r="AC748" s="24">
        <f t="shared" si="247"/>
        <v>0</v>
      </c>
      <c r="AD748" s="24">
        <f t="shared" si="248"/>
        <v>0</v>
      </c>
      <c r="AE748" s="24">
        <f t="shared" si="249"/>
        <v>0</v>
      </c>
      <c r="AF748" s="119" t="str">
        <f>VLOOKUP(P748*1,Referencias!$G:$H,2,0)</f>
        <v>seg</v>
      </c>
    </row>
    <row r="749" spans="1:32" x14ac:dyDescent="0.25">
      <c r="A749" s="163"/>
      <c r="B749" s="164" t="s">
        <v>383</v>
      </c>
      <c r="C749" s="134">
        <v>0.91527777777777775</v>
      </c>
      <c r="D749" s="165">
        <v>10.35</v>
      </c>
      <c r="E749" s="165" t="s">
        <v>384</v>
      </c>
      <c r="F749" s="149">
        <v>0.45</v>
      </c>
      <c r="G749" s="166">
        <v>1.95</v>
      </c>
      <c r="H749" s="167">
        <v>251.58</v>
      </c>
      <c r="I749" s="165"/>
      <c r="N749" s="7" t="str">
        <f t="shared" si="251"/>
        <v>#LIDJ2ATFF </v>
      </c>
      <c r="O749" s="7" t="str">
        <f t="shared" si="252"/>
        <v>#LIDJ2ATFF </v>
      </c>
      <c r="P749" s="21">
        <f t="shared" si="250"/>
        <v>43255</v>
      </c>
      <c r="Q749" s="22">
        <f>VLOOKUP(R749,Referencias!$D$1:$E$13,2,0)</f>
        <v>6</v>
      </c>
      <c r="R749" s="7" t="str">
        <f t="shared" si="253"/>
        <v>JUN</v>
      </c>
      <c r="S749" s="7">
        <f t="shared" si="254"/>
        <v>0</v>
      </c>
      <c r="T749" s="11">
        <f t="shared" si="255"/>
        <v>4</v>
      </c>
      <c r="U749" s="11">
        <f t="shared" si="256"/>
        <v>0</v>
      </c>
      <c r="V749" s="11" t="str">
        <f>VLOOKUP(C749,Referencias!$A$2:$B$33,2,1)</f>
        <v>21 - 22</v>
      </c>
      <c r="W749" s="23">
        <f t="shared" si="257"/>
        <v>2.1527777777777812E-2</v>
      </c>
      <c r="X749" s="11">
        <f t="shared" si="258"/>
        <v>10.35</v>
      </c>
      <c r="Y749" s="11">
        <f t="shared" si="259"/>
        <v>18.277409671633048</v>
      </c>
      <c r="Z749" s="24">
        <f t="shared" si="260"/>
        <v>1.95</v>
      </c>
      <c r="AA749" s="25">
        <f t="shared" si="261"/>
        <v>3.7741935483870908</v>
      </c>
      <c r="AB749" s="24">
        <f t="shared" si="262"/>
        <v>1</v>
      </c>
      <c r="AC749" s="24">
        <f t="shared" si="247"/>
        <v>1.2775390232305703</v>
      </c>
      <c r="AD749" s="24">
        <f t="shared" si="248"/>
        <v>1.5478352089908425</v>
      </c>
      <c r="AE749" s="24">
        <f t="shared" si="249"/>
        <v>1.8351967334067776</v>
      </c>
      <c r="AF749" s="119" t="str">
        <f>VLOOKUP(P749*1,Referencias!$G:$H,2,0)</f>
        <v>seg</v>
      </c>
    </row>
    <row r="750" spans="1:32" ht="12" customHeight="1" x14ac:dyDescent="0.25">
      <c r="A750" s="163"/>
      <c r="B750" s="164"/>
      <c r="C750" s="134">
        <v>0.93680555555555556</v>
      </c>
      <c r="D750" s="165"/>
      <c r="E750" s="165"/>
      <c r="F750" s="145" t="s">
        <v>349</v>
      </c>
      <c r="G750" s="166"/>
      <c r="H750" s="167"/>
      <c r="I750" s="165"/>
      <c r="N750" s="7" t="str">
        <f t="shared" si="251"/>
        <v>#LIDJ2ATFF </v>
      </c>
      <c r="O750" s="7">
        <f t="shared" si="252"/>
        <v>0</v>
      </c>
      <c r="P750" s="21">
        <f t="shared" si="250"/>
        <v>43255</v>
      </c>
      <c r="Q750" s="22">
        <f>VLOOKUP(R750,Referencias!$D$1:$E$13,2,0)</f>
        <v>6</v>
      </c>
      <c r="R750" s="7" t="str">
        <f t="shared" si="253"/>
        <v>JUN</v>
      </c>
      <c r="S750" s="7">
        <f t="shared" si="254"/>
        <v>0</v>
      </c>
      <c r="T750" s="11">
        <f t="shared" si="255"/>
        <v>4</v>
      </c>
      <c r="U750" s="11">
        <f t="shared" si="256"/>
        <v>0</v>
      </c>
      <c r="V750" s="11" t="str">
        <f>VLOOKUP(C750,Referencias!$A$2:$B$33,2,1)</f>
        <v>22 - 23</v>
      </c>
      <c r="W750" s="23" t="str">
        <f t="shared" si="257"/>
        <v/>
      </c>
      <c r="X750" s="11">
        <f t="shared" si="258"/>
        <v>0</v>
      </c>
      <c r="Y750" s="11">
        <f t="shared" si="259"/>
        <v>0</v>
      </c>
      <c r="Z750" s="24">
        <f t="shared" si="260"/>
        <v>0</v>
      </c>
      <c r="AA750" s="25">
        <f t="shared" si="261"/>
        <v>0</v>
      </c>
      <c r="AB750" s="24">
        <f t="shared" si="262"/>
        <v>0</v>
      </c>
      <c r="AC750" s="24">
        <f t="shared" si="247"/>
        <v>0</v>
      </c>
      <c r="AD750" s="24">
        <f t="shared" si="248"/>
        <v>0</v>
      </c>
      <c r="AE750" s="24">
        <f t="shared" si="249"/>
        <v>0</v>
      </c>
      <c r="AF750" s="119" t="str">
        <f>VLOOKUP(P750*1,Referencias!$G:$H,2,0)</f>
        <v>seg</v>
      </c>
    </row>
    <row r="751" spans="1:32" ht="12" customHeight="1" x14ac:dyDescent="0.25">
      <c r="A751" s="161"/>
      <c r="B751" s="161"/>
      <c r="C751" s="161"/>
      <c r="D751" s="161"/>
      <c r="E751" s="161"/>
      <c r="F751" s="161"/>
      <c r="G751" s="161"/>
      <c r="H751" s="161"/>
      <c r="I751" s="161"/>
      <c r="N751" s="7" t="str">
        <f t="shared" si="251"/>
        <v>#LIDJ2ATFF </v>
      </c>
      <c r="O751" s="7">
        <f t="shared" si="252"/>
        <v>0</v>
      </c>
      <c r="P751" s="21">
        <f t="shared" si="250"/>
        <v>43255</v>
      </c>
      <c r="Q751" s="22">
        <f>VLOOKUP(R751,Referencias!$D$1:$E$13,2,0)</f>
        <v>6</v>
      </c>
      <c r="R751" s="7" t="str">
        <f t="shared" si="253"/>
        <v>JUN</v>
      </c>
      <c r="S751" s="7">
        <f t="shared" si="254"/>
        <v>0</v>
      </c>
      <c r="T751" s="11">
        <f t="shared" si="255"/>
        <v>4</v>
      </c>
      <c r="U751" s="11">
        <f t="shared" si="256"/>
        <v>0</v>
      </c>
      <c r="V751" s="11" t="e">
        <f>VLOOKUP(C751,Referencias!$A$2:$B$33,2,1)</f>
        <v>#N/A</v>
      </c>
      <c r="W751" s="23" t="str">
        <f t="shared" si="257"/>
        <v/>
      </c>
      <c r="X751" s="11">
        <f t="shared" si="258"/>
        <v>0</v>
      </c>
      <c r="Y751" s="11">
        <f t="shared" si="259"/>
        <v>0</v>
      </c>
      <c r="Z751" s="24">
        <f t="shared" si="260"/>
        <v>0</v>
      </c>
      <c r="AA751" s="25">
        <f t="shared" si="261"/>
        <v>0</v>
      </c>
      <c r="AB751" s="24">
        <f t="shared" si="262"/>
        <v>0</v>
      </c>
      <c r="AC751" s="24">
        <f t="shared" si="247"/>
        <v>0</v>
      </c>
      <c r="AD751" s="24">
        <f t="shared" si="248"/>
        <v>0</v>
      </c>
      <c r="AE751" s="24">
        <f t="shared" si="249"/>
        <v>0</v>
      </c>
      <c r="AF751" s="119" t="str">
        <f>VLOOKUP(P751*1,Referencias!$G:$H,2,0)</f>
        <v>seg</v>
      </c>
    </row>
    <row r="752" spans="1:32" ht="12" customHeight="1" x14ac:dyDescent="0.25">
      <c r="A752" s="162"/>
      <c r="B752" s="162"/>
      <c r="C752" s="162"/>
      <c r="D752" s="162"/>
      <c r="E752" s="162"/>
      <c r="F752" s="162"/>
      <c r="G752" s="162"/>
      <c r="H752" s="162"/>
      <c r="I752" s="162"/>
      <c r="N752" s="7" t="str">
        <f t="shared" si="251"/>
        <v>#LIDJ2ATFF </v>
      </c>
      <c r="O752" s="7">
        <f t="shared" si="252"/>
        <v>0</v>
      </c>
      <c r="P752" s="21">
        <f t="shared" si="250"/>
        <v>43255</v>
      </c>
      <c r="Q752" s="22">
        <f>VLOOKUP(R752,Referencias!$D$1:$E$13,2,0)</f>
        <v>6</v>
      </c>
      <c r="R752" s="7" t="str">
        <f t="shared" si="253"/>
        <v>JUN</v>
      </c>
      <c r="S752" s="7">
        <f t="shared" si="254"/>
        <v>0</v>
      </c>
      <c r="T752" s="11">
        <f t="shared" si="255"/>
        <v>4</v>
      </c>
      <c r="U752" s="11">
        <f t="shared" si="256"/>
        <v>0</v>
      </c>
      <c r="V752" s="11" t="e">
        <f>VLOOKUP(C752,Referencias!$A$2:$B$33,2,1)</f>
        <v>#N/A</v>
      </c>
      <c r="W752" s="23" t="str">
        <f t="shared" si="257"/>
        <v/>
      </c>
      <c r="X752" s="11">
        <f t="shared" si="258"/>
        <v>0</v>
      </c>
      <c r="Y752" s="11">
        <f t="shared" si="259"/>
        <v>0</v>
      </c>
      <c r="Z752" s="24">
        <f t="shared" si="260"/>
        <v>0</v>
      </c>
      <c r="AA752" s="25">
        <f t="shared" si="261"/>
        <v>0</v>
      </c>
      <c r="AB752" s="24">
        <f t="shared" si="262"/>
        <v>0</v>
      </c>
      <c r="AC752" s="24">
        <f t="shared" si="247"/>
        <v>0</v>
      </c>
      <c r="AD752" s="24">
        <f t="shared" si="248"/>
        <v>0</v>
      </c>
      <c r="AE752" s="24">
        <f t="shared" si="249"/>
        <v>0</v>
      </c>
      <c r="AF752" s="119" t="str">
        <f>VLOOKUP(P752*1,Referencias!$G:$H,2,0)</f>
        <v>seg</v>
      </c>
    </row>
    <row r="753" spans="1:32" x14ac:dyDescent="0.25">
      <c r="A753" s="163"/>
      <c r="B753" s="164" t="s">
        <v>385</v>
      </c>
      <c r="C753" s="134">
        <v>0.94027777777777777</v>
      </c>
      <c r="D753" s="165">
        <v>4.1500000000000004</v>
      </c>
      <c r="E753" s="165" t="s">
        <v>161</v>
      </c>
      <c r="F753" s="149">
        <v>1.08</v>
      </c>
      <c r="G753" s="166">
        <v>4.7</v>
      </c>
      <c r="H753" s="167">
        <v>256.27999999999997</v>
      </c>
      <c r="I753" s="165"/>
      <c r="N753" s="7" t="str">
        <f t="shared" si="251"/>
        <v>#LI6UWWQAP </v>
      </c>
      <c r="O753" s="7" t="str">
        <f t="shared" si="252"/>
        <v>#LI6UWWQAP </v>
      </c>
      <c r="P753" s="21">
        <f t="shared" si="250"/>
        <v>43255</v>
      </c>
      <c r="Q753" s="22">
        <f>VLOOKUP(R753,Referencias!$D$1:$E$13,2,0)</f>
        <v>6</v>
      </c>
      <c r="R753" s="7" t="str">
        <f t="shared" si="253"/>
        <v>JUN</v>
      </c>
      <c r="S753" s="7">
        <f t="shared" si="254"/>
        <v>0</v>
      </c>
      <c r="T753" s="11">
        <f t="shared" si="255"/>
        <v>4</v>
      </c>
      <c r="U753" s="11">
        <f t="shared" si="256"/>
        <v>0</v>
      </c>
      <c r="V753" s="11" t="str">
        <f>VLOOKUP(C753,Referencias!$A$2:$B$33,2,1)</f>
        <v>22 - 23</v>
      </c>
      <c r="W753" s="23">
        <f t="shared" si="257"/>
        <v>2.3611111111111138E-2</v>
      </c>
      <c r="X753" s="11">
        <f t="shared" si="258"/>
        <v>4.1500000000000004</v>
      </c>
      <c r="Y753" s="11">
        <f t="shared" si="259"/>
        <v>7.3286232016692905</v>
      </c>
      <c r="Z753" s="24">
        <f t="shared" si="260"/>
        <v>4.7</v>
      </c>
      <c r="AA753" s="25">
        <f t="shared" si="261"/>
        <v>8.2941176470588136</v>
      </c>
      <c r="AB753" s="24">
        <f t="shared" si="262"/>
        <v>1</v>
      </c>
      <c r="AC753" s="24">
        <f t="shared" si="247"/>
        <v>3.0791966200941951</v>
      </c>
      <c r="AD753" s="24">
        <f t="shared" si="248"/>
        <v>3.7306797344907485</v>
      </c>
      <c r="AE753" s="24">
        <f t="shared" si="249"/>
        <v>4.423294690775311</v>
      </c>
      <c r="AF753" s="119" t="str">
        <f>VLOOKUP(P753*1,Referencias!$G:$H,2,0)</f>
        <v>seg</v>
      </c>
    </row>
    <row r="754" spans="1:32" x14ac:dyDescent="0.25">
      <c r="A754" s="163"/>
      <c r="B754" s="164"/>
      <c r="C754" s="134">
        <v>0.96388888888888891</v>
      </c>
      <c r="D754" s="165"/>
      <c r="E754" s="165"/>
      <c r="F754" s="145" t="s">
        <v>349</v>
      </c>
      <c r="G754" s="166"/>
      <c r="H754" s="167"/>
      <c r="I754" s="165"/>
      <c r="N754" s="7" t="str">
        <f t="shared" si="251"/>
        <v>#LI6UWWQAP </v>
      </c>
      <c r="O754" s="7">
        <f t="shared" si="252"/>
        <v>0</v>
      </c>
      <c r="P754" s="21">
        <f t="shared" si="250"/>
        <v>43255</v>
      </c>
      <c r="Q754" s="22">
        <f>VLOOKUP(R754,Referencias!$D$1:$E$13,2,0)</f>
        <v>6</v>
      </c>
      <c r="R754" s="7" t="str">
        <f t="shared" si="253"/>
        <v>JUN</v>
      </c>
      <c r="S754" s="7">
        <f t="shared" si="254"/>
        <v>0</v>
      </c>
      <c r="T754" s="11">
        <f t="shared" si="255"/>
        <v>4</v>
      </c>
      <c r="U754" s="11">
        <f t="shared" si="256"/>
        <v>0</v>
      </c>
      <c r="V754" s="11" t="str">
        <f>VLOOKUP(C754,Referencias!$A$2:$B$33,2,1)</f>
        <v>23 - 24</v>
      </c>
      <c r="W754" s="23" t="str">
        <f t="shared" si="257"/>
        <v/>
      </c>
      <c r="X754" s="11">
        <f t="shared" si="258"/>
        <v>0</v>
      </c>
      <c r="Y754" s="11">
        <f t="shared" si="259"/>
        <v>0</v>
      </c>
      <c r="Z754" s="24">
        <f t="shared" si="260"/>
        <v>0</v>
      </c>
      <c r="AA754" s="25">
        <f t="shared" si="261"/>
        <v>0</v>
      </c>
      <c r="AB754" s="24">
        <f t="shared" si="262"/>
        <v>0</v>
      </c>
      <c r="AC754" s="24">
        <f t="shared" si="247"/>
        <v>0</v>
      </c>
      <c r="AD754" s="24">
        <f t="shared" si="248"/>
        <v>0</v>
      </c>
      <c r="AE754" s="24">
        <f t="shared" si="249"/>
        <v>0</v>
      </c>
      <c r="AF754" s="119" t="str">
        <f>VLOOKUP(P754*1,Referencias!$G:$H,2,0)</f>
        <v>seg</v>
      </c>
    </row>
    <row r="755" spans="1:32" ht="12.6" thickBot="1" x14ac:dyDescent="0.3">
      <c r="A755" s="172"/>
      <c r="B755" s="172"/>
      <c r="C755" s="172"/>
      <c r="D755" s="172"/>
      <c r="E755" s="172"/>
      <c r="F755" s="172"/>
      <c r="G755" s="172"/>
      <c r="H755" s="172"/>
      <c r="I755" s="172"/>
      <c r="N755" s="7" t="str">
        <f t="shared" si="251"/>
        <v>#LI6UWWQAP </v>
      </c>
      <c r="O755" s="7">
        <f t="shared" si="252"/>
        <v>0</v>
      </c>
      <c r="P755" s="21">
        <f t="shared" si="250"/>
        <v>43255</v>
      </c>
      <c r="Q755" s="22">
        <f>VLOOKUP(R755,Referencias!$D$1:$E$13,2,0)</f>
        <v>6</v>
      </c>
      <c r="R755" s="7" t="str">
        <f t="shared" si="253"/>
        <v>JUN</v>
      </c>
      <c r="S755" s="7">
        <f t="shared" si="254"/>
        <v>0</v>
      </c>
      <c r="T755" s="11">
        <f t="shared" si="255"/>
        <v>4</v>
      </c>
      <c r="U755" s="11">
        <f t="shared" si="256"/>
        <v>0</v>
      </c>
      <c r="V755" s="11" t="e">
        <f>VLOOKUP(C755,Referencias!$A$2:$B$33,2,1)</f>
        <v>#N/A</v>
      </c>
      <c r="W755" s="23" t="str">
        <f t="shared" si="257"/>
        <v/>
      </c>
      <c r="X755" s="11">
        <f t="shared" si="258"/>
        <v>0</v>
      </c>
      <c r="Y755" s="11">
        <f t="shared" si="259"/>
        <v>0</v>
      </c>
      <c r="Z755" s="24">
        <f t="shared" si="260"/>
        <v>0</v>
      </c>
      <c r="AA755" s="25">
        <f t="shared" si="261"/>
        <v>0</v>
      </c>
      <c r="AB755" s="24">
        <f t="shared" si="262"/>
        <v>0</v>
      </c>
      <c r="AC755" s="24">
        <f t="shared" si="247"/>
        <v>0</v>
      </c>
      <c r="AD755" s="24">
        <f t="shared" si="248"/>
        <v>0</v>
      </c>
      <c r="AE755" s="24">
        <f t="shared" si="249"/>
        <v>0</v>
      </c>
      <c r="AF755" s="119" t="str">
        <f>VLOOKUP(P755*1,Referencias!$G:$H,2,0)</f>
        <v>seg</v>
      </c>
    </row>
    <row r="756" spans="1:32" x14ac:dyDescent="0.25">
      <c r="A756" s="147">
        <v>5</v>
      </c>
      <c r="B756" s="168" t="s">
        <v>418</v>
      </c>
      <c r="C756" s="134">
        <v>0.50277777777777777</v>
      </c>
      <c r="D756" s="169">
        <v>5.7</v>
      </c>
      <c r="E756" s="169" t="s">
        <v>36</v>
      </c>
      <c r="F756" s="169"/>
      <c r="G756" s="170">
        <v>3.49</v>
      </c>
      <c r="H756" s="171">
        <v>259.77</v>
      </c>
      <c r="I756" s="169"/>
      <c r="N756" s="7" t="str">
        <f t="shared" ref="N756:N777" si="263">IF(O756&lt;&gt;0,O756,N755)</f>
        <v>#LIR6CCDCZ </v>
      </c>
      <c r="O756" s="7" t="str">
        <f t="shared" ref="O756:O777" si="264">IF(X756&gt;0,B756,0)</f>
        <v>#LIR6CCDCZ </v>
      </c>
      <c r="P756" s="21">
        <f t="shared" si="250"/>
        <v>43256</v>
      </c>
      <c r="Q756" s="22">
        <f>VLOOKUP(R756,Referencias!$D$1:$E$13,2,0)</f>
        <v>6</v>
      </c>
      <c r="R756" s="7" t="str">
        <f t="shared" ref="R756:R777" si="265">IF(S756="ganhos garantidos",R755,IF(S756&lt;&gt;0,S756,R755))</f>
        <v>JUN</v>
      </c>
      <c r="S756" s="7" t="str">
        <f t="shared" ref="S756:S777" si="266">IF(X756&gt;0,A757,0)</f>
        <v>JUN</v>
      </c>
      <c r="T756" s="11">
        <f t="shared" ref="T756:T777" si="267">IF(U756&lt;&gt;0,U756,T755)</f>
        <v>5</v>
      </c>
      <c r="U756" s="11">
        <f t="shared" ref="U756:U777" si="268">IF(X756&gt;0,A756,0)</f>
        <v>5</v>
      </c>
      <c r="V756" s="11" t="str">
        <f>VLOOKUP(C756,Referencias!$A$2:$B$33,2,1)</f>
        <v>12 - 13</v>
      </c>
      <c r="W756" s="23">
        <f t="shared" ref="W756:W777" si="269">IF(X756&gt;0,C757-C756,"")</f>
        <v>3.1944444444444442E-2</v>
      </c>
      <c r="X756" s="11">
        <f t="shared" ref="X756:X777" si="270">D756*1</f>
        <v>5.7</v>
      </c>
      <c r="Y756" s="11">
        <f t="shared" ref="Y756:Y777" si="271">X756*$AK$2</f>
        <v>10.065819819160229</v>
      </c>
      <c r="Z756" s="24">
        <f t="shared" ref="Z756:Z777" si="272">IF(A756="Ganhos Garantidos",G756,IF(X756&gt;0,G756*1,0))</f>
        <v>3.49</v>
      </c>
      <c r="AA756" s="25">
        <f t="shared" ref="AA756:AA777" si="273">IFERROR(Z756/(86400*(W756)/360/10),0)</f>
        <v>4.552173913043478</v>
      </c>
      <c r="AB756" s="24">
        <f t="shared" ref="AB756:AB777" si="274">IF(O756&gt;0,1,0)</f>
        <v>1</v>
      </c>
      <c r="AC756" s="24">
        <f t="shared" si="247"/>
        <v>2.2864672774742001</v>
      </c>
      <c r="AD756" s="24">
        <f t="shared" si="248"/>
        <v>2.7702281432707898</v>
      </c>
      <c r="AE756" s="24">
        <f t="shared" si="249"/>
        <v>3.2845315895331564</v>
      </c>
      <c r="AF756" s="119" t="str">
        <f>VLOOKUP(P756*1,Referencias!$G:$H,2,0)</f>
        <v>ter</v>
      </c>
    </row>
    <row r="757" spans="1:32" ht="12" customHeight="1" x14ac:dyDescent="0.25">
      <c r="A757" s="147" t="s">
        <v>250</v>
      </c>
      <c r="B757" s="164"/>
      <c r="C757" s="134">
        <v>0.53472222222222221</v>
      </c>
      <c r="D757" s="165"/>
      <c r="E757" s="165"/>
      <c r="F757" s="165"/>
      <c r="G757" s="166"/>
      <c r="H757" s="167"/>
      <c r="I757" s="165"/>
      <c r="N757" s="7" t="str">
        <f t="shared" si="263"/>
        <v>#LIR6CCDCZ </v>
      </c>
      <c r="O757" s="7">
        <f t="shared" si="264"/>
        <v>0</v>
      </c>
      <c r="P757" s="21">
        <f t="shared" si="250"/>
        <v>43256</v>
      </c>
      <c r="Q757" s="22">
        <f>VLOOKUP(R757,Referencias!$D$1:$E$13,2,0)</f>
        <v>6</v>
      </c>
      <c r="R757" s="7" t="str">
        <f t="shared" si="265"/>
        <v>JUN</v>
      </c>
      <c r="S757" s="7">
        <f t="shared" si="266"/>
        <v>0</v>
      </c>
      <c r="T757" s="11">
        <f t="shared" si="267"/>
        <v>5</v>
      </c>
      <c r="U757" s="11">
        <f t="shared" si="268"/>
        <v>0</v>
      </c>
      <c r="V757" s="11" t="str">
        <f>VLOOKUP(C757,Referencias!$A$2:$B$33,2,1)</f>
        <v>12 - 13</v>
      </c>
      <c r="W757" s="23" t="str">
        <f t="shared" si="269"/>
        <v/>
      </c>
      <c r="X757" s="11">
        <f t="shared" si="270"/>
        <v>0</v>
      </c>
      <c r="Y757" s="11">
        <f t="shared" si="271"/>
        <v>0</v>
      </c>
      <c r="Z757" s="24">
        <f t="shared" si="272"/>
        <v>0</v>
      </c>
      <c r="AA757" s="25">
        <f t="shared" si="273"/>
        <v>0</v>
      </c>
      <c r="AB757" s="24">
        <f t="shared" si="274"/>
        <v>0</v>
      </c>
      <c r="AC757" s="24">
        <f t="shared" si="247"/>
        <v>0</v>
      </c>
      <c r="AD757" s="24">
        <f t="shared" si="248"/>
        <v>0</v>
      </c>
      <c r="AE757" s="24">
        <f t="shared" si="249"/>
        <v>0</v>
      </c>
      <c r="AF757" s="119" t="str">
        <f>VLOOKUP(P757*1,Referencias!$G:$H,2,0)</f>
        <v>ter</v>
      </c>
    </row>
    <row r="758" spans="1:32" ht="12" customHeight="1" x14ac:dyDescent="0.25">
      <c r="A758" s="161"/>
      <c r="B758" s="161"/>
      <c r="C758" s="161"/>
      <c r="D758" s="161"/>
      <c r="E758" s="161"/>
      <c r="F758" s="161"/>
      <c r="G758" s="161"/>
      <c r="H758" s="161"/>
      <c r="I758" s="161"/>
      <c r="N758" s="7" t="str">
        <f t="shared" si="263"/>
        <v>#LIR6CCDCZ </v>
      </c>
      <c r="O758" s="7">
        <f t="shared" si="264"/>
        <v>0</v>
      </c>
      <c r="P758" s="21">
        <f t="shared" si="250"/>
        <v>43256</v>
      </c>
      <c r="Q758" s="22">
        <f>VLOOKUP(R758,Referencias!$D$1:$E$13,2,0)</f>
        <v>6</v>
      </c>
      <c r="R758" s="7" t="str">
        <f t="shared" si="265"/>
        <v>JUN</v>
      </c>
      <c r="S758" s="7">
        <f t="shared" si="266"/>
        <v>0</v>
      </c>
      <c r="T758" s="11">
        <f t="shared" si="267"/>
        <v>5</v>
      </c>
      <c r="U758" s="11">
        <f t="shared" si="268"/>
        <v>0</v>
      </c>
      <c r="V758" s="11" t="e">
        <f>VLOOKUP(C758,Referencias!$A$2:$B$33,2,1)</f>
        <v>#N/A</v>
      </c>
      <c r="W758" s="23" t="str">
        <f t="shared" si="269"/>
        <v/>
      </c>
      <c r="X758" s="11">
        <f t="shared" si="270"/>
        <v>0</v>
      </c>
      <c r="Y758" s="11">
        <f t="shared" si="271"/>
        <v>0</v>
      </c>
      <c r="Z758" s="24">
        <f t="shared" si="272"/>
        <v>0</v>
      </c>
      <c r="AA758" s="25">
        <f t="shared" si="273"/>
        <v>0</v>
      </c>
      <c r="AB758" s="24">
        <f t="shared" si="274"/>
        <v>0</v>
      </c>
      <c r="AC758" s="24">
        <f t="shared" si="247"/>
        <v>0</v>
      </c>
      <c r="AD758" s="24">
        <f t="shared" si="248"/>
        <v>0</v>
      </c>
      <c r="AE758" s="24">
        <f t="shared" si="249"/>
        <v>0</v>
      </c>
      <c r="AF758" s="119" t="str">
        <f>VLOOKUP(P758*1,Referencias!$G:$H,2,0)</f>
        <v>ter</v>
      </c>
    </row>
    <row r="759" spans="1:32" x14ac:dyDescent="0.25">
      <c r="A759" s="162"/>
      <c r="B759" s="162"/>
      <c r="C759" s="162"/>
      <c r="D759" s="162"/>
      <c r="E759" s="162"/>
      <c r="F759" s="162"/>
      <c r="G759" s="162"/>
      <c r="H759" s="162"/>
      <c r="I759" s="162"/>
      <c r="N759" s="7" t="str">
        <f t="shared" si="263"/>
        <v>#LIR6CCDCZ </v>
      </c>
      <c r="O759" s="7">
        <f t="shared" si="264"/>
        <v>0</v>
      </c>
      <c r="P759" s="21">
        <f t="shared" si="250"/>
        <v>43256</v>
      </c>
      <c r="Q759" s="22">
        <f>VLOOKUP(R759,Referencias!$D$1:$E$13,2,0)</f>
        <v>6</v>
      </c>
      <c r="R759" s="7" t="str">
        <f t="shared" si="265"/>
        <v>JUN</v>
      </c>
      <c r="S759" s="7">
        <f t="shared" si="266"/>
        <v>0</v>
      </c>
      <c r="T759" s="11">
        <f t="shared" si="267"/>
        <v>5</v>
      </c>
      <c r="U759" s="11">
        <f t="shared" si="268"/>
        <v>0</v>
      </c>
      <c r="V759" s="11" t="e">
        <f>VLOOKUP(C759,Referencias!$A$2:$B$33,2,1)</f>
        <v>#N/A</v>
      </c>
      <c r="W759" s="23" t="str">
        <f t="shared" si="269"/>
        <v/>
      </c>
      <c r="X759" s="11">
        <f t="shared" si="270"/>
        <v>0</v>
      </c>
      <c r="Y759" s="11">
        <f t="shared" si="271"/>
        <v>0</v>
      </c>
      <c r="Z759" s="24">
        <f t="shared" si="272"/>
        <v>0</v>
      </c>
      <c r="AA759" s="25">
        <f t="shared" si="273"/>
        <v>0</v>
      </c>
      <c r="AB759" s="24">
        <f t="shared" si="274"/>
        <v>0</v>
      </c>
      <c r="AC759" s="24">
        <f t="shared" si="247"/>
        <v>0</v>
      </c>
      <c r="AD759" s="24">
        <f t="shared" si="248"/>
        <v>0</v>
      </c>
      <c r="AE759" s="24">
        <f t="shared" si="249"/>
        <v>0</v>
      </c>
      <c r="AF759" s="119" t="str">
        <f>VLOOKUP(P759*1,Referencias!$G:$H,2,0)</f>
        <v>ter</v>
      </c>
    </row>
    <row r="760" spans="1:32" x14ac:dyDescent="0.25">
      <c r="A760" s="163"/>
      <c r="B760" s="164" t="s">
        <v>419</v>
      </c>
      <c r="C760" s="134">
        <v>0.55972222222222223</v>
      </c>
      <c r="D760" s="165">
        <v>6.62</v>
      </c>
      <c r="E760" s="165" t="s">
        <v>44</v>
      </c>
      <c r="F760" s="165"/>
      <c r="G760" s="166">
        <v>3.83</v>
      </c>
      <c r="H760" s="167">
        <v>263.60000000000002</v>
      </c>
      <c r="I760" s="165"/>
      <c r="N760" s="7" t="str">
        <f t="shared" si="263"/>
        <v>#LI9TBUANM </v>
      </c>
      <c r="O760" s="7" t="str">
        <f t="shared" si="264"/>
        <v>#LI9TBUANM </v>
      </c>
      <c r="P760" s="21">
        <f t="shared" si="250"/>
        <v>43256</v>
      </c>
      <c r="Q760" s="22">
        <f>VLOOKUP(R760,Referencias!$D$1:$E$13,2,0)</f>
        <v>6</v>
      </c>
      <c r="R760" s="7" t="str">
        <f t="shared" si="265"/>
        <v>JUN</v>
      </c>
      <c r="S760" s="7">
        <f t="shared" si="266"/>
        <v>0</v>
      </c>
      <c r="T760" s="11">
        <f t="shared" si="267"/>
        <v>5</v>
      </c>
      <c r="U760" s="11">
        <f t="shared" si="268"/>
        <v>0</v>
      </c>
      <c r="V760" s="11" t="str">
        <f>VLOOKUP(C760,Referencias!$A$2:$B$33,2,1)</f>
        <v>13 - 14</v>
      </c>
      <c r="W760" s="23">
        <f t="shared" si="269"/>
        <v>1.7361111111111049E-2</v>
      </c>
      <c r="X760" s="11">
        <f t="shared" si="270"/>
        <v>6.62</v>
      </c>
      <c r="Y760" s="11">
        <f t="shared" si="271"/>
        <v>11.690478456638722</v>
      </c>
      <c r="Z760" s="24">
        <f t="shared" si="272"/>
        <v>3.83</v>
      </c>
      <c r="AA760" s="25">
        <f t="shared" si="273"/>
        <v>9.1920000000000321</v>
      </c>
      <c r="AB760" s="24">
        <f t="shared" si="274"/>
        <v>1</v>
      </c>
      <c r="AC760" s="24">
        <f t="shared" si="247"/>
        <v>2.5092176712682481</v>
      </c>
      <c r="AD760" s="24">
        <f t="shared" si="248"/>
        <v>3.0401071027871418</v>
      </c>
      <c r="AE760" s="24">
        <f t="shared" si="249"/>
        <v>3.6045146097169019</v>
      </c>
      <c r="AF760" s="119" t="str">
        <f>VLOOKUP(P760*1,Referencias!$G:$H,2,0)</f>
        <v>ter</v>
      </c>
    </row>
    <row r="761" spans="1:32" ht="12" customHeight="1" x14ac:dyDescent="0.25">
      <c r="A761" s="163"/>
      <c r="B761" s="164"/>
      <c r="C761" s="134">
        <v>0.57708333333333328</v>
      </c>
      <c r="D761" s="165"/>
      <c r="E761" s="165"/>
      <c r="F761" s="165"/>
      <c r="G761" s="166"/>
      <c r="H761" s="167"/>
      <c r="I761" s="165"/>
      <c r="N761" s="7" t="str">
        <f t="shared" si="263"/>
        <v>#LI9TBUANM </v>
      </c>
      <c r="O761" s="7">
        <f t="shared" si="264"/>
        <v>0</v>
      </c>
      <c r="P761" s="21">
        <f t="shared" si="250"/>
        <v>43256</v>
      </c>
      <c r="Q761" s="22">
        <f>VLOOKUP(R761,Referencias!$D$1:$E$13,2,0)</f>
        <v>6</v>
      </c>
      <c r="R761" s="7" t="str">
        <f t="shared" si="265"/>
        <v>JUN</v>
      </c>
      <c r="S761" s="7">
        <f t="shared" si="266"/>
        <v>0</v>
      </c>
      <c r="T761" s="11">
        <f t="shared" si="267"/>
        <v>5</v>
      </c>
      <c r="U761" s="11">
        <f t="shared" si="268"/>
        <v>0</v>
      </c>
      <c r="V761" s="11" t="str">
        <f>VLOOKUP(C761,Referencias!$A$2:$B$33,2,1)</f>
        <v>13 - 14</v>
      </c>
      <c r="W761" s="23" t="str">
        <f t="shared" si="269"/>
        <v/>
      </c>
      <c r="X761" s="11">
        <f t="shared" si="270"/>
        <v>0</v>
      </c>
      <c r="Y761" s="11">
        <f t="shared" si="271"/>
        <v>0</v>
      </c>
      <c r="Z761" s="24">
        <f t="shared" si="272"/>
        <v>0</v>
      </c>
      <c r="AA761" s="25">
        <f t="shared" si="273"/>
        <v>0</v>
      </c>
      <c r="AB761" s="24">
        <f t="shared" si="274"/>
        <v>0</v>
      </c>
      <c r="AC761" s="24">
        <f t="shared" si="247"/>
        <v>0</v>
      </c>
      <c r="AD761" s="24">
        <f t="shared" si="248"/>
        <v>0</v>
      </c>
      <c r="AE761" s="24">
        <f t="shared" si="249"/>
        <v>0</v>
      </c>
      <c r="AF761" s="119" t="str">
        <f>VLOOKUP(P761*1,Referencias!$G:$H,2,0)</f>
        <v>ter</v>
      </c>
    </row>
    <row r="762" spans="1:32" ht="12" customHeight="1" x14ac:dyDescent="0.25">
      <c r="A762" s="161"/>
      <c r="B762" s="161"/>
      <c r="C762" s="161"/>
      <c r="D762" s="161"/>
      <c r="E762" s="161"/>
      <c r="F762" s="161"/>
      <c r="G762" s="161"/>
      <c r="H762" s="161"/>
      <c r="I762" s="161"/>
      <c r="N762" s="7" t="str">
        <f t="shared" si="263"/>
        <v>#LI9TBUANM </v>
      </c>
      <c r="O762" s="7">
        <f t="shared" si="264"/>
        <v>0</v>
      </c>
      <c r="P762" s="21">
        <f t="shared" si="250"/>
        <v>43256</v>
      </c>
      <c r="Q762" s="22">
        <f>VLOOKUP(R762,Referencias!$D$1:$E$13,2,0)</f>
        <v>6</v>
      </c>
      <c r="R762" s="7" t="str">
        <f t="shared" si="265"/>
        <v>JUN</v>
      </c>
      <c r="S762" s="7">
        <f t="shared" si="266"/>
        <v>0</v>
      </c>
      <c r="T762" s="11">
        <f t="shared" si="267"/>
        <v>5</v>
      </c>
      <c r="U762" s="11">
        <f t="shared" si="268"/>
        <v>0</v>
      </c>
      <c r="V762" s="11" t="e">
        <f>VLOOKUP(C762,Referencias!$A$2:$B$33,2,1)</f>
        <v>#N/A</v>
      </c>
      <c r="W762" s="23" t="str">
        <f t="shared" si="269"/>
        <v/>
      </c>
      <c r="X762" s="11">
        <f t="shared" si="270"/>
        <v>0</v>
      </c>
      <c r="Y762" s="11">
        <f t="shared" si="271"/>
        <v>0</v>
      </c>
      <c r="Z762" s="24">
        <f t="shared" si="272"/>
        <v>0</v>
      </c>
      <c r="AA762" s="25">
        <f t="shared" si="273"/>
        <v>0</v>
      </c>
      <c r="AB762" s="24">
        <f t="shared" si="274"/>
        <v>0</v>
      </c>
      <c r="AC762" s="24">
        <f t="shared" si="247"/>
        <v>0</v>
      </c>
      <c r="AD762" s="24">
        <f t="shared" si="248"/>
        <v>0</v>
      </c>
      <c r="AE762" s="24">
        <f t="shared" si="249"/>
        <v>0</v>
      </c>
      <c r="AF762" s="119" t="str">
        <f>VLOOKUP(P762*1,Referencias!$G:$H,2,0)</f>
        <v>ter</v>
      </c>
    </row>
    <row r="763" spans="1:32" x14ac:dyDescent="0.25">
      <c r="A763" s="162"/>
      <c r="B763" s="162"/>
      <c r="C763" s="162"/>
      <c r="D763" s="162"/>
      <c r="E763" s="162"/>
      <c r="F763" s="162"/>
      <c r="G763" s="162"/>
      <c r="H763" s="162"/>
      <c r="I763" s="162"/>
      <c r="N763" s="7" t="str">
        <f t="shared" si="263"/>
        <v>#LI9TBUANM </v>
      </c>
      <c r="O763" s="7">
        <f t="shared" si="264"/>
        <v>0</v>
      </c>
      <c r="P763" s="21">
        <f t="shared" si="250"/>
        <v>43256</v>
      </c>
      <c r="Q763" s="22">
        <f>VLOOKUP(R763,Referencias!$D$1:$E$13,2,0)</f>
        <v>6</v>
      </c>
      <c r="R763" s="7" t="str">
        <f t="shared" si="265"/>
        <v>JUN</v>
      </c>
      <c r="S763" s="7">
        <f t="shared" si="266"/>
        <v>0</v>
      </c>
      <c r="T763" s="11">
        <f t="shared" si="267"/>
        <v>5</v>
      </c>
      <c r="U763" s="11">
        <f t="shared" si="268"/>
        <v>0</v>
      </c>
      <c r="V763" s="11" t="e">
        <f>VLOOKUP(C763,Referencias!$A$2:$B$33,2,1)</f>
        <v>#N/A</v>
      </c>
      <c r="W763" s="23" t="str">
        <f t="shared" si="269"/>
        <v/>
      </c>
      <c r="X763" s="11">
        <f t="shared" si="270"/>
        <v>0</v>
      </c>
      <c r="Y763" s="11">
        <f t="shared" si="271"/>
        <v>0</v>
      </c>
      <c r="Z763" s="24">
        <f t="shared" si="272"/>
        <v>0</v>
      </c>
      <c r="AA763" s="25">
        <f t="shared" si="273"/>
        <v>0</v>
      </c>
      <c r="AB763" s="24">
        <f t="shared" si="274"/>
        <v>0</v>
      </c>
      <c r="AC763" s="24">
        <f t="shared" si="247"/>
        <v>0</v>
      </c>
      <c r="AD763" s="24">
        <f t="shared" si="248"/>
        <v>0</v>
      </c>
      <c r="AE763" s="24">
        <f t="shared" si="249"/>
        <v>0</v>
      </c>
      <c r="AF763" s="119" t="str">
        <f>VLOOKUP(P763*1,Referencias!$G:$H,2,0)</f>
        <v>ter</v>
      </c>
    </row>
    <row r="764" spans="1:32" x14ac:dyDescent="0.25">
      <c r="A764" s="163"/>
      <c r="B764" s="164" t="s">
        <v>420</v>
      </c>
      <c r="C764" s="134">
        <v>0.58680555555555558</v>
      </c>
      <c r="D764" s="165">
        <v>3.93</v>
      </c>
      <c r="E764" s="165" t="s">
        <v>29</v>
      </c>
      <c r="F764" s="165"/>
      <c r="G764" s="166">
        <v>2.87</v>
      </c>
      <c r="H764" s="167">
        <v>266.47000000000003</v>
      </c>
      <c r="I764" s="147" t="s">
        <v>347</v>
      </c>
      <c r="N764" s="7" t="str">
        <f t="shared" si="263"/>
        <v>#LI1ZBXKSU </v>
      </c>
      <c r="O764" s="7" t="str">
        <f t="shared" si="264"/>
        <v>#LI1ZBXKSU </v>
      </c>
      <c r="P764" s="21">
        <f t="shared" si="250"/>
        <v>43256</v>
      </c>
      <c r="Q764" s="22">
        <f>VLOOKUP(R764,Referencias!$D$1:$E$13,2,0)</f>
        <v>6</v>
      </c>
      <c r="R764" s="7" t="str">
        <f t="shared" si="265"/>
        <v>JUN</v>
      </c>
      <c r="S764" s="7">
        <f t="shared" si="266"/>
        <v>0</v>
      </c>
      <c r="T764" s="11">
        <f t="shared" si="267"/>
        <v>5</v>
      </c>
      <c r="U764" s="11">
        <f t="shared" si="268"/>
        <v>0</v>
      </c>
      <c r="V764" s="11" t="str">
        <f>VLOOKUP(C764,Referencias!$A$2:$B$33,2,1)</f>
        <v>14 - 15</v>
      </c>
      <c r="W764" s="23">
        <f t="shared" si="269"/>
        <v>3.6111111111111094E-2</v>
      </c>
      <c r="X764" s="11">
        <f t="shared" si="270"/>
        <v>3.93</v>
      </c>
      <c r="Y764" s="11">
        <f t="shared" si="271"/>
        <v>6.9401178753157371</v>
      </c>
      <c r="Z764" s="24">
        <f t="shared" si="272"/>
        <v>2.87</v>
      </c>
      <c r="AA764" s="25">
        <f t="shared" si="273"/>
        <v>3.3115384615384631</v>
      </c>
      <c r="AB764" s="24">
        <f t="shared" si="274"/>
        <v>1</v>
      </c>
      <c r="AC764" s="24">
        <f t="shared" si="247"/>
        <v>1.880275382908583</v>
      </c>
      <c r="AD764" s="24">
        <f t="shared" si="248"/>
        <v>2.2780959229762656</v>
      </c>
      <c r="AE764" s="24">
        <f t="shared" si="249"/>
        <v>2.7010331409627959</v>
      </c>
      <c r="AF764" s="119" t="str">
        <f>VLOOKUP(P764*1,Referencias!$G:$H,2,0)</f>
        <v>ter</v>
      </c>
    </row>
    <row r="765" spans="1:32" ht="12" customHeight="1" x14ac:dyDescent="0.25">
      <c r="A765" s="163"/>
      <c r="B765" s="164"/>
      <c r="C765" s="134">
        <v>0.62291666666666667</v>
      </c>
      <c r="D765" s="165"/>
      <c r="E765" s="165"/>
      <c r="F765" s="165"/>
      <c r="G765" s="166"/>
      <c r="H765" s="167"/>
      <c r="I765" s="147" t="s">
        <v>421</v>
      </c>
      <c r="N765" s="7" t="str">
        <f t="shared" si="263"/>
        <v>#LI1ZBXKSU </v>
      </c>
      <c r="O765" s="7">
        <f t="shared" si="264"/>
        <v>0</v>
      </c>
      <c r="P765" s="21">
        <f t="shared" si="250"/>
        <v>43256</v>
      </c>
      <c r="Q765" s="22">
        <f>VLOOKUP(R765,Referencias!$D$1:$E$13,2,0)</f>
        <v>6</v>
      </c>
      <c r="R765" s="7" t="str">
        <f t="shared" si="265"/>
        <v>JUN</v>
      </c>
      <c r="S765" s="7">
        <f t="shared" si="266"/>
        <v>0</v>
      </c>
      <c r="T765" s="11">
        <f t="shared" si="267"/>
        <v>5</v>
      </c>
      <c r="U765" s="11">
        <f t="shared" si="268"/>
        <v>0</v>
      </c>
      <c r="V765" s="11" t="str">
        <f>VLOOKUP(C765,Referencias!$A$2:$B$33,2,1)</f>
        <v>14 - 15</v>
      </c>
      <c r="W765" s="23" t="str">
        <f t="shared" si="269"/>
        <v/>
      </c>
      <c r="X765" s="11">
        <f t="shared" si="270"/>
        <v>0</v>
      </c>
      <c r="Y765" s="11">
        <f t="shared" si="271"/>
        <v>0</v>
      </c>
      <c r="Z765" s="24">
        <f t="shared" si="272"/>
        <v>0</v>
      </c>
      <c r="AA765" s="25">
        <f t="shared" si="273"/>
        <v>0</v>
      </c>
      <c r="AB765" s="24">
        <f t="shared" si="274"/>
        <v>0</v>
      </c>
      <c r="AC765" s="24">
        <f t="shared" si="247"/>
        <v>0</v>
      </c>
      <c r="AD765" s="24">
        <f t="shared" si="248"/>
        <v>0</v>
      </c>
      <c r="AE765" s="24">
        <f t="shared" si="249"/>
        <v>0</v>
      </c>
      <c r="AF765" s="119" t="str">
        <f>VLOOKUP(P765*1,Referencias!$G:$H,2,0)</f>
        <v>ter</v>
      </c>
    </row>
    <row r="766" spans="1:32" ht="12" customHeight="1" x14ac:dyDescent="0.25">
      <c r="A766" s="161"/>
      <c r="B766" s="161"/>
      <c r="C766" s="161"/>
      <c r="D766" s="161"/>
      <c r="E766" s="161"/>
      <c r="F766" s="161"/>
      <c r="G766" s="161"/>
      <c r="H766" s="161"/>
      <c r="I766" s="161"/>
      <c r="N766" s="7" t="str">
        <f t="shared" si="263"/>
        <v>#LI1ZBXKSU </v>
      </c>
      <c r="O766" s="7">
        <f t="shared" si="264"/>
        <v>0</v>
      </c>
      <c r="P766" s="21">
        <f t="shared" si="250"/>
        <v>43256</v>
      </c>
      <c r="Q766" s="22">
        <f>VLOOKUP(R766,Referencias!$D$1:$E$13,2,0)</f>
        <v>6</v>
      </c>
      <c r="R766" s="7" t="str">
        <f t="shared" si="265"/>
        <v>JUN</v>
      </c>
      <c r="S766" s="7">
        <f t="shared" si="266"/>
        <v>0</v>
      </c>
      <c r="T766" s="11">
        <f t="shared" si="267"/>
        <v>5</v>
      </c>
      <c r="U766" s="11">
        <f t="shared" si="268"/>
        <v>0</v>
      </c>
      <c r="V766" s="11" t="e">
        <f>VLOOKUP(C766,Referencias!$A$2:$B$33,2,1)</f>
        <v>#N/A</v>
      </c>
      <c r="W766" s="23" t="str">
        <f t="shared" si="269"/>
        <v/>
      </c>
      <c r="X766" s="11">
        <f t="shared" si="270"/>
        <v>0</v>
      </c>
      <c r="Y766" s="11">
        <f t="shared" si="271"/>
        <v>0</v>
      </c>
      <c r="Z766" s="24">
        <f t="shared" si="272"/>
        <v>0</v>
      </c>
      <c r="AA766" s="25">
        <f t="shared" si="273"/>
        <v>0</v>
      </c>
      <c r="AB766" s="24">
        <f t="shared" si="274"/>
        <v>0</v>
      </c>
      <c r="AC766" s="24">
        <f t="shared" si="247"/>
        <v>0</v>
      </c>
      <c r="AD766" s="24">
        <f t="shared" si="248"/>
        <v>0</v>
      </c>
      <c r="AE766" s="24">
        <f t="shared" si="249"/>
        <v>0</v>
      </c>
      <c r="AF766" s="119" t="str">
        <f>VLOOKUP(P766*1,Referencias!$G:$H,2,0)</f>
        <v>ter</v>
      </c>
    </row>
    <row r="767" spans="1:32" x14ac:dyDescent="0.25">
      <c r="A767" s="162"/>
      <c r="B767" s="162"/>
      <c r="C767" s="162"/>
      <c r="D767" s="162"/>
      <c r="E767" s="162"/>
      <c r="F767" s="162"/>
      <c r="G767" s="162"/>
      <c r="H767" s="162"/>
      <c r="I767" s="162"/>
      <c r="N767" s="7" t="str">
        <f t="shared" si="263"/>
        <v>#LI1ZBXKSU </v>
      </c>
      <c r="O767" s="7">
        <f t="shared" si="264"/>
        <v>0</v>
      </c>
      <c r="P767" s="21">
        <f t="shared" si="250"/>
        <v>43256</v>
      </c>
      <c r="Q767" s="22">
        <f>VLOOKUP(R767,Referencias!$D$1:$E$13,2,0)</f>
        <v>6</v>
      </c>
      <c r="R767" s="7" t="str">
        <f t="shared" si="265"/>
        <v>JUN</v>
      </c>
      <c r="S767" s="7">
        <f t="shared" si="266"/>
        <v>0</v>
      </c>
      <c r="T767" s="11">
        <f t="shared" si="267"/>
        <v>5</v>
      </c>
      <c r="U767" s="11">
        <f t="shared" si="268"/>
        <v>0</v>
      </c>
      <c r="V767" s="11" t="e">
        <f>VLOOKUP(C767,Referencias!$A$2:$B$33,2,1)</f>
        <v>#N/A</v>
      </c>
      <c r="W767" s="23" t="str">
        <f t="shared" si="269"/>
        <v/>
      </c>
      <c r="X767" s="11">
        <f t="shared" si="270"/>
        <v>0</v>
      </c>
      <c r="Y767" s="11">
        <f t="shared" si="271"/>
        <v>0</v>
      </c>
      <c r="Z767" s="24">
        <f t="shared" si="272"/>
        <v>0</v>
      </c>
      <c r="AA767" s="25">
        <f t="shared" si="273"/>
        <v>0</v>
      </c>
      <c r="AB767" s="24">
        <f t="shared" si="274"/>
        <v>0</v>
      </c>
      <c r="AC767" s="24">
        <f t="shared" si="247"/>
        <v>0</v>
      </c>
      <c r="AD767" s="24">
        <f t="shared" si="248"/>
        <v>0</v>
      </c>
      <c r="AE767" s="24">
        <f t="shared" si="249"/>
        <v>0</v>
      </c>
      <c r="AF767" s="119" t="str">
        <f>VLOOKUP(P767*1,Referencias!$G:$H,2,0)</f>
        <v>ter</v>
      </c>
    </row>
    <row r="768" spans="1:32" x14ac:dyDescent="0.25">
      <c r="A768" s="163"/>
      <c r="B768" s="164" t="s">
        <v>422</v>
      </c>
      <c r="C768" s="134">
        <v>0.81944444444444453</v>
      </c>
      <c r="D768" s="165">
        <v>2.74</v>
      </c>
      <c r="E768" s="165" t="s">
        <v>48</v>
      </c>
      <c r="F768" s="165"/>
      <c r="G768" s="166">
        <v>2.5499999999999998</v>
      </c>
      <c r="H768" s="167">
        <v>269.02</v>
      </c>
      <c r="I768" s="165"/>
      <c r="N768" s="7" t="str">
        <f t="shared" si="263"/>
        <v>#LIVKKH2GC </v>
      </c>
      <c r="O768" s="7" t="str">
        <f t="shared" si="264"/>
        <v>#LIVKKH2GC </v>
      </c>
      <c r="P768" s="21">
        <f t="shared" si="250"/>
        <v>43256</v>
      </c>
      <c r="Q768" s="22">
        <f>VLOOKUP(R768,Referencias!$D$1:$E$13,2,0)</f>
        <v>6</v>
      </c>
      <c r="R768" s="7" t="str">
        <f t="shared" si="265"/>
        <v>JUN</v>
      </c>
      <c r="S768" s="7">
        <f t="shared" si="266"/>
        <v>0</v>
      </c>
      <c r="T768" s="11">
        <f t="shared" si="267"/>
        <v>5</v>
      </c>
      <c r="U768" s="11">
        <f t="shared" si="268"/>
        <v>0</v>
      </c>
      <c r="V768" s="11" t="str">
        <f>VLOOKUP(C768,Referencias!$A$2:$B$33,2,1)</f>
        <v>19 - 20</v>
      </c>
      <c r="W768" s="23">
        <f t="shared" si="269"/>
        <v>2.6388888888888795E-2</v>
      </c>
      <c r="X768" s="11">
        <f t="shared" si="270"/>
        <v>2.74</v>
      </c>
      <c r="Y768" s="11">
        <f t="shared" si="271"/>
        <v>4.8386572464033382</v>
      </c>
      <c r="Z768" s="24">
        <f t="shared" si="272"/>
        <v>2.5499999999999998</v>
      </c>
      <c r="AA768" s="25">
        <f t="shared" si="273"/>
        <v>4.0263157894736983</v>
      </c>
      <c r="AB768" s="24">
        <f t="shared" si="274"/>
        <v>1</v>
      </c>
      <c r="AC768" s="24">
        <f t="shared" si="247"/>
        <v>1.670627953455361</v>
      </c>
      <c r="AD768" s="24">
        <f t="shared" si="248"/>
        <v>2.0240921963726399</v>
      </c>
      <c r="AE768" s="24">
        <f t="shared" si="249"/>
        <v>2.3998726513780939</v>
      </c>
      <c r="AF768" s="119" t="str">
        <f>VLOOKUP(P768*1,Referencias!$G:$H,2,0)</f>
        <v>ter</v>
      </c>
    </row>
    <row r="769" spans="1:32" ht="12" customHeight="1" x14ac:dyDescent="0.25">
      <c r="A769" s="163"/>
      <c r="B769" s="164"/>
      <c r="C769" s="134">
        <v>0.84583333333333333</v>
      </c>
      <c r="D769" s="165"/>
      <c r="E769" s="165"/>
      <c r="F769" s="165"/>
      <c r="G769" s="166"/>
      <c r="H769" s="167"/>
      <c r="I769" s="165"/>
      <c r="N769" s="7" t="str">
        <f t="shared" si="263"/>
        <v>#LIVKKH2GC </v>
      </c>
      <c r="O769" s="7">
        <f t="shared" si="264"/>
        <v>0</v>
      </c>
      <c r="P769" s="21">
        <f t="shared" si="250"/>
        <v>43256</v>
      </c>
      <c r="Q769" s="22">
        <f>VLOOKUP(R769,Referencias!$D$1:$E$13,2,0)</f>
        <v>6</v>
      </c>
      <c r="R769" s="7" t="str">
        <f t="shared" si="265"/>
        <v>JUN</v>
      </c>
      <c r="S769" s="7">
        <f t="shared" si="266"/>
        <v>0</v>
      </c>
      <c r="T769" s="11">
        <f t="shared" si="267"/>
        <v>5</v>
      </c>
      <c r="U769" s="11">
        <f t="shared" si="268"/>
        <v>0</v>
      </c>
      <c r="V769" s="11" t="str">
        <f>VLOOKUP(C769,Referencias!$A$2:$B$33,2,1)</f>
        <v>20 - 21</v>
      </c>
      <c r="W769" s="23" t="str">
        <f t="shared" si="269"/>
        <v/>
      </c>
      <c r="X769" s="11">
        <f t="shared" si="270"/>
        <v>0</v>
      </c>
      <c r="Y769" s="11">
        <f t="shared" si="271"/>
        <v>0</v>
      </c>
      <c r="Z769" s="24">
        <f t="shared" si="272"/>
        <v>0</v>
      </c>
      <c r="AA769" s="25">
        <f t="shared" si="273"/>
        <v>0</v>
      </c>
      <c r="AB769" s="24">
        <f t="shared" si="274"/>
        <v>0</v>
      </c>
      <c r="AC769" s="24">
        <f t="shared" si="247"/>
        <v>0</v>
      </c>
      <c r="AD769" s="24">
        <f t="shared" si="248"/>
        <v>0</v>
      </c>
      <c r="AE769" s="24">
        <f t="shared" si="249"/>
        <v>0</v>
      </c>
      <c r="AF769" s="119" t="str">
        <f>VLOOKUP(P769*1,Referencias!$G:$H,2,0)</f>
        <v>ter</v>
      </c>
    </row>
    <row r="770" spans="1:32" ht="12" customHeight="1" x14ac:dyDescent="0.25">
      <c r="A770" s="161"/>
      <c r="B770" s="161"/>
      <c r="C770" s="161"/>
      <c r="D770" s="161"/>
      <c r="E770" s="161"/>
      <c r="F770" s="161"/>
      <c r="G770" s="161"/>
      <c r="H770" s="161"/>
      <c r="I770" s="161"/>
      <c r="N770" s="7" t="str">
        <f t="shared" si="263"/>
        <v>#LIVKKH2GC </v>
      </c>
      <c r="O770" s="7">
        <f t="shared" si="264"/>
        <v>0</v>
      </c>
      <c r="P770" s="21">
        <f t="shared" si="250"/>
        <v>43256</v>
      </c>
      <c r="Q770" s="22">
        <f>VLOOKUP(R770,Referencias!$D$1:$E$13,2,0)</f>
        <v>6</v>
      </c>
      <c r="R770" s="7" t="str">
        <f t="shared" si="265"/>
        <v>JUN</v>
      </c>
      <c r="S770" s="7">
        <f t="shared" si="266"/>
        <v>0</v>
      </c>
      <c r="T770" s="11">
        <f t="shared" si="267"/>
        <v>5</v>
      </c>
      <c r="U770" s="11">
        <f t="shared" si="268"/>
        <v>0</v>
      </c>
      <c r="V770" s="11" t="e">
        <f>VLOOKUP(C770,Referencias!$A$2:$B$33,2,1)</f>
        <v>#N/A</v>
      </c>
      <c r="W770" s="23" t="str">
        <f t="shared" si="269"/>
        <v/>
      </c>
      <c r="X770" s="11">
        <f t="shared" si="270"/>
        <v>0</v>
      </c>
      <c r="Y770" s="11">
        <f t="shared" si="271"/>
        <v>0</v>
      </c>
      <c r="Z770" s="24">
        <f t="shared" si="272"/>
        <v>0</v>
      </c>
      <c r="AA770" s="25">
        <f t="shared" si="273"/>
        <v>0</v>
      </c>
      <c r="AB770" s="24">
        <f t="shared" si="274"/>
        <v>0</v>
      </c>
      <c r="AC770" s="24">
        <f t="shared" ref="AC770:AC833" si="275">Z770*$AL$14</f>
        <v>0</v>
      </c>
      <c r="AD770" s="24">
        <f t="shared" ref="AD770:AD833" si="276">Z770*$AN$14</f>
        <v>0</v>
      </c>
      <c r="AE770" s="24">
        <f t="shared" ref="AE770:AE833" si="277">Z770*$AL$26</f>
        <v>0</v>
      </c>
      <c r="AF770" s="119" t="str">
        <f>VLOOKUP(P770*1,Referencias!$G:$H,2,0)</f>
        <v>ter</v>
      </c>
    </row>
    <row r="771" spans="1:32" x14ac:dyDescent="0.25">
      <c r="A771" s="162"/>
      <c r="B771" s="162"/>
      <c r="C771" s="162"/>
      <c r="D771" s="162"/>
      <c r="E771" s="162"/>
      <c r="F771" s="162"/>
      <c r="G771" s="162"/>
      <c r="H771" s="162"/>
      <c r="I771" s="162"/>
      <c r="N771" s="7" t="str">
        <f t="shared" si="263"/>
        <v>#LIVKKH2GC </v>
      </c>
      <c r="O771" s="7">
        <f t="shared" si="264"/>
        <v>0</v>
      </c>
      <c r="P771" s="21">
        <f t="shared" ref="P771:P777" si="278">(T771&amp;"/"&amp;Q771&amp;"/2018")*1</f>
        <v>43256</v>
      </c>
      <c r="Q771" s="22">
        <f>VLOOKUP(R771,Referencias!$D$1:$E$13,2,0)</f>
        <v>6</v>
      </c>
      <c r="R771" s="7" t="str">
        <f t="shared" si="265"/>
        <v>JUN</v>
      </c>
      <c r="S771" s="7">
        <f t="shared" si="266"/>
        <v>0</v>
      </c>
      <c r="T771" s="11">
        <f t="shared" si="267"/>
        <v>5</v>
      </c>
      <c r="U771" s="11">
        <f t="shared" si="268"/>
        <v>0</v>
      </c>
      <c r="V771" s="11" t="e">
        <f>VLOOKUP(C771,Referencias!$A$2:$B$33,2,1)</f>
        <v>#N/A</v>
      </c>
      <c r="W771" s="23" t="str">
        <f t="shared" si="269"/>
        <v/>
      </c>
      <c r="X771" s="11">
        <f t="shared" si="270"/>
        <v>0</v>
      </c>
      <c r="Y771" s="11">
        <f t="shared" si="271"/>
        <v>0</v>
      </c>
      <c r="Z771" s="24">
        <f t="shared" si="272"/>
        <v>0</v>
      </c>
      <c r="AA771" s="25">
        <f t="shared" si="273"/>
        <v>0</v>
      </c>
      <c r="AB771" s="24">
        <f t="shared" si="274"/>
        <v>0</v>
      </c>
      <c r="AC771" s="24">
        <f t="shared" si="275"/>
        <v>0</v>
      </c>
      <c r="AD771" s="24">
        <f t="shared" si="276"/>
        <v>0</v>
      </c>
      <c r="AE771" s="24">
        <f t="shared" si="277"/>
        <v>0</v>
      </c>
      <c r="AF771" s="119" t="str">
        <f>VLOOKUP(P771*1,Referencias!$G:$H,2,0)</f>
        <v>ter</v>
      </c>
    </row>
    <row r="772" spans="1:32" x14ac:dyDescent="0.25">
      <c r="A772" s="163"/>
      <c r="B772" s="164" t="s">
        <v>423</v>
      </c>
      <c r="C772" s="134">
        <v>0.84583333333333333</v>
      </c>
      <c r="D772" s="165">
        <v>4.04</v>
      </c>
      <c r="E772" s="165" t="s">
        <v>36</v>
      </c>
      <c r="F772" s="149">
        <v>0.87</v>
      </c>
      <c r="G772" s="166">
        <v>3.78</v>
      </c>
      <c r="H772" s="167">
        <v>272.8</v>
      </c>
      <c r="I772" s="165"/>
      <c r="N772" s="7" t="str">
        <f t="shared" si="263"/>
        <v>#LISBD2LS1 </v>
      </c>
      <c r="O772" s="7" t="str">
        <f t="shared" si="264"/>
        <v>#LISBD2LS1 </v>
      </c>
      <c r="P772" s="21">
        <f t="shared" si="278"/>
        <v>43256</v>
      </c>
      <c r="Q772" s="22">
        <f>VLOOKUP(R772,Referencias!$D$1:$E$13,2,0)</f>
        <v>6</v>
      </c>
      <c r="R772" s="7" t="str">
        <f t="shared" si="265"/>
        <v>JUN</v>
      </c>
      <c r="S772" s="7">
        <f t="shared" si="266"/>
        <v>0</v>
      </c>
      <c r="T772" s="11">
        <f t="shared" si="267"/>
        <v>5</v>
      </c>
      <c r="U772" s="11">
        <f t="shared" si="268"/>
        <v>0</v>
      </c>
      <c r="V772" s="11" t="str">
        <f>VLOOKUP(C772,Referencias!$A$2:$B$33,2,1)</f>
        <v>20 - 21</v>
      </c>
      <c r="W772" s="23">
        <f t="shared" si="269"/>
        <v>2.8472222222222232E-2</v>
      </c>
      <c r="X772" s="11">
        <f t="shared" si="270"/>
        <v>4.04</v>
      </c>
      <c r="Y772" s="11">
        <f t="shared" si="271"/>
        <v>7.1343705384925133</v>
      </c>
      <c r="Z772" s="24">
        <f t="shared" si="272"/>
        <v>3.78</v>
      </c>
      <c r="AA772" s="25">
        <f t="shared" si="273"/>
        <v>5.5317073170731685</v>
      </c>
      <c r="AB772" s="24">
        <f t="shared" si="274"/>
        <v>1</v>
      </c>
      <c r="AC772" s="24">
        <f t="shared" si="275"/>
        <v>2.4764602604161823</v>
      </c>
      <c r="AD772" s="24">
        <f t="shared" si="276"/>
        <v>3.0004190205053254</v>
      </c>
      <c r="AE772" s="24">
        <f t="shared" si="277"/>
        <v>3.557458283219292</v>
      </c>
      <c r="AF772" s="119" t="str">
        <f>VLOOKUP(P772*1,Referencias!$G:$H,2,0)</f>
        <v>ter</v>
      </c>
    </row>
    <row r="773" spans="1:32" ht="12" customHeight="1" x14ac:dyDescent="0.25">
      <c r="A773" s="163"/>
      <c r="B773" s="164"/>
      <c r="C773" s="134">
        <v>0.87430555555555556</v>
      </c>
      <c r="D773" s="165"/>
      <c r="E773" s="165"/>
      <c r="F773" s="145" t="s">
        <v>349</v>
      </c>
      <c r="G773" s="166"/>
      <c r="H773" s="167"/>
      <c r="I773" s="165"/>
      <c r="N773" s="7" t="str">
        <f t="shared" si="263"/>
        <v>#LISBD2LS1 </v>
      </c>
      <c r="O773" s="7">
        <f t="shared" si="264"/>
        <v>0</v>
      </c>
      <c r="P773" s="21">
        <f t="shared" si="278"/>
        <v>43256</v>
      </c>
      <c r="Q773" s="22">
        <f>VLOOKUP(R773,Referencias!$D$1:$E$13,2,0)</f>
        <v>6</v>
      </c>
      <c r="R773" s="7" t="str">
        <f t="shared" si="265"/>
        <v>JUN</v>
      </c>
      <c r="S773" s="7">
        <f t="shared" si="266"/>
        <v>0</v>
      </c>
      <c r="T773" s="11">
        <f t="shared" si="267"/>
        <v>5</v>
      </c>
      <c r="U773" s="11">
        <f t="shared" si="268"/>
        <v>0</v>
      </c>
      <c r="V773" s="11" t="str">
        <f>VLOOKUP(C773,Referencias!$A$2:$B$33,2,1)</f>
        <v>20 - 21</v>
      </c>
      <c r="W773" s="23" t="str">
        <f t="shared" si="269"/>
        <v/>
      </c>
      <c r="X773" s="11">
        <f t="shared" si="270"/>
        <v>0</v>
      </c>
      <c r="Y773" s="11">
        <f t="shared" si="271"/>
        <v>0</v>
      </c>
      <c r="Z773" s="24">
        <f t="shared" si="272"/>
        <v>0</v>
      </c>
      <c r="AA773" s="25">
        <f t="shared" si="273"/>
        <v>0</v>
      </c>
      <c r="AB773" s="24">
        <f t="shared" si="274"/>
        <v>0</v>
      </c>
      <c r="AC773" s="24">
        <f t="shared" si="275"/>
        <v>0</v>
      </c>
      <c r="AD773" s="24">
        <f t="shared" si="276"/>
        <v>0</v>
      </c>
      <c r="AE773" s="24">
        <f t="shared" si="277"/>
        <v>0</v>
      </c>
      <c r="AF773" s="119" t="str">
        <f>VLOOKUP(P773*1,Referencias!$G:$H,2,0)</f>
        <v>ter</v>
      </c>
    </row>
    <row r="774" spans="1:32" ht="12" customHeight="1" x14ac:dyDescent="0.25">
      <c r="A774" s="161"/>
      <c r="B774" s="161"/>
      <c r="C774" s="161"/>
      <c r="D774" s="161"/>
      <c r="E774" s="161"/>
      <c r="F774" s="161"/>
      <c r="G774" s="161"/>
      <c r="H774" s="161"/>
      <c r="I774" s="161"/>
      <c r="N774" s="7" t="str">
        <f t="shared" si="263"/>
        <v>#LISBD2LS1 </v>
      </c>
      <c r="O774" s="7">
        <f t="shared" si="264"/>
        <v>0</v>
      </c>
      <c r="P774" s="21">
        <f t="shared" si="278"/>
        <v>43256</v>
      </c>
      <c r="Q774" s="22">
        <f>VLOOKUP(R774,Referencias!$D$1:$E$13,2,0)</f>
        <v>6</v>
      </c>
      <c r="R774" s="7" t="str">
        <f t="shared" si="265"/>
        <v>JUN</v>
      </c>
      <c r="S774" s="7">
        <f t="shared" si="266"/>
        <v>0</v>
      </c>
      <c r="T774" s="11">
        <f t="shared" si="267"/>
        <v>5</v>
      </c>
      <c r="U774" s="11">
        <f t="shared" si="268"/>
        <v>0</v>
      </c>
      <c r="V774" s="11" t="e">
        <f>VLOOKUP(C774,Referencias!$A$2:$B$33,2,1)</f>
        <v>#N/A</v>
      </c>
      <c r="W774" s="23" t="str">
        <f t="shared" si="269"/>
        <v/>
      </c>
      <c r="X774" s="11">
        <f t="shared" si="270"/>
        <v>0</v>
      </c>
      <c r="Y774" s="11">
        <f t="shared" si="271"/>
        <v>0</v>
      </c>
      <c r="Z774" s="24">
        <f t="shared" si="272"/>
        <v>0</v>
      </c>
      <c r="AA774" s="25">
        <f t="shared" si="273"/>
        <v>0</v>
      </c>
      <c r="AB774" s="24">
        <f t="shared" si="274"/>
        <v>0</v>
      </c>
      <c r="AC774" s="24">
        <f t="shared" si="275"/>
        <v>0</v>
      </c>
      <c r="AD774" s="24">
        <f t="shared" si="276"/>
        <v>0</v>
      </c>
      <c r="AE774" s="24">
        <f t="shared" si="277"/>
        <v>0</v>
      </c>
      <c r="AF774" s="119" t="str">
        <f>VLOOKUP(P774*1,Referencias!$G:$H,2,0)</f>
        <v>ter</v>
      </c>
    </row>
    <row r="775" spans="1:32" x14ac:dyDescent="0.25">
      <c r="A775" s="162"/>
      <c r="B775" s="162"/>
      <c r="C775" s="162"/>
      <c r="D775" s="162"/>
      <c r="E775" s="162"/>
      <c r="F775" s="162"/>
      <c r="G775" s="162"/>
      <c r="H775" s="162"/>
      <c r="I775" s="162"/>
      <c r="N775" s="7" t="str">
        <f t="shared" si="263"/>
        <v>#LISBD2LS1 </v>
      </c>
      <c r="O775" s="7">
        <f t="shared" si="264"/>
        <v>0</v>
      </c>
      <c r="P775" s="21">
        <f t="shared" si="278"/>
        <v>43256</v>
      </c>
      <c r="Q775" s="22">
        <f>VLOOKUP(R775,Referencias!$D$1:$E$13,2,0)</f>
        <v>6</v>
      </c>
      <c r="R775" s="7" t="str">
        <f t="shared" si="265"/>
        <v>JUN</v>
      </c>
      <c r="S775" s="7">
        <f t="shared" si="266"/>
        <v>0</v>
      </c>
      <c r="T775" s="11">
        <f t="shared" si="267"/>
        <v>5</v>
      </c>
      <c r="U775" s="11">
        <f t="shared" si="268"/>
        <v>0</v>
      </c>
      <c r="V775" s="11" t="e">
        <f>VLOOKUP(C775,Referencias!$A$2:$B$33,2,1)</f>
        <v>#N/A</v>
      </c>
      <c r="W775" s="23" t="str">
        <f t="shared" si="269"/>
        <v/>
      </c>
      <c r="X775" s="11">
        <f t="shared" si="270"/>
        <v>0</v>
      </c>
      <c r="Y775" s="11">
        <f t="shared" si="271"/>
        <v>0</v>
      </c>
      <c r="Z775" s="24">
        <f t="shared" si="272"/>
        <v>0</v>
      </c>
      <c r="AA775" s="25">
        <f t="shared" si="273"/>
        <v>0</v>
      </c>
      <c r="AB775" s="24">
        <f t="shared" si="274"/>
        <v>0</v>
      </c>
      <c r="AC775" s="24">
        <f t="shared" si="275"/>
        <v>0</v>
      </c>
      <c r="AD775" s="24">
        <f t="shared" si="276"/>
        <v>0</v>
      </c>
      <c r="AE775" s="24">
        <f t="shared" si="277"/>
        <v>0</v>
      </c>
      <c r="AF775" s="119" t="str">
        <f>VLOOKUP(P775*1,Referencias!$G:$H,2,0)</f>
        <v>ter</v>
      </c>
    </row>
    <row r="776" spans="1:32" x14ac:dyDescent="0.25">
      <c r="A776" s="163"/>
      <c r="B776" s="164" t="s">
        <v>424</v>
      </c>
      <c r="C776" s="134">
        <v>0.87430555555555556</v>
      </c>
      <c r="D776" s="165">
        <v>8.2899999999999991</v>
      </c>
      <c r="E776" s="165" t="s">
        <v>44</v>
      </c>
      <c r="F776" s="149">
        <v>1.32</v>
      </c>
      <c r="G776" s="166">
        <v>5.72</v>
      </c>
      <c r="H776" s="167">
        <v>278.52</v>
      </c>
      <c r="I776" s="165"/>
      <c r="N776" s="7" t="str">
        <f t="shared" si="263"/>
        <v>#LICH6JS1G </v>
      </c>
      <c r="O776" s="7" t="str">
        <f t="shared" si="264"/>
        <v>#LICH6JS1G </v>
      </c>
      <c r="P776" s="21">
        <f t="shared" si="278"/>
        <v>43256</v>
      </c>
      <c r="Q776" s="22">
        <f>VLOOKUP(R776,Referencias!$D$1:$E$13,2,0)</f>
        <v>6</v>
      </c>
      <c r="R776" s="7" t="str">
        <f t="shared" si="265"/>
        <v>JUN</v>
      </c>
      <c r="S776" s="7">
        <f t="shared" si="266"/>
        <v>0</v>
      </c>
      <c r="T776" s="11">
        <f t="shared" si="267"/>
        <v>5</v>
      </c>
      <c r="U776" s="11">
        <f t="shared" si="268"/>
        <v>0</v>
      </c>
      <c r="V776" s="11" t="str">
        <f>VLOOKUP(C776,Referencias!$A$2:$B$33,2,1)</f>
        <v>20 - 21</v>
      </c>
      <c r="W776" s="23">
        <f t="shared" si="269"/>
        <v>2.4999999999999911E-2</v>
      </c>
      <c r="X776" s="11">
        <f t="shared" si="270"/>
        <v>8.2899999999999991</v>
      </c>
      <c r="Y776" s="11">
        <f t="shared" si="271"/>
        <v>14.639587070322508</v>
      </c>
      <c r="Z776" s="24">
        <f t="shared" si="272"/>
        <v>5.72</v>
      </c>
      <c r="AA776" s="25">
        <f t="shared" si="273"/>
        <v>9.533333333333367</v>
      </c>
      <c r="AB776" s="24">
        <f t="shared" si="274"/>
        <v>1</v>
      </c>
      <c r="AC776" s="24">
        <f t="shared" si="275"/>
        <v>3.7474478014763393</v>
      </c>
      <c r="AD776" s="24">
        <f t="shared" si="276"/>
        <v>4.5403166130398045</v>
      </c>
      <c r="AE776" s="24">
        <f t="shared" si="277"/>
        <v>5.3832437513265479</v>
      </c>
      <c r="AF776" s="119" t="str">
        <f>VLOOKUP(P776*1,Referencias!$G:$H,2,0)</f>
        <v>ter</v>
      </c>
    </row>
    <row r="777" spans="1:32" x14ac:dyDescent="0.25">
      <c r="A777" s="163"/>
      <c r="B777" s="164"/>
      <c r="C777" s="134">
        <v>0.89930555555555547</v>
      </c>
      <c r="D777" s="165"/>
      <c r="E777" s="165"/>
      <c r="F777" s="145" t="s">
        <v>349</v>
      </c>
      <c r="G777" s="166"/>
      <c r="H777" s="167"/>
      <c r="I777" s="165"/>
      <c r="N777" s="7" t="str">
        <f t="shared" si="263"/>
        <v>#LICH6JS1G </v>
      </c>
      <c r="O777" s="7">
        <f t="shared" si="264"/>
        <v>0</v>
      </c>
      <c r="P777" s="21">
        <f t="shared" si="278"/>
        <v>43256</v>
      </c>
      <c r="Q777" s="22">
        <f>VLOOKUP(R777,Referencias!$D$1:$E$13,2,0)</f>
        <v>6</v>
      </c>
      <c r="R777" s="7" t="str">
        <f t="shared" si="265"/>
        <v>JUN</v>
      </c>
      <c r="S777" s="7">
        <f t="shared" si="266"/>
        <v>0</v>
      </c>
      <c r="T777" s="11">
        <f t="shared" si="267"/>
        <v>5</v>
      </c>
      <c r="U777" s="11">
        <f t="shared" si="268"/>
        <v>0</v>
      </c>
      <c r="V777" s="11" t="str">
        <f>VLOOKUP(C777,Referencias!$A$2:$B$33,2,1)</f>
        <v>21 - 22</v>
      </c>
      <c r="W777" s="23" t="str">
        <f t="shared" si="269"/>
        <v/>
      </c>
      <c r="X777" s="11">
        <f t="shared" si="270"/>
        <v>0</v>
      </c>
      <c r="Y777" s="11">
        <f t="shared" si="271"/>
        <v>0</v>
      </c>
      <c r="Z777" s="24">
        <f t="shared" si="272"/>
        <v>0</v>
      </c>
      <c r="AA777" s="25">
        <f t="shared" si="273"/>
        <v>0</v>
      </c>
      <c r="AB777" s="24">
        <f t="shared" si="274"/>
        <v>0</v>
      </c>
      <c r="AC777" s="24">
        <f t="shared" si="275"/>
        <v>0</v>
      </c>
      <c r="AD777" s="24">
        <f t="shared" si="276"/>
        <v>0</v>
      </c>
      <c r="AE777" s="24">
        <f t="shared" si="277"/>
        <v>0</v>
      </c>
      <c r="AF777" s="119" t="str">
        <f>VLOOKUP(P777*1,Referencias!$G:$H,2,0)</f>
        <v>ter</v>
      </c>
    </row>
    <row r="778" spans="1:32" ht="12.6" thickBot="1" x14ac:dyDescent="0.3">
      <c r="A778" s="172"/>
      <c r="B778" s="172"/>
      <c r="C778" s="172"/>
      <c r="D778" s="172"/>
      <c r="E778" s="172"/>
      <c r="F778" s="172"/>
      <c r="G778" s="172"/>
      <c r="H778" s="172"/>
      <c r="I778" s="172"/>
      <c r="N778" s="7" t="str">
        <f t="shared" ref="N778:N796" si="279">IF(O778&lt;&gt;0,O778,N777)</f>
        <v>#LICH6JS1G </v>
      </c>
      <c r="O778" s="7">
        <f t="shared" ref="O778:O796" si="280">IF(X778&gt;0,B778,0)</f>
        <v>0</v>
      </c>
      <c r="P778" s="21">
        <f t="shared" ref="P778:P796" si="281">(T778&amp;"/"&amp;Q778&amp;"/2018")*1</f>
        <v>43256</v>
      </c>
      <c r="Q778" s="22">
        <f>VLOOKUP(R778,Referencias!$D$1:$E$13,2,0)</f>
        <v>6</v>
      </c>
      <c r="R778" s="7" t="str">
        <f t="shared" ref="R778:R796" si="282">IF(S778="ganhos garantidos",R777,IF(S778&lt;&gt;0,S778,R777))</f>
        <v>JUN</v>
      </c>
      <c r="S778" s="7">
        <f t="shared" ref="S778:S796" si="283">IF(X778&gt;0,A779,0)</f>
        <v>0</v>
      </c>
      <c r="T778" s="11">
        <f t="shared" ref="T778:T796" si="284">IF(U778&lt;&gt;0,U778,T777)</f>
        <v>5</v>
      </c>
      <c r="U778" s="11">
        <f t="shared" ref="U778:U796" si="285">IF(X778&gt;0,A778,0)</f>
        <v>0</v>
      </c>
      <c r="V778" s="11" t="e">
        <f>VLOOKUP(C778,Referencias!$A$2:$B$33,2,1)</f>
        <v>#N/A</v>
      </c>
      <c r="W778" s="23" t="str">
        <f t="shared" ref="W778:W796" si="286">IF(X778&gt;0,C779-C778,"")</f>
        <v/>
      </c>
      <c r="X778" s="11">
        <f t="shared" ref="X778:X796" si="287">D778*1</f>
        <v>0</v>
      </c>
      <c r="Y778" s="11">
        <f t="shared" ref="Y778:Y796" si="288">X778*$AK$2</f>
        <v>0</v>
      </c>
      <c r="Z778" s="24">
        <f t="shared" ref="Z778:Z796" si="289">IF(A778="Ganhos Garantidos",G778,IF(X778&gt;0,G778*1,0))</f>
        <v>0</v>
      </c>
      <c r="AA778" s="25">
        <f t="shared" ref="AA778:AA796" si="290">IFERROR(Z778/(86400*(W778)/360/10),0)</f>
        <v>0</v>
      </c>
      <c r="AB778" s="24">
        <f t="shared" ref="AB778:AB796" si="291">IF(O778&gt;0,1,0)</f>
        <v>0</v>
      </c>
      <c r="AC778" s="24">
        <f t="shared" si="275"/>
        <v>0</v>
      </c>
      <c r="AD778" s="24">
        <f t="shared" si="276"/>
        <v>0</v>
      </c>
      <c r="AE778" s="24">
        <f t="shared" si="277"/>
        <v>0</v>
      </c>
      <c r="AF778" s="119" t="str">
        <f>VLOOKUP(P778*1,Referencias!$G:$H,2,0)</f>
        <v>ter</v>
      </c>
    </row>
    <row r="779" spans="1:32" x14ac:dyDescent="0.25">
      <c r="A779" s="147">
        <v>6</v>
      </c>
      <c r="B779" s="168" t="s">
        <v>432</v>
      </c>
      <c r="C779" s="134">
        <v>0.5229166666666667</v>
      </c>
      <c r="D779" s="169">
        <v>7.18</v>
      </c>
      <c r="E779" s="169" t="s">
        <v>381</v>
      </c>
      <c r="F779" s="169"/>
      <c r="G779" s="170">
        <v>4.01</v>
      </c>
      <c r="H779" s="171">
        <v>282.52999999999997</v>
      </c>
      <c r="I779" s="169"/>
      <c r="N779" s="7" t="str">
        <f t="shared" si="279"/>
        <v>#LIJP3CKZP </v>
      </c>
      <c r="O779" s="7" t="str">
        <f t="shared" si="280"/>
        <v>#LIJP3CKZP </v>
      </c>
      <c r="P779" s="21">
        <f t="shared" si="281"/>
        <v>43257</v>
      </c>
      <c r="Q779" s="22">
        <f>VLOOKUP(R779,Referencias!$D$1:$E$13,2,0)</f>
        <v>6</v>
      </c>
      <c r="R779" s="7" t="str">
        <f t="shared" si="282"/>
        <v>JUN</v>
      </c>
      <c r="S779" s="7" t="str">
        <f t="shared" si="283"/>
        <v>JUN</v>
      </c>
      <c r="T779" s="11">
        <f t="shared" si="284"/>
        <v>6</v>
      </c>
      <c r="U779" s="11">
        <f t="shared" si="285"/>
        <v>6</v>
      </c>
      <c r="V779" s="11" t="str">
        <f>VLOOKUP(C779,Referencias!$A$2:$B$33,2,1)</f>
        <v>12 - 13</v>
      </c>
      <c r="W779" s="23">
        <f t="shared" si="286"/>
        <v>3.8888888888888862E-2</v>
      </c>
      <c r="X779" s="11">
        <f t="shared" si="287"/>
        <v>7.18</v>
      </c>
      <c r="Y779" s="11">
        <f t="shared" si="288"/>
        <v>12.679401105538673</v>
      </c>
      <c r="Z779" s="24">
        <f t="shared" si="289"/>
        <v>4.01</v>
      </c>
      <c r="AA779" s="25">
        <f t="shared" si="290"/>
        <v>4.2964285714285744</v>
      </c>
      <c r="AB779" s="24">
        <f t="shared" si="291"/>
        <v>1</v>
      </c>
      <c r="AC779" s="24">
        <f t="shared" si="275"/>
        <v>2.6271443503356853</v>
      </c>
      <c r="AD779" s="24">
        <f t="shared" si="276"/>
        <v>3.1829841990016807</v>
      </c>
      <c r="AE779" s="24">
        <f t="shared" si="277"/>
        <v>3.7739173851082963</v>
      </c>
      <c r="AF779" s="119" t="str">
        <f>VLOOKUP(P779*1,Referencias!$G:$H,2,0)</f>
        <v>qua</v>
      </c>
    </row>
    <row r="780" spans="1:32" ht="12" customHeight="1" x14ac:dyDescent="0.25">
      <c r="A780" s="147" t="s">
        <v>250</v>
      </c>
      <c r="B780" s="164"/>
      <c r="C780" s="134">
        <v>0.56180555555555556</v>
      </c>
      <c r="D780" s="165"/>
      <c r="E780" s="165"/>
      <c r="F780" s="165"/>
      <c r="G780" s="166"/>
      <c r="H780" s="167"/>
      <c r="I780" s="165"/>
      <c r="N780" s="7" t="str">
        <f t="shared" si="279"/>
        <v>#LIJP3CKZP </v>
      </c>
      <c r="O780" s="7">
        <f t="shared" si="280"/>
        <v>0</v>
      </c>
      <c r="P780" s="21">
        <f t="shared" si="281"/>
        <v>43257</v>
      </c>
      <c r="Q780" s="22">
        <f>VLOOKUP(R780,Referencias!$D$1:$E$13,2,0)</f>
        <v>6</v>
      </c>
      <c r="R780" s="7" t="str">
        <f t="shared" si="282"/>
        <v>JUN</v>
      </c>
      <c r="S780" s="7">
        <f t="shared" si="283"/>
        <v>0</v>
      </c>
      <c r="T780" s="11">
        <f t="shared" si="284"/>
        <v>6</v>
      </c>
      <c r="U780" s="11">
        <f t="shared" si="285"/>
        <v>0</v>
      </c>
      <c r="V780" s="11" t="str">
        <f>VLOOKUP(C780,Referencias!$A$2:$B$33,2,1)</f>
        <v>13 - 14</v>
      </c>
      <c r="W780" s="23" t="str">
        <f t="shared" si="286"/>
        <v/>
      </c>
      <c r="X780" s="11">
        <f t="shared" si="287"/>
        <v>0</v>
      </c>
      <c r="Y780" s="11">
        <f t="shared" si="288"/>
        <v>0</v>
      </c>
      <c r="Z780" s="24">
        <f t="shared" si="289"/>
        <v>0</v>
      </c>
      <c r="AA780" s="25">
        <f t="shared" si="290"/>
        <v>0</v>
      </c>
      <c r="AB780" s="24">
        <f t="shared" si="291"/>
        <v>0</v>
      </c>
      <c r="AC780" s="24">
        <f t="shared" si="275"/>
        <v>0</v>
      </c>
      <c r="AD780" s="24">
        <f t="shared" si="276"/>
        <v>0</v>
      </c>
      <c r="AE780" s="24">
        <f t="shared" si="277"/>
        <v>0</v>
      </c>
      <c r="AF780" s="119" t="str">
        <f>VLOOKUP(P780*1,Referencias!$G:$H,2,0)</f>
        <v>qua</v>
      </c>
    </row>
    <row r="781" spans="1:32" ht="12" customHeight="1" x14ac:dyDescent="0.25">
      <c r="A781" s="161"/>
      <c r="B781" s="161"/>
      <c r="C781" s="161"/>
      <c r="D781" s="161"/>
      <c r="E781" s="161"/>
      <c r="F781" s="161"/>
      <c r="G781" s="161"/>
      <c r="H781" s="161"/>
      <c r="I781" s="161"/>
      <c r="N781" s="7" t="str">
        <f t="shared" si="279"/>
        <v>#LIJP3CKZP </v>
      </c>
      <c r="O781" s="7">
        <f t="shared" si="280"/>
        <v>0</v>
      </c>
      <c r="P781" s="21">
        <f t="shared" si="281"/>
        <v>43257</v>
      </c>
      <c r="Q781" s="22">
        <f>VLOOKUP(R781,Referencias!$D$1:$E$13,2,0)</f>
        <v>6</v>
      </c>
      <c r="R781" s="7" t="str">
        <f t="shared" si="282"/>
        <v>JUN</v>
      </c>
      <c r="S781" s="7">
        <f t="shared" si="283"/>
        <v>0</v>
      </c>
      <c r="T781" s="11">
        <f t="shared" si="284"/>
        <v>6</v>
      </c>
      <c r="U781" s="11">
        <f t="shared" si="285"/>
        <v>0</v>
      </c>
      <c r="V781" s="11" t="e">
        <f>VLOOKUP(C781,Referencias!$A$2:$B$33,2,1)</f>
        <v>#N/A</v>
      </c>
      <c r="W781" s="23" t="str">
        <f t="shared" si="286"/>
        <v/>
      </c>
      <c r="X781" s="11">
        <f t="shared" si="287"/>
        <v>0</v>
      </c>
      <c r="Y781" s="11">
        <f t="shared" si="288"/>
        <v>0</v>
      </c>
      <c r="Z781" s="24">
        <f t="shared" si="289"/>
        <v>0</v>
      </c>
      <c r="AA781" s="25">
        <f t="shared" si="290"/>
        <v>0</v>
      </c>
      <c r="AB781" s="24">
        <f t="shared" si="291"/>
        <v>0</v>
      </c>
      <c r="AC781" s="24">
        <f t="shared" si="275"/>
        <v>0</v>
      </c>
      <c r="AD781" s="24">
        <f t="shared" si="276"/>
        <v>0</v>
      </c>
      <c r="AE781" s="24">
        <f t="shared" si="277"/>
        <v>0</v>
      </c>
      <c r="AF781" s="119" t="str">
        <f>VLOOKUP(P781*1,Referencias!$G:$H,2,0)</f>
        <v>qua</v>
      </c>
    </row>
    <row r="782" spans="1:32" x14ac:dyDescent="0.25">
      <c r="A782" s="162"/>
      <c r="B782" s="162"/>
      <c r="C782" s="162"/>
      <c r="D782" s="162"/>
      <c r="E782" s="162"/>
      <c r="F782" s="162"/>
      <c r="G782" s="162"/>
      <c r="H782" s="162"/>
      <c r="I782" s="162"/>
      <c r="N782" s="7" t="str">
        <f t="shared" si="279"/>
        <v>#LIJP3CKZP </v>
      </c>
      <c r="O782" s="7">
        <f t="shared" si="280"/>
        <v>0</v>
      </c>
      <c r="P782" s="21">
        <f t="shared" si="281"/>
        <v>43257</v>
      </c>
      <c r="Q782" s="22">
        <f>VLOOKUP(R782,Referencias!$D$1:$E$13,2,0)</f>
        <v>6</v>
      </c>
      <c r="R782" s="7" t="str">
        <f t="shared" si="282"/>
        <v>JUN</v>
      </c>
      <c r="S782" s="7">
        <f t="shared" si="283"/>
        <v>0</v>
      </c>
      <c r="T782" s="11">
        <f t="shared" si="284"/>
        <v>6</v>
      </c>
      <c r="U782" s="11">
        <f t="shared" si="285"/>
        <v>0</v>
      </c>
      <c r="V782" s="11" t="e">
        <f>VLOOKUP(C782,Referencias!$A$2:$B$33,2,1)</f>
        <v>#N/A</v>
      </c>
      <c r="W782" s="23" t="str">
        <f t="shared" si="286"/>
        <v/>
      </c>
      <c r="X782" s="11">
        <f t="shared" si="287"/>
        <v>0</v>
      </c>
      <c r="Y782" s="11">
        <f t="shared" si="288"/>
        <v>0</v>
      </c>
      <c r="Z782" s="24">
        <f t="shared" si="289"/>
        <v>0</v>
      </c>
      <c r="AA782" s="25">
        <f t="shared" si="290"/>
        <v>0</v>
      </c>
      <c r="AB782" s="24">
        <f t="shared" si="291"/>
        <v>0</v>
      </c>
      <c r="AC782" s="24">
        <f t="shared" si="275"/>
        <v>0</v>
      </c>
      <c r="AD782" s="24">
        <f t="shared" si="276"/>
        <v>0</v>
      </c>
      <c r="AE782" s="24">
        <f t="shared" si="277"/>
        <v>0</v>
      </c>
      <c r="AF782" s="119" t="str">
        <f>VLOOKUP(P782*1,Referencias!$G:$H,2,0)</f>
        <v>qua</v>
      </c>
    </row>
    <row r="783" spans="1:32" x14ac:dyDescent="0.25">
      <c r="A783" s="163"/>
      <c r="B783" s="164" t="s">
        <v>433</v>
      </c>
      <c r="C783" s="134">
        <v>0.8222222222222223</v>
      </c>
      <c r="D783" s="165">
        <v>6.23</v>
      </c>
      <c r="E783" s="165" t="s">
        <v>44</v>
      </c>
      <c r="F783" s="165"/>
      <c r="G783" s="166">
        <v>3.68</v>
      </c>
      <c r="H783" s="167">
        <v>286.20999999999998</v>
      </c>
      <c r="I783" s="165"/>
      <c r="N783" s="7" t="str">
        <f t="shared" si="279"/>
        <v>#LIUYCYB3Y </v>
      </c>
      <c r="O783" s="7" t="str">
        <f t="shared" si="280"/>
        <v>#LIUYCYB3Y </v>
      </c>
      <c r="P783" s="21">
        <f t="shared" si="281"/>
        <v>43257</v>
      </c>
      <c r="Q783" s="22">
        <f>VLOOKUP(R783,Referencias!$D$1:$E$13,2,0)</f>
        <v>6</v>
      </c>
      <c r="R783" s="7" t="str">
        <f t="shared" si="282"/>
        <v>JUN</v>
      </c>
      <c r="S783" s="7">
        <f t="shared" si="283"/>
        <v>0</v>
      </c>
      <c r="T783" s="11">
        <f t="shared" si="284"/>
        <v>6</v>
      </c>
      <c r="U783" s="11">
        <f t="shared" si="285"/>
        <v>0</v>
      </c>
      <c r="V783" s="11" t="str">
        <f>VLOOKUP(C783,Referencias!$A$2:$B$33,2,1)</f>
        <v>19 - 20</v>
      </c>
      <c r="W783" s="23">
        <f t="shared" si="286"/>
        <v>2.4305555555555469E-2</v>
      </c>
      <c r="X783" s="11">
        <f t="shared" si="287"/>
        <v>6.23</v>
      </c>
      <c r="Y783" s="11">
        <f t="shared" si="288"/>
        <v>11.00176446901197</v>
      </c>
      <c r="Z783" s="24">
        <f t="shared" si="289"/>
        <v>3.68</v>
      </c>
      <c r="AA783" s="25">
        <f t="shared" si="290"/>
        <v>6.30857142857145</v>
      </c>
      <c r="AB783" s="24">
        <f t="shared" si="291"/>
        <v>1</v>
      </c>
      <c r="AC783" s="24">
        <f t="shared" si="275"/>
        <v>2.4109454387120506</v>
      </c>
      <c r="AD783" s="24">
        <f t="shared" si="276"/>
        <v>2.9210428559416926</v>
      </c>
      <c r="AE783" s="24">
        <f t="shared" si="277"/>
        <v>3.4633456302240728</v>
      </c>
      <c r="AF783" s="119" t="str">
        <f>VLOOKUP(P783*1,Referencias!$G:$H,2,0)</f>
        <v>qua</v>
      </c>
    </row>
    <row r="784" spans="1:32" ht="12" customHeight="1" x14ac:dyDescent="0.25">
      <c r="A784" s="163"/>
      <c r="B784" s="164"/>
      <c r="C784" s="134">
        <v>0.84652777777777777</v>
      </c>
      <c r="D784" s="165"/>
      <c r="E784" s="165"/>
      <c r="F784" s="165"/>
      <c r="G784" s="166"/>
      <c r="H784" s="167"/>
      <c r="I784" s="165"/>
      <c r="N784" s="7" t="str">
        <f t="shared" si="279"/>
        <v>#LIUYCYB3Y </v>
      </c>
      <c r="O784" s="7">
        <f t="shared" si="280"/>
        <v>0</v>
      </c>
      <c r="P784" s="21">
        <f t="shared" si="281"/>
        <v>43257</v>
      </c>
      <c r="Q784" s="22">
        <f>VLOOKUP(R784,Referencias!$D$1:$E$13,2,0)</f>
        <v>6</v>
      </c>
      <c r="R784" s="7" t="str">
        <f t="shared" si="282"/>
        <v>JUN</v>
      </c>
      <c r="S784" s="7">
        <f t="shared" si="283"/>
        <v>0</v>
      </c>
      <c r="T784" s="11">
        <f t="shared" si="284"/>
        <v>6</v>
      </c>
      <c r="U784" s="11">
        <f t="shared" si="285"/>
        <v>0</v>
      </c>
      <c r="V784" s="11" t="str">
        <f>VLOOKUP(C784,Referencias!$A$2:$B$33,2,1)</f>
        <v>20 - 21</v>
      </c>
      <c r="W784" s="23" t="str">
        <f t="shared" si="286"/>
        <v/>
      </c>
      <c r="X784" s="11">
        <f t="shared" si="287"/>
        <v>0</v>
      </c>
      <c r="Y784" s="11">
        <f t="shared" si="288"/>
        <v>0</v>
      </c>
      <c r="Z784" s="24">
        <f t="shared" si="289"/>
        <v>0</v>
      </c>
      <c r="AA784" s="25">
        <f t="shared" si="290"/>
        <v>0</v>
      </c>
      <c r="AB784" s="24">
        <f t="shared" si="291"/>
        <v>0</v>
      </c>
      <c r="AC784" s="24">
        <f t="shared" si="275"/>
        <v>0</v>
      </c>
      <c r="AD784" s="24">
        <f t="shared" si="276"/>
        <v>0</v>
      </c>
      <c r="AE784" s="24">
        <f t="shared" si="277"/>
        <v>0</v>
      </c>
      <c r="AF784" s="119" t="str">
        <f>VLOOKUP(P784*1,Referencias!$G:$H,2,0)</f>
        <v>qua</v>
      </c>
    </row>
    <row r="785" spans="1:32" ht="12" customHeight="1" x14ac:dyDescent="0.25">
      <c r="A785" s="161"/>
      <c r="B785" s="161"/>
      <c r="C785" s="161"/>
      <c r="D785" s="161"/>
      <c r="E785" s="161"/>
      <c r="F785" s="161"/>
      <c r="G785" s="161"/>
      <c r="H785" s="161"/>
      <c r="I785" s="161"/>
      <c r="N785" s="7" t="str">
        <f t="shared" si="279"/>
        <v>#LIUYCYB3Y </v>
      </c>
      <c r="O785" s="7">
        <f t="shared" si="280"/>
        <v>0</v>
      </c>
      <c r="P785" s="21">
        <f t="shared" si="281"/>
        <v>43257</v>
      </c>
      <c r="Q785" s="22">
        <f>VLOOKUP(R785,Referencias!$D$1:$E$13,2,0)</f>
        <v>6</v>
      </c>
      <c r="R785" s="7" t="str">
        <f t="shared" si="282"/>
        <v>JUN</v>
      </c>
      <c r="S785" s="7">
        <f t="shared" si="283"/>
        <v>0</v>
      </c>
      <c r="T785" s="11">
        <f t="shared" si="284"/>
        <v>6</v>
      </c>
      <c r="U785" s="11">
        <f t="shared" si="285"/>
        <v>0</v>
      </c>
      <c r="V785" s="11" t="e">
        <f>VLOOKUP(C785,Referencias!$A$2:$B$33,2,1)</f>
        <v>#N/A</v>
      </c>
      <c r="W785" s="23" t="str">
        <f t="shared" si="286"/>
        <v/>
      </c>
      <c r="X785" s="11">
        <f t="shared" si="287"/>
        <v>0</v>
      </c>
      <c r="Y785" s="11">
        <f t="shared" si="288"/>
        <v>0</v>
      </c>
      <c r="Z785" s="24">
        <f t="shared" si="289"/>
        <v>0</v>
      </c>
      <c r="AA785" s="25">
        <f t="shared" si="290"/>
        <v>0</v>
      </c>
      <c r="AB785" s="24">
        <f t="shared" si="291"/>
        <v>0</v>
      </c>
      <c r="AC785" s="24">
        <f t="shared" si="275"/>
        <v>0</v>
      </c>
      <c r="AD785" s="24">
        <f t="shared" si="276"/>
        <v>0</v>
      </c>
      <c r="AE785" s="24">
        <f t="shared" si="277"/>
        <v>0</v>
      </c>
      <c r="AF785" s="119" t="str">
        <f>VLOOKUP(P785*1,Referencias!$G:$H,2,0)</f>
        <v>qua</v>
      </c>
    </row>
    <row r="786" spans="1:32" x14ac:dyDescent="0.25">
      <c r="A786" s="162"/>
      <c r="B786" s="162"/>
      <c r="C786" s="162"/>
      <c r="D786" s="162"/>
      <c r="E786" s="162"/>
      <c r="F786" s="162"/>
      <c r="G786" s="162"/>
      <c r="H786" s="162"/>
      <c r="I786" s="162"/>
      <c r="N786" s="7" t="str">
        <f t="shared" si="279"/>
        <v>#LIUYCYB3Y </v>
      </c>
      <c r="O786" s="7">
        <f t="shared" si="280"/>
        <v>0</v>
      </c>
      <c r="P786" s="21">
        <f t="shared" si="281"/>
        <v>43257</v>
      </c>
      <c r="Q786" s="22">
        <f>VLOOKUP(R786,Referencias!$D$1:$E$13,2,0)</f>
        <v>6</v>
      </c>
      <c r="R786" s="7" t="str">
        <f t="shared" si="282"/>
        <v>JUN</v>
      </c>
      <c r="S786" s="7">
        <f t="shared" si="283"/>
        <v>0</v>
      </c>
      <c r="T786" s="11">
        <f t="shared" si="284"/>
        <v>6</v>
      </c>
      <c r="U786" s="11">
        <f t="shared" si="285"/>
        <v>0</v>
      </c>
      <c r="V786" s="11" t="e">
        <f>VLOOKUP(C786,Referencias!$A$2:$B$33,2,1)</f>
        <v>#N/A</v>
      </c>
      <c r="W786" s="23" t="str">
        <f t="shared" si="286"/>
        <v/>
      </c>
      <c r="X786" s="11">
        <f t="shared" si="287"/>
        <v>0</v>
      </c>
      <c r="Y786" s="11">
        <f t="shared" si="288"/>
        <v>0</v>
      </c>
      <c r="Z786" s="24">
        <f t="shared" si="289"/>
        <v>0</v>
      </c>
      <c r="AA786" s="25">
        <f t="shared" si="290"/>
        <v>0</v>
      </c>
      <c r="AB786" s="24">
        <f t="shared" si="291"/>
        <v>0</v>
      </c>
      <c r="AC786" s="24">
        <f t="shared" si="275"/>
        <v>0</v>
      </c>
      <c r="AD786" s="24">
        <f t="shared" si="276"/>
        <v>0</v>
      </c>
      <c r="AE786" s="24">
        <f t="shared" si="277"/>
        <v>0</v>
      </c>
      <c r="AF786" s="119" t="str">
        <f>VLOOKUP(P786*1,Referencias!$G:$H,2,0)</f>
        <v>qua</v>
      </c>
    </row>
    <row r="787" spans="1:32" x14ac:dyDescent="0.25">
      <c r="A787" s="163"/>
      <c r="B787" s="164" t="s">
        <v>434</v>
      </c>
      <c r="C787" s="134">
        <v>0.84652777777777777</v>
      </c>
      <c r="D787" s="165">
        <v>3.68</v>
      </c>
      <c r="E787" s="165" t="s">
        <v>36</v>
      </c>
      <c r="F787" s="165"/>
      <c r="G787" s="166">
        <v>2.78</v>
      </c>
      <c r="H787" s="167">
        <v>288.99</v>
      </c>
      <c r="I787" s="165"/>
      <c r="N787" s="7" t="str">
        <f t="shared" si="279"/>
        <v>#LIWVBTKSQ </v>
      </c>
      <c r="O787" s="7" t="str">
        <f t="shared" si="280"/>
        <v>#LIWVBTKSQ </v>
      </c>
      <c r="P787" s="21">
        <f t="shared" si="281"/>
        <v>43257</v>
      </c>
      <c r="Q787" s="22">
        <f>VLOOKUP(R787,Referencias!$D$1:$E$13,2,0)</f>
        <v>6</v>
      </c>
      <c r="R787" s="7" t="str">
        <f t="shared" si="282"/>
        <v>JUN</v>
      </c>
      <c r="S787" s="7">
        <f t="shared" si="283"/>
        <v>0</v>
      </c>
      <c r="T787" s="11">
        <f t="shared" si="284"/>
        <v>6</v>
      </c>
      <c r="U787" s="11">
        <f t="shared" si="285"/>
        <v>0</v>
      </c>
      <c r="V787" s="11" t="str">
        <f>VLOOKUP(C787,Referencias!$A$2:$B$33,2,1)</f>
        <v>20 - 21</v>
      </c>
      <c r="W787" s="23">
        <f t="shared" si="286"/>
        <v>3.2638888888888995E-2</v>
      </c>
      <c r="X787" s="11">
        <f t="shared" si="287"/>
        <v>3.68</v>
      </c>
      <c r="Y787" s="11">
        <f t="shared" si="288"/>
        <v>6.498634549913973</v>
      </c>
      <c r="Z787" s="24">
        <f t="shared" si="289"/>
        <v>2.78</v>
      </c>
      <c r="AA787" s="25">
        <f t="shared" si="290"/>
        <v>3.548936170212754</v>
      </c>
      <c r="AB787" s="24">
        <f t="shared" si="291"/>
        <v>1</v>
      </c>
      <c r="AC787" s="24">
        <f t="shared" si="275"/>
        <v>1.8213120433748642</v>
      </c>
      <c r="AD787" s="24">
        <f t="shared" si="276"/>
        <v>2.2066573748689957</v>
      </c>
      <c r="AE787" s="24">
        <f t="shared" si="277"/>
        <v>2.6163317532670982</v>
      </c>
      <c r="AF787" s="119" t="str">
        <f>VLOOKUP(P787*1,Referencias!$G:$H,2,0)</f>
        <v>qua</v>
      </c>
    </row>
    <row r="788" spans="1:32" ht="12" customHeight="1" x14ac:dyDescent="0.25">
      <c r="A788" s="163"/>
      <c r="B788" s="164"/>
      <c r="C788" s="134">
        <v>0.87916666666666676</v>
      </c>
      <c r="D788" s="165"/>
      <c r="E788" s="165"/>
      <c r="F788" s="165"/>
      <c r="G788" s="166"/>
      <c r="H788" s="167"/>
      <c r="I788" s="165"/>
      <c r="N788" s="7" t="str">
        <f t="shared" si="279"/>
        <v>#LIWVBTKSQ </v>
      </c>
      <c r="O788" s="7">
        <f t="shared" si="280"/>
        <v>0</v>
      </c>
      <c r="P788" s="21">
        <f t="shared" si="281"/>
        <v>43257</v>
      </c>
      <c r="Q788" s="22">
        <f>VLOOKUP(R788,Referencias!$D$1:$E$13,2,0)</f>
        <v>6</v>
      </c>
      <c r="R788" s="7" t="str">
        <f t="shared" si="282"/>
        <v>JUN</v>
      </c>
      <c r="S788" s="7">
        <f t="shared" si="283"/>
        <v>0</v>
      </c>
      <c r="T788" s="11">
        <f t="shared" si="284"/>
        <v>6</v>
      </c>
      <c r="U788" s="11">
        <f t="shared" si="285"/>
        <v>0</v>
      </c>
      <c r="V788" s="11" t="str">
        <f>VLOOKUP(C788,Referencias!$A$2:$B$33,2,1)</f>
        <v>21 - 22</v>
      </c>
      <c r="W788" s="23" t="str">
        <f t="shared" si="286"/>
        <v/>
      </c>
      <c r="X788" s="11">
        <f t="shared" si="287"/>
        <v>0</v>
      </c>
      <c r="Y788" s="11">
        <f t="shared" si="288"/>
        <v>0</v>
      </c>
      <c r="Z788" s="24">
        <f t="shared" si="289"/>
        <v>0</v>
      </c>
      <c r="AA788" s="25">
        <f t="shared" si="290"/>
        <v>0</v>
      </c>
      <c r="AB788" s="24">
        <f t="shared" si="291"/>
        <v>0</v>
      </c>
      <c r="AC788" s="24">
        <f t="shared" si="275"/>
        <v>0</v>
      </c>
      <c r="AD788" s="24">
        <f t="shared" si="276"/>
        <v>0</v>
      </c>
      <c r="AE788" s="24">
        <f t="shared" si="277"/>
        <v>0</v>
      </c>
      <c r="AF788" s="119" t="str">
        <f>VLOOKUP(P788*1,Referencias!$G:$H,2,0)</f>
        <v>qua</v>
      </c>
    </row>
    <row r="789" spans="1:32" ht="12" customHeight="1" x14ac:dyDescent="0.25">
      <c r="A789" s="161"/>
      <c r="B789" s="161"/>
      <c r="C789" s="161"/>
      <c r="D789" s="161"/>
      <c r="E789" s="161"/>
      <c r="F789" s="161"/>
      <c r="G789" s="161"/>
      <c r="H789" s="161"/>
      <c r="I789" s="161"/>
      <c r="N789" s="7" t="str">
        <f t="shared" si="279"/>
        <v>#LIWVBTKSQ </v>
      </c>
      <c r="O789" s="7">
        <f t="shared" si="280"/>
        <v>0</v>
      </c>
      <c r="P789" s="21">
        <f t="shared" si="281"/>
        <v>43257</v>
      </c>
      <c r="Q789" s="22">
        <f>VLOOKUP(R789,Referencias!$D$1:$E$13,2,0)</f>
        <v>6</v>
      </c>
      <c r="R789" s="7" t="str">
        <f t="shared" si="282"/>
        <v>JUN</v>
      </c>
      <c r="S789" s="7">
        <f t="shared" si="283"/>
        <v>0</v>
      </c>
      <c r="T789" s="11">
        <f t="shared" si="284"/>
        <v>6</v>
      </c>
      <c r="U789" s="11">
        <f t="shared" si="285"/>
        <v>0</v>
      </c>
      <c r="V789" s="11" t="e">
        <f>VLOOKUP(C789,Referencias!$A$2:$B$33,2,1)</f>
        <v>#N/A</v>
      </c>
      <c r="W789" s="23" t="str">
        <f t="shared" si="286"/>
        <v/>
      </c>
      <c r="X789" s="11">
        <f t="shared" si="287"/>
        <v>0</v>
      </c>
      <c r="Y789" s="11">
        <f t="shared" si="288"/>
        <v>0</v>
      </c>
      <c r="Z789" s="24">
        <f t="shared" si="289"/>
        <v>0</v>
      </c>
      <c r="AA789" s="25">
        <f t="shared" si="290"/>
        <v>0</v>
      </c>
      <c r="AB789" s="24">
        <f t="shared" si="291"/>
        <v>0</v>
      </c>
      <c r="AC789" s="24">
        <f t="shared" si="275"/>
        <v>0</v>
      </c>
      <c r="AD789" s="24">
        <f t="shared" si="276"/>
        <v>0</v>
      </c>
      <c r="AE789" s="24">
        <f t="shared" si="277"/>
        <v>0</v>
      </c>
      <c r="AF789" s="119" t="str">
        <f>VLOOKUP(P789*1,Referencias!$G:$H,2,0)</f>
        <v>qua</v>
      </c>
    </row>
    <row r="790" spans="1:32" x14ac:dyDescent="0.25">
      <c r="A790" s="162"/>
      <c r="B790" s="162"/>
      <c r="C790" s="162"/>
      <c r="D790" s="162"/>
      <c r="E790" s="162"/>
      <c r="F790" s="162"/>
      <c r="G790" s="162"/>
      <c r="H790" s="162"/>
      <c r="I790" s="162"/>
      <c r="N790" s="7" t="str">
        <f t="shared" si="279"/>
        <v>#LIWVBTKSQ </v>
      </c>
      <c r="O790" s="7">
        <f t="shared" si="280"/>
        <v>0</v>
      </c>
      <c r="P790" s="21">
        <f t="shared" si="281"/>
        <v>43257</v>
      </c>
      <c r="Q790" s="22">
        <f>VLOOKUP(R790,Referencias!$D$1:$E$13,2,0)</f>
        <v>6</v>
      </c>
      <c r="R790" s="7" t="str">
        <f t="shared" si="282"/>
        <v>JUN</v>
      </c>
      <c r="S790" s="7">
        <f t="shared" si="283"/>
        <v>0</v>
      </c>
      <c r="T790" s="11">
        <f t="shared" si="284"/>
        <v>6</v>
      </c>
      <c r="U790" s="11">
        <f t="shared" si="285"/>
        <v>0</v>
      </c>
      <c r="V790" s="11" t="e">
        <f>VLOOKUP(C790,Referencias!$A$2:$B$33,2,1)</f>
        <v>#N/A</v>
      </c>
      <c r="W790" s="23" t="str">
        <f t="shared" si="286"/>
        <v/>
      </c>
      <c r="X790" s="11">
        <f t="shared" si="287"/>
        <v>0</v>
      </c>
      <c r="Y790" s="11">
        <f t="shared" si="288"/>
        <v>0</v>
      </c>
      <c r="Z790" s="24">
        <f t="shared" si="289"/>
        <v>0</v>
      </c>
      <c r="AA790" s="25">
        <f t="shared" si="290"/>
        <v>0</v>
      </c>
      <c r="AB790" s="24">
        <f t="shared" si="291"/>
        <v>0</v>
      </c>
      <c r="AC790" s="24">
        <f t="shared" si="275"/>
        <v>0</v>
      </c>
      <c r="AD790" s="24">
        <f t="shared" si="276"/>
        <v>0</v>
      </c>
      <c r="AE790" s="24">
        <f t="shared" si="277"/>
        <v>0</v>
      </c>
      <c r="AF790" s="119" t="str">
        <f>VLOOKUP(P790*1,Referencias!$G:$H,2,0)</f>
        <v>qua</v>
      </c>
    </row>
    <row r="791" spans="1:32" x14ac:dyDescent="0.25">
      <c r="A791" s="163"/>
      <c r="B791" s="164" t="s">
        <v>435</v>
      </c>
      <c r="C791" s="134">
        <v>0.87916666666666676</v>
      </c>
      <c r="D791" s="165">
        <v>4.87</v>
      </c>
      <c r="E791" s="165" t="s">
        <v>59</v>
      </c>
      <c r="F791" s="165"/>
      <c r="G791" s="166">
        <v>3.62</v>
      </c>
      <c r="H791" s="167">
        <v>292.61</v>
      </c>
      <c r="I791" s="165"/>
      <c r="N791" s="7" t="str">
        <f t="shared" si="279"/>
        <v>#LIRZ1U33E </v>
      </c>
      <c r="O791" s="7" t="str">
        <f t="shared" si="280"/>
        <v>#LIRZ1U33E </v>
      </c>
      <c r="P791" s="21">
        <f t="shared" si="281"/>
        <v>43257</v>
      </c>
      <c r="Q791" s="22">
        <f>VLOOKUP(R791,Referencias!$D$1:$E$13,2,0)</f>
        <v>6</v>
      </c>
      <c r="R791" s="7" t="str">
        <f t="shared" si="282"/>
        <v>JUN</v>
      </c>
      <c r="S791" s="7">
        <f t="shared" si="283"/>
        <v>0</v>
      </c>
      <c r="T791" s="11">
        <f t="shared" si="284"/>
        <v>6</v>
      </c>
      <c r="U791" s="11">
        <f t="shared" si="285"/>
        <v>0</v>
      </c>
      <c r="V791" s="11" t="str">
        <f>VLOOKUP(C791,Referencias!$A$2:$B$33,2,1)</f>
        <v>21 - 22</v>
      </c>
      <c r="W791" s="23">
        <f t="shared" si="286"/>
        <v>2.2916666666666474E-2</v>
      </c>
      <c r="X791" s="11">
        <f t="shared" si="287"/>
        <v>4.87</v>
      </c>
      <c r="Y791" s="11">
        <f t="shared" si="288"/>
        <v>8.600095178826372</v>
      </c>
      <c r="Z791" s="24">
        <f t="shared" si="289"/>
        <v>3.62</v>
      </c>
      <c r="AA791" s="25">
        <f t="shared" si="290"/>
        <v>6.5818181818182371</v>
      </c>
      <c r="AB791" s="24">
        <f t="shared" si="291"/>
        <v>1</v>
      </c>
      <c r="AC791" s="24">
        <f t="shared" si="275"/>
        <v>2.3716365456895714</v>
      </c>
      <c r="AD791" s="24">
        <f t="shared" si="276"/>
        <v>2.8734171572035128</v>
      </c>
      <c r="AE791" s="24">
        <f t="shared" si="277"/>
        <v>3.4068780384269415</v>
      </c>
      <c r="AF791" s="119" t="str">
        <f>VLOOKUP(P791*1,Referencias!$G:$H,2,0)</f>
        <v>qua</v>
      </c>
    </row>
    <row r="792" spans="1:32" ht="12" customHeight="1" x14ac:dyDescent="0.25">
      <c r="A792" s="163"/>
      <c r="B792" s="164"/>
      <c r="C792" s="134">
        <v>0.90208333333333324</v>
      </c>
      <c r="D792" s="165"/>
      <c r="E792" s="165"/>
      <c r="F792" s="165"/>
      <c r="G792" s="166"/>
      <c r="H792" s="167"/>
      <c r="I792" s="165"/>
      <c r="N792" s="7" t="str">
        <f t="shared" si="279"/>
        <v>#LIRZ1U33E </v>
      </c>
      <c r="O792" s="7">
        <f t="shared" si="280"/>
        <v>0</v>
      </c>
      <c r="P792" s="21">
        <f t="shared" si="281"/>
        <v>43257</v>
      </c>
      <c r="Q792" s="22">
        <f>VLOOKUP(R792,Referencias!$D$1:$E$13,2,0)</f>
        <v>6</v>
      </c>
      <c r="R792" s="7" t="str">
        <f t="shared" si="282"/>
        <v>JUN</v>
      </c>
      <c r="S792" s="7">
        <f t="shared" si="283"/>
        <v>0</v>
      </c>
      <c r="T792" s="11">
        <f t="shared" si="284"/>
        <v>6</v>
      </c>
      <c r="U792" s="11">
        <f t="shared" si="285"/>
        <v>0</v>
      </c>
      <c r="V792" s="11" t="str">
        <f>VLOOKUP(C792,Referencias!$A$2:$B$33,2,1)</f>
        <v>21 - 22</v>
      </c>
      <c r="W792" s="23" t="str">
        <f t="shared" si="286"/>
        <v/>
      </c>
      <c r="X792" s="11">
        <f t="shared" si="287"/>
        <v>0</v>
      </c>
      <c r="Y792" s="11">
        <f t="shared" si="288"/>
        <v>0</v>
      </c>
      <c r="Z792" s="24">
        <f t="shared" si="289"/>
        <v>0</v>
      </c>
      <c r="AA792" s="25">
        <f t="shared" si="290"/>
        <v>0</v>
      </c>
      <c r="AB792" s="24">
        <f t="shared" si="291"/>
        <v>0</v>
      </c>
      <c r="AC792" s="24">
        <f t="shared" si="275"/>
        <v>0</v>
      </c>
      <c r="AD792" s="24">
        <f t="shared" si="276"/>
        <v>0</v>
      </c>
      <c r="AE792" s="24">
        <f t="shared" si="277"/>
        <v>0</v>
      </c>
      <c r="AF792" s="119" t="str">
        <f>VLOOKUP(P792*1,Referencias!$G:$H,2,0)</f>
        <v>qua</v>
      </c>
    </row>
    <row r="793" spans="1:32" ht="12" customHeight="1" x14ac:dyDescent="0.25">
      <c r="A793" s="161"/>
      <c r="B793" s="161"/>
      <c r="C793" s="161"/>
      <c r="D793" s="161"/>
      <c r="E793" s="161"/>
      <c r="F793" s="161"/>
      <c r="G793" s="161"/>
      <c r="H793" s="161"/>
      <c r="I793" s="161"/>
      <c r="N793" s="7" t="str">
        <f t="shared" si="279"/>
        <v>#LIRZ1U33E </v>
      </c>
      <c r="O793" s="7">
        <f t="shared" si="280"/>
        <v>0</v>
      </c>
      <c r="P793" s="21">
        <f t="shared" si="281"/>
        <v>43257</v>
      </c>
      <c r="Q793" s="22">
        <f>VLOOKUP(R793,Referencias!$D$1:$E$13,2,0)</f>
        <v>6</v>
      </c>
      <c r="R793" s="7" t="str">
        <f t="shared" si="282"/>
        <v>JUN</v>
      </c>
      <c r="S793" s="7">
        <f t="shared" si="283"/>
        <v>0</v>
      </c>
      <c r="T793" s="11">
        <f t="shared" si="284"/>
        <v>6</v>
      </c>
      <c r="U793" s="11">
        <f t="shared" si="285"/>
        <v>0</v>
      </c>
      <c r="V793" s="11" t="e">
        <f>VLOOKUP(C793,Referencias!$A$2:$B$33,2,1)</f>
        <v>#N/A</v>
      </c>
      <c r="W793" s="23" t="str">
        <f t="shared" si="286"/>
        <v/>
      </c>
      <c r="X793" s="11">
        <f t="shared" si="287"/>
        <v>0</v>
      </c>
      <c r="Y793" s="11">
        <f t="shared" si="288"/>
        <v>0</v>
      </c>
      <c r="Z793" s="24">
        <f t="shared" si="289"/>
        <v>0</v>
      </c>
      <c r="AA793" s="25">
        <f t="shared" si="290"/>
        <v>0</v>
      </c>
      <c r="AB793" s="24">
        <f t="shared" si="291"/>
        <v>0</v>
      </c>
      <c r="AC793" s="24">
        <f t="shared" si="275"/>
        <v>0</v>
      </c>
      <c r="AD793" s="24">
        <f t="shared" si="276"/>
        <v>0</v>
      </c>
      <c r="AE793" s="24">
        <f t="shared" si="277"/>
        <v>0</v>
      </c>
      <c r="AF793" s="119" t="str">
        <f>VLOOKUP(P793*1,Referencias!$G:$H,2,0)</f>
        <v>qua</v>
      </c>
    </row>
    <row r="794" spans="1:32" x14ac:dyDescent="0.25">
      <c r="A794" s="162"/>
      <c r="B794" s="162"/>
      <c r="C794" s="162"/>
      <c r="D794" s="162"/>
      <c r="E794" s="162"/>
      <c r="F794" s="162"/>
      <c r="G794" s="162"/>
      <c r="H794" s="162"/>
      <c r="I794" s="162"/>
      <c r="N794" s="7" t="str">
        <f t="shared" si="279"/>
        <v>#LIRZ1U33E </v>
      </c>
      <c r="O794" s="7">
        <f t="shared" si="280"/>
        <v>0</v>
      </c>
      <c r="P794" s="21">
        <f t="shared" si="281"/>
        <v>43257</v>
      </c>
      <c r="Q794" s="22">
        <f>VLOOKUP(R794,Referencias!$D$1:$E$13,2,0)</f>
        <v>6</v>
      </c>
      <c r="R794" s="7" t="str">
        <f t="shared" si="282"/>
        <v>JUN</v>
      </c>
      <c r="S794" s="7">
        <f t="shared" si="283"/>
        <v>0</v>
      </c>
      <c r="T794" s="11">
        <f t="shared" si="284"/>
        <v>6</v>
      </c>
      <c r="U794" s="11">
        <f t="shared" si="285"/>
        <v>0</v>
      </c>
      <c r="V794" s="11" t="e">
        <f>VLOOKUP(C794,Referencias!$A$2:$B$33,2,1)</f>
        <v>#N/A</v>
      </c>
      <c r="W794" s="23" t="str">
        <f t="shared" si="286"/>
        <v/>
      </c>
      <c r="X794" s="11">
        <f t="shared" si="287"/>
        <v>0</v>
      </c>
      <c r="Y794" s="11">
        <f t="shared" si="288"/>
        <v>0</v>
      </c>
      <c r="Z794" s="24">
        <f t="shared" si="289"/>
        <v>0</v>
      </c>
      <c r="AA794" s="25">
        <f t="shared" si="290"/>
        <v>0</v>
      </c>
      <c r="AB794" s="24">
        <f t="shared" si="291"/>
        <v>0</v>
      </c>
      <c r="AC794" s="24">
        <f t="shared" si="275"/>
        <v>0</v>
      </c>
      <c r="AD794" s="24">
        <f t="shared" si="276"/>
        <v>0</v>
      </c>
      <c r="AE794" s="24">
        <f t="shared" si="277"/>
        <v>0</v>
      </c>
      <c r="AF794" s="119" t="str">
        <f>VLOOKUP(P794*1,Referencias!$G:$H,2,0)</f>
        <v>qua</v>
      </c>
    </row>
    <row r="795" spans="1:32" x14ac:dyDescent="0.25">
      <c r="A795" s="163"/>
      <c r="B795" s="164" t="s">
        <v>436</v>
      </c>
      <c r="C795" s="134">
        <v>0.90625</v>
      </c>
      <c r="D795" s="165">
        <v>5.73</v>
      </c>
      <c r="E795" s="165" t="s">
        <v>141</v>
      </c>
      <c r="F795" s="165"/>
      <c r="G795" s="166">
        <v>4.74</v>
      </c>
      <c r="H795" s="167">
        <v>297.35000000000002</v>
      </c>
      <c r="I795" s="165"/>
      <c r="N795" s="7" t="str">
        <f t="shared" si="279"/>
        <v>#LITKYA1WA </v>
      </c>
      <c r="O795" s="7" t="str">
        <f t="shared" si="280"/>
        <v>#LITKYA1WA </v>
      </c>
      <c r="P795" s="21">
        <f t="shared" si="281"/>
        <v>43257</v>
      </c>
      <c r="Q795" s="22">
        <f>VLOOKUP(R795,Referencias!$D$1:$E$13,2,0)</f>
        <v>6</v>
      </c>
      <c r="R795" s="7" t="str">
        <f t="shared" si="282"/>
        <v>JUN</v>
      </c>
      <c r="S795" s="7">
        <f t="shared" si="283"/>
        <v>0</v>
      </c>
      <c r="T795" s="11">
        <f t="shared" si="284"/>
        <v>6</v>
      </c>
      <c r="U795" s="11">
        <f t="shared" si="285"/>
        <v>0</v>
      </c>
      <c r="V795" s="11" t="str">
        <f>VLOOKUP(C795,Referencias!$A$2:$B$33,2,1)</f>
        <v>21 - 22</v>
      </c>
      <c r="W795" s="23">
        <f t="shared" si="286"/>
        <v>3.472222222222221E-2</v>
      </c>
      <c r="X795" s="11">
        <f t="shared" si="287"/>
        <v>5.73</v>
      </c>
      <c r="Y795" s="11">
        <f t="shared" si="288"/>
        <v>10.118797818208442</v>
      </c>
      <c r="Z795" s="24">
        <f t="shared" si="289"/>
        <v>4.74</v>
      </c>
      <c r="AA795" s="25">
        <f t="shared" si="290"/>
        <v>5.6880000000000024</v>
      </c>
      <c r="AB795" s="24">
        <f t="shared" si="291"/>
        <v>1</v>
      </c>
      <c r="AC795" s="24">
        <f t="shared" si="275"/>
        <v>3.1054025487758481</v>
      </c>
      <c r="AD795" s="24">
        <f t="shared" si="276"/>
        <v>3.7624302003162016</v>
      </c>
      <c r="AE795" s="24">
        <f t="shared" si="277"/>
        <v>4.460939751973398</v>
      </c>
      <c r="AF795" s="119" t="str">
        <f>VLOOKUP(P795*1,Referencias!$G:$H,2,0)</f>
        <v>qua</v>
      </c>
    </row>
    <row r="796" spans="1:32" x14ac:dyDescent="0.25">
      <c r="A796" s="163"/>
      <c r="B796" s="164"/>
      <c r="C796" s="134">
        <v>0.94097222222222221</v>
      </c>
      <c r="D796" s="165"/>
      <c r="E796" s="165"/>
      <c r="F796" s="165"/>
      <c r="G796" s="166"/>
      <c r="H796" s="167"/>
      <c r="I796" s="165"/>
      <c r="N796" s="7" t="str">
        <f t="shared" si="279"/>
        <v>#LITKYA1WA </v>
      </c>
      <c r="O796" s="7">
        <f t="shared" si="280"/>
        <v>0</v>
      </c>
      <c r="P796" s="21">
        <f t="shared" si="281"/>
        <v>43257</v>
      </c>
      <c r="Q796" s="22">
        <f>VLOOKUP(R796,Referencias!$D$1:$E$13,2,0)</f>
        <v>6</v>
      </c>
      <c r="R796" s="7" t="str">
        <f t="shared" si="282"/>
        <v>JUN</v>
      </c>
      <c r="S796" s="7">
        <f t="shared" si="283"/>
        <v>0</v>
      </c>
      <c r="T796" s="11">
        <f t="shared" si="284"/>
        <v>6</v>
      </c>
      <c r="U796" s="11">
        <f t="shared" si="285"/>
        <v>0</v>
      </c>
      <c r="V796" s="11" t="str">
        <f>VLOOKUP(C796,Referencias!$A$2:$B$33,2,1)</f>
        <v>22 - 23</v>
      </c>
      <c r="W796" s="23" t="str">
        <f t="shared" si="286"/>
        <v/>
      </c>
      <c r="X796" s="11">
        <f t="shared" si="287"/>
        <v>0</v>
      </c>
      <c r="Y796" s="11">
        <f t="shared" si="288"/>
        <v>0</v>
      </c>
      <c r="Z796" s="24">
        <f t="shared" si="289"/>
        <v>0</v>
      </c>
      <c r="AA796" s="25">
        <f t="shared" si="290"/>
        <v>0</v>
      </c>
      <c r="AB796" s="24">
        <f t="shared" si="291"/>
        <v>0</v>
      </c>
      <c r="AC796" s="24">
        <f t="shared" si="275"/>
        <v>0</v>
      </c>
      <c r="AD796" s="24">
        <f t="shared" si="276"/>
        <v>0</v>
      </c>
      <c r="AE796" s="24">
        <f t="shared" si="277"/>
        <v>0</v>
      </c>
      <c r="AF796" s="119" t="str">
        <f>VLOOKUP(P796*1,Referencias!$G:$H,2,0)</f>
        <v>qua</v>
      </c>
    </row>
    <row r="797" spans="1:32" ht="12.6" thickBot="1" x14ac:dyDescent="0.3">
      <c r="A797" s="172"/>
      <c r="B797" s="172"/>
      <c r="C797" s="172"/>
      <c r="D797" s="172"/>
      <c r="E797" s="172"/>
      <c r="F797" s="172"/>
      <c r="G797" s="172"/>
      <c r="H797" s="172"/>
      <c r="I797" s="172"/>
      <c r="N797" s="7" t="str">
        <f t="shared" ref="N797:N839" si="292">IF(O797&lt;&gt;0,O797,N796)</f>
        <v>#LITKYA1WA </v>
      </c>
      <c r="O797" s="7">
        <f t="shared" ref="O797:O839" si="293">IF(X797&gt;0,B797,0)</f>
        <v>0</v>
      </c>
      <c r="P797" s="21">
        <f t="shared" ref="P797:P839" si="294">(T797&amp;"/"&amp;Q797&amp;"/2018")*1</f>
        <v>43257</v>
      </c>
      <c r="Q797" s="22">
        <f>VLOOKUP(R797,Referencias!$D$1:$E$13,2,0)</f>
        <v>6</v>
      </c>
      <c r="R797" s="7" t="str">
        <f t="shared" ref="R797:R839" si="295">IF(S797="ganhos garantidos",R796,IF(S797&lt;&gt;0,S797,R796))</f>
        <v>JUN</v>
      </c>
      <c r="S797" s="7">
        <f t="shared" ref="S797:S839" si="296">IF(X797&gt;0,A798,0)</f>
        <v>0</v>
      </c>
      <c r="T797" s="11">
        <f t="shared" ref="T797:T839" si="297">IF(U797&lt;&gt;0,U797,T796)</f>
        <v>6</v>
      </c>
      <c r="U797" s="11">
        <f t="shared" ref="U797:U839" si="298">IF(X797&gt;0,A797,0)</f>
        <v>0</v>
      </c>
      <c r="V797" s="11" t="e">
        <f>VLOOKUP(C797,Referencias!$A$2:$B$33,2,1)</f>
        <v>#N/A</v>
      </c>
      <c r="W797" s="23" t="str">
        <f t="shared" ref="W797:W839" si="299">IF(X797&gt;0,C798-C797,"")</f>
        <v/>
      </c>
      <c r="X797" s="11">
        <f t="shared" ref="X797:X839" si="300">D797*1</f>
        <v>0</v>
      </c>
      <c r="Y797" s="11">
        <f t="shared" ref="Y797:Y839" si="301">X797*$AK$2</f>
        <v>0</v>
      </c>
      <c r="Z797" s="24">
        <f t="shared" ref="Z797:Z839" si="302">IF(A797="Ganhos Garantidos",G797,IF(X797&gt;0,G797*1,0))</f>
        <v>0</v>
      </c>
      <c r="AA797" s="25">
        <f t="shared" ref="AA797:AA839" si="303">IFERROR(Z797/(86400*(W797)/360/10),0)</f>
        <v>0</v>
      </c>
      <c r="AB797" s="24">
        <f t="shared" ref="AB797:AB839" si="304">IF(O797&gt;0,1,0)</f>
        <v>0</v>
      </c>
      <c r="AC797" s="24">
        <f t="shared" si="275"/>
        <v>0</v>
      </c>
      <c r="AD797" s="24">
        <f t="shared" si="276"/>
        <v>0</v>
      </c>
      <c r="AE797" s="24">
        <f t="shared" si="277"/>
        <v>0</v>
      </c>
      <c r="AF797" s="119" t="str">
        <f>VLOOKUP(P797*1,Referencias!$G:$H,2,0)</f>
        <v>qua</v>
      </c>
    </row>
    <row r="798" spans="1:32" x14ac:dyDescent="0.25">
      <c r="A798" s="147">
        <v>7</v>
      </c>
      <c r="B798" s="168" t="s">
        <v>441</v>
      </c>
      <c r="C798" s="134">
        <v>0.51041666666666663</v>
      </c>
      <c r="D798" s="169">
        <v>6.41</v>
      </c>
      <c r="E798" s="169" t="s">
        <v>48</v>
      </c>
      <c r="F798" s="149">
        <v>1.1399999999999999</v>
      </c>
      <c r="G798" s="170">
        <v>4.96</v>
      </c>
      <c r="H798" s="171">
        <v>302.31</v>
      </c>
      <c r="I798" s="169"/>
      <c r="N798" s="7" t="str">
        <f t="shared" si="292"/>
        <v>#LIVFRMREH </v>
      </c>
      <c r="O798" s="7" t="str">
        <f t="shared" si="293"/>
        <v>#LIVFRMREH </v>
      </c>
      <c r="P798" s="21">
        <f t="shared" si="294"/>
        <v>43258</v>
      </c>
      <c r="Q798" s="22">
        <f>VLOOKUP(R798,Referencias!$D$1:$E$13,2,0)</f>
        <v>6</v>
      </c>
      <c r="R798" s="7" t="str">
        <f t="shared" si="295"/>
        <v>JUN</v>
      </c>
      <c r="S798" s="7" t="str">
        <f t="shared" si="296"/>
        <v>JUN</v>
      </c>
      <c r="T798" s="11">
        <f t="shared" si="297"/>
        <v>7</v>
      </c>
      <c r="U798" s="11">
        <f t="shared" si="298"/>
        <v>7</v>
      </c>
      <c r="V798" s="11" t="str">
        <f>VLOOKUP(C798,Referencias!$A$2:$B$33,2,1)</f>
        <v>12 - 13</v>
      </c>
      <c r="W798" s="23">
        <f t="shared" si="299"/>
        <v>4.7916666666666718E-2</v>
      </c>
      <c r="X798" s="11">
        <f t="shared" si="300"/>
        <v>6.41</v>
      </c>
      <c r="Y798" s="11">
        <f t="shared" si="301"/>
        <v>11.319632463301241</v>
      </c>
      <c r="Z798" s="24">
        <f t="shared" si="302"/>
        <v>4.96</v>
      </c>
      <c r="AA798" s="25">
        <f t="shared" si="303"/>
        <v>4.3130434782608651</v>
      </c>
      <c r="AB798" s="24">
        <f t="shared" si="304"/>
        <v>1</v>
      </c>
      <c r="AC798" s="24">
        <f t="shared" si="275"/>
        <v>3.2495351565249377</v>
      </c>
      <c r="AD798" s="24">
        <f t="shared" si="276"/>
        <v>3.937057762356194</v>
      </c>
      <c r="AE798" s="24">
        <f t="shared" si="277"/>
        <v>4.6679875885628803</v>
      </c>
      <c r="AF798" s="119" t="str">
        <f>VLOOKUP(P798*1,Referencias!$G:$H,2,0)</f>
        <v>qui</v>
      </c>
    </row>
    <row r="799" spans="1:32" ht="12" customHeight="1" x14ac:dyDescent="0.25">
      <c r="A799" s="147" t="s">
        <v>250</v>
      </c>
      <c r="B799" s="164"/>
      <c r="C799" s="134">
        <v>0.55833333333333335</v>
      </c>
      <c r="D799" s="165"/>
      <c r="E799" s="165"/>
      <c r="F799" s="145" t="s">
        <v>349</v>
      </c>
      <c r="G799" s="166"/>
      <c r="H799" s="167"/>
      <c r="I799" s="165"/>
      <c r="N799" s="7" t="str">
        <f t="shared" si="292"/>
        <v>#LIVFRMREH </v>
      </c>
      <c r="O799" s="7">
        <f t="shared" si="293"/>
        <v>0</v>
      </c>
      <c r="P799" s="21">
        <f t="shared" si="294"/>
        <v>43258</v>
      </c>
      <c r="Q799" s="22">
        <f>VLOOKUP(R799,Referencias!$D$1:$E$13,2,0)</f>
        <v>6</v>
      </c>
      <c r="R799" s="7" t="str">
        <f t="shared" si="295"/>
        <v>JUN</v>
      </c>
      <c r="S799" s="7">
        <f t="shared" si="296"/>
        <v>0</v>
      </c>
      <c r="T799" s="11">
        <f t="shared" si="297"/>
        <v>7</v>
      </c>
      <c r="U799" s="11">
        <f t="shared" si="298"/>
        <v>0</v>
      </c>
      <c r="V799" s="11" t="str">
        <f>VLOOKUP(C799,Referencias!$A$2:$B$33,2,1)</f>
        <v>13 - 14</v>
      </c>
      <c r="W799" s="23" t="str">
        <f t="shared" si="299"/>
        <v/>
      </c>
      <c r="X799" s="11">
        <f t="shared" si="300"/>
        <v>0</v>
      </c>
      <c r="Y799" s="11">
        <f t="shared" si="301"/>
        <v>0</v>
      </c>
      <c r="Z799" s="24">
        <f t="shared" si="302"/>
        <v>0</v>
      </c>
      <c r="AA799" s="25">
        <f t="shared" si="303"/>
        <v>0</v>
      </c>
      <c r="AB799" s="24">
        <f t="shared" si="304"/>
        <v>0</v>
      </c>
      <c r="AC799" s="24">
        <f t="shared" si="275"/>
        <v>0</v>
      </c>
      <c r="AD799" s="24">
        <f t="shared" si="276"/>
        <v>0</v>
      </c>
      <c r="AE799" s="24">
        <f t="shared" si="277"/>
        <v>0</v>
      </c>
      <c r="AF799" s="119" t="str">
        <f>VLOOKUP(P799*1,Referencias!$G:$H,2,0)</f>
        <v>qui</v>
      </c>
    </row>
    <row r="800" spans="1:32" ht="12" customHeight="1" x14ac:dyDescent="0.25">
      <c r="A800" s="161"/>
      <c r="B800" s="161"/>
      <c r="C800" s="161"/>
      <c r="D800" s="161"/>
      <c r="E800" s="161"/>
      <c r="F800" s="161"/>
      <c r="G800" s="161"/>
      <c r="H800" s="161"/>
      <c r="I800" s="161"/>
      <c r="N800" s="7" t="str">
        <f t="shared" si="292"/>
        <v>#LIVFRMREH </v>
      </c>
      <c r="O800" s="7">
        <f t="shared" si="293"/>
        <v>0</v>
      </c>
      <c r="P800" s="21">
        <f t="shared" si="294"/>
        <v>43258</v>
      </c>
      <c r="Q800" s="22">
        <f>VLOOKUP(R800,Referencias!$D$1:$E$13,2,0)</f>
        <v>6</v>
      </c>
      <c r="R800" s="7" t="str">
        <f t="shared" si="295"/>
        <v>JUN</v>
      </c>
      <c r="S800" s="7">
        <f t="shared" si="296"/>
        <v>0</v>
      </c>
      <c r="T800" s="11">
        <f t="shared" si="297"/>
        <v>7</v>
      </c>
      <c r="U800" s="11">
        <f t="shared" si="298"/>
        <v>0</v>
      </c>
      <c r="V800" s="11" t="e">
        <f>VLOOKUP(C800,Referencias!$A$2:$B$33,2,1)</f>
        <v>#N/A</v>
      </c>
      <c r="W800" s="23" t="str">
        <f t="shared" si="299"/>
        <v/>
      </c>
      <c r="X800" s="11">
        <f t="shared" si="300"/>
        <v>0</v>
      </c>
      <c r="Y800" s="11">
        <f t="shared" si="301"/>
        <v>0</v>
      </c>
      <c r="Z800" s="24">
        <f t="shared" si="302"/>
        <v>0</v>
      </c>
      <c r="AA800" s="25">
        <f t="shared" si="303"/>
        <v>0</v>
      </c>
      <c r="AB800" s="24">
        <f t="shared" si="304"/>
        <v>0</v>
      </c>
      <c r="AC800" s="24">
        <f t="shared" si="275"/>
        <v>0</v>
      </c>
      <c r="AD800" s="24">
        <f t="shared" si="276"/>
        <v>0</v>
      </c>
      <c r="AE800" s="24">
        <f t="shared" si="277"/>
        <v>0</v>
      </c>
      <c r="AF800" s="119" t="str">
        <f>VLOOKUP(P800*1,Referencias!$G:$H,2,0)</f>
        <v>qui</v>
      </c>
    </row>
    <row r="801" spans="1:32" x14ac:dyDescent="0.25">
      <c r="A801" s="162"/>
      <c r="B801" s="162"/>
      <c r="C801" s="162"/>
      <c r="D801" s="162"/>
      <c r="E801" s="162"/>
      <c r="F801" s="162"/>
      <c r="G801" s="162"/>
      <c r="H801" s="162"/>
      <c r="I801" s="162"/>
      <c r="N801" s="7" t="str">
        <f t="shared" si="292"/>
        <v>#LIVFRMREH </v>
      </c>
      <c r="O801" s="7">
        <f t="shared" si="293"/>
        <v>0</v>
      </c>
      <c r="P801" s="21">
        <f t="shared" si="294"/>
        <v>43258</v>
      </c>
      <c r="Q801" s="22">
        <f>VLOOKUP(R801,Referencias!$D$1:$E$13,2,0)</f>
        <v>6</v>
      </c>
      <c r="R801" s="7" t="str">
        <f t="shared" si="295"/>
        <v>JUN</v>
      </c>
      <c r="S801" s="7">
        <f t="shared" si="296"/>
        <v>0</v>
      </c>
      <c r="T801" s="11">
        <f t="shared" si="297"/>
        <v>7</v>
      </c>
      <c r="U801" s="11">
        <f t="shared" si="298"/>
        <v>0</v>
      </c>
      <c r="V801" s="11" t="e">
        <f>VLOOKUP(C801,Referencias!$A$2:$B$33,2,1)</f>
        <v>#N/A</v>
      </c>
      <c r="W801" s="23" t="str">
        <f t="shared" si="299"/>
        <v/>
      </c>
      <c r="X801" s="11">
        <f t="shared" si="300"/>
        <v>0</v>
      </c>
      <c r="Y801" s="11">
        <f t="shared" si="301"/>
        <v>0</v>
      </c>
      <c r="Z801" s="24">
        <f t="shared" si="302"/>
        <v>0</v>
      </c>
      <c r="AA801" s="25">
        <f t="shared" si="303"/>
        <v>0</v>
      </c>
      <c r="AB801" s="24">
        <f t="shared" si="304"/>
        <v>0</v>
      </c>
      <c r="AC801" s="24">
        <f t="shared" si="275"/>
        <v>0</v>
      </c>
      <c r="AD801" s="24">
        <f t="shared" si="276"/>
        <v>0</v>
      </c>
      <c r="AE801" s="24">
        <f t="shared" si="277"/>
        <v>0</v>
      </c>
      <c r="AF801" s="119" t="str">
        <f>VLOOKUP(P801*1,Referencias!$G:$H,2,0)</f>
        <v>qui</v>
      </c>
    </row>
    <row r="802" spans="1:32" x14ac:dyDescent="0.25">
      <c r="A802" s="163"/>
      <c r="B802" s="164" t="s">
        <v>442</v>
      </c>
      <c r="C802" s="134">
        <v>0.55833333333333335</v>
      </c>
      <c r="D802" s="165">
        <v>4.7</v>
      </c>
      <c r="E802" s="165" t="s">
        <v>36</v>
      </c>
      <c r="F802" s="149">
        <v>0.94</v>
      </c>
      <c r="G802" s="166">
        <v>4.08</v>
      </c>
      <c r="H802" s="167">
        <v>306.39</v>
      </c>
      <c r="I802" s="165"/>
      <c r="N802" s="7" t="str">
        <f t="shared" si="292"/>
        <v>#LI1EE6BDY </v>
      </c>
      <c r="O802" s="7" t="str">
        <f t="shared" si="293"/>
        <v>#LI1EE6BDY </v>
      </c>
      <c r="P802" s="21">
        <f t="shared" si="294"/>
        <v>43258</v>
      </c>
      <c r="Q802" s="22">
        <f>VLOOKUP(R802,Referencias!$D$1:$E$13,2,0)</f>
        <v>6</v>
      </c>
      <c r="R802" s="7" t="str">
        <f t="shared" si="295"/>
        <v>JUN</v>
      </c>
      <c r="S802" s="7">
        <f t="shared" si="296"/>
        <v>0</v>
      </c>
      <c r="T802" s="11">
        <f t="shared" si="297"/>
        <v>7</v>
      </c>
      <c r="U802" s="11">
        <f t="shared" si="298"/>
        <v>0</v>
      </c>
      <c r="V802" s="11" t="str">
        <f>VLOOKUP(C802,Referencias!$A$2:$B$33,2,1)</f>
        <v>13 - 14</v>
      </c>
      <c r="W802" s="23">
        <f t="shared" si="299"/>
        <v>1.5972222222222165E-2</v>
      </c>
      <c r="X802" s="11">
        <f t="shared" si="300"/>
        <v>4.7</v>
      </c>
      <c r="Y802" s="11">
        <f t="shared" si="301"/>
        <v>8.2998865175531709</v>
      </c>
      <c r="Z802" s="24">
        <f t="shared" si="302"/>
        <v>4.08</v>
      </c>
      <c r="AA802" s="25">
        <f t="shared" si="303"/>
        <v>10.643478260869605</v>
      </c>
      <c r="AB802" s="24">
        <f t="shared" si="304"/>
        <v>1</v>
      </c>
      <c r="AC802" s="24">
        <f t="shared" si="275"/>
        <v>2.6730047255285778</v>
      </c>
      <c r="AD802" s="24">
        <f t="shared" si="276"/>
        <v>3.2385475141962243</v>
      </c>
      <c r="AE802" s="24">
        <f t="shared" si="277"/>
        <v>3.8397962422049505</v>
      </c>
      <c r="AF802" s="119" t="str">
        <f>VLOOKUP(P802*1,Referencias!$G:$H,2,0)</f>
        <v>qui</v>
      </c>
    </row>
    <row r="803" spans="1:32" ht="12" customHeight="1" x14ac:dyDescent="0.25">
      <c r="A803" s="163"/>
      <c r="B803" s="164"/>
      <c r="C803" s="134">
        <v>0.57430555555555551</v>
      </c>
      <c r="D803" s="165"/>
      <c r="E803" s="165"/>
      <c r="F803" s="145" t="s">
        <v>349</v>
      </c>
      <c r="G803" s="166"/>
      <c r="H803" s="167"/>
      <c r="I803" s="165"/>
      <c r="N803" s="7" t="str">
        <f t="shared" si="292"/>
        <v>#LI1EE6BDY </v>
      </c>
      <c r="O803" s="7">
        <f t="shared" si="293"/>
        <v>0</v>
      </c>
      <c r="P803" s="21">
        <f t="shared" si="294"/>
        <v>43258</v>
      </c>
      <c r="Q803" s="22">
        <f>VLOOKUP(R803,Referencias!$D$1:$E$13,2,0)</f>
        <v>6</v>
      </c>
      <c r="R803" s="7" t="str">
        <f t="shared" si="295"/>
        <v>JUN</v>
      </c>
      <c r="S803" s="7">
        <f t="shared" si="296"/>
        <v>0</v>
      </c>
      <c r="T803" s="11">
        <f t="shared" si="297"/>
        <v>7</v>
      </c>
      <c r="U803" s="11">
        <f t="shared" si="298"/>
        <v>0</v>
      </c>
      <c r="V803" s="11" t="str">
        <f>VLOOKUP(C803,Referencias!$A$2:$B$33,2,1)</f>
        <v>13 - 14</v>
      </c>
      <c r="W803" s="23" t="str">
        <f t="shared" si="299"/>
        <v/>
      </c>
      <c r="X803" s="11">
        <f t="shared" si="300"/>
        <v>0</v>
      </c>
      <c r="Y803" s="11">
        <f t="shared" si="301"/>
        <v>0</v>
      </c>
      <c r="Z803" s="24">
        <f t="shared" si="302"/>
        <v>0</v>
      </c>
      <c r="AA803" s="25">
        <f t="shared" si="303"/>
        <v>0</v>
      </c>
      <c r="AB803" s="24">
        <f t="shared" si="304"/>
        <v>0</v>
      </c>
      <c r="AC803" s="24">
        <f t="shared" si="275"/>
        <v>0</v>
      </c>
      <c r="AD803" s="24">
        <f t="shared" si="276"/>
        <v>0</v>
      </c>
      <c r="AE803" s="24">
        <f t="shared" si="277"/>
        <v>0</v>
      </c>
      <c r="AF803" s="119" t="str">
        <f>VLOOKUP(P803*1,Referencias!$G:$H,2,0)</f>
        <v>qui</v>
      </c>
    </row>
    <row r="804" spans="1:32" ht="12" customHeight="1" x14ac:dyDescent="0.25">
      <c r="A804" s="161"/>
      <c r="B804" s="161"/>
      <c r="C804" s="161"/>
      <c r="D804" s="161"/>
      <c r="E804" s="161"/>
      <c r="F804" s="161"/>
      <c r="G804" s="161"/>
      <c r="H804" s="161"/>
      <c r="I804" s="161"/>
      <c r="N804" s="7" t="str">
        <f t="shared" si="292"/>
        <v>#LI1EE6BDY </v>
      </c>
      <c r="O804" s="7">
        <f t="shared" si="293"/>
        <v>0</v>
      </c>
      <c r="P804" s="21">
        <f t="shared" si="294"/>
        <v>43258</v>
      </c>
      <c r="Q804" s="22">
        <f>VLOOKUP(R804,Referencias!$D$1:$E$13,2,0)</f>
        <v>6</v>
      </c>
      <c r="R804" s="7" t="str">
        <f t="shared" si="295"/>
        <v>JUN</v>
      </c>
      <c r="S804" s="7">
        <f t="shared" si="296"/>
        <v>0</v>
      </c>
      <c r="T804" s="11">
        <f t="shared" si="297"/>
        <v>7</v>
      </c>
      <c r="U804" s="11">
        <f t="shared" si="298"/>
        <v>0</v>
      </c>
      <c r="V804" s="11" t="e">
        <f>VLOOKUP(C804,Referencias!$A$2:$B$33,2,1)</f>
        <v>#N/A</v>
      </c>
      <c r="W804" s="23" t="str">
        <f t="shared" si="299"/>
        <v/>
      </c>
      <c r="X804" s="11">
        <f t="shared" si="300"/>
        <v>0</v>
      </c>
      <c r="Y804" s="11">
        <f t="shared" si="301"/>
        <v>0</v>
      </c>
      <c r="Z804" s="24">
        <f t="shared" si="302"/>
        <v>0</v>
      </c>
      <c r="AA804" s="25">
        <f t="shared" si="303"/>
        <v>0</v>
      </c>
      <c r="AB804" s="24">
        <f t="shared" si="304"/>
        <v>0</v>
      </c>
      <c r="AC804" s="24">
        <f t="shared" si="275"/>
        <v>0</v>
      </c>
      <c r="AD804" s="24">
        <f t="shared" si="276"/>
        <v>0</v>
      </c>
      <c r="AE804" s="24">
        <f t="shared" si="277"/>
        <v>0</v>
      </c>
      <c r="AF804" s="119" t="str">
        <f>VLOOKUP(P804*1,Referencias!$G:$H,2,0)</f>
        <v>qui</v>
      </c>
    </row>
    <row r="805" spans="1:32" x14ac:dyDescent="0.25">
      <c r="A805" s="162"/>
      <c r="B805" s="162"/>
      <c r="C805" s="162"/>
      <c r="D805" s="162"/>
      <c r="E805" s="162"/>
      <c r="F805" s="162"/>
      <c r="G805" s="162"/>
      <c r="H805" s="162"/>
      <c r="I805" s="162"/>
      <c r="N805" s="7" t="str">
        <f t="shared" si="292"/>
        <v>#LI1EE6BDY </v>
      </c>
      <c r="O805" s="7">
        <f t="shared" si="293"/>
        <v>0</v>
      </c>
      <c r="P805" s="21">
        <f t="shared" si="294"/>
        <v>43258</v>
      </c>
      <c r="Q805" s="22">
        <f>VLOOKUP(R805,Referencias!$D$1:$E$13,2,0)</f>
        <v>6</v>
      </c>
      <c r="R805" s="7" t="str">
        <f t="shared" si="295"/>
        <v>JUN</v>
      </c>
      <c r="S805" s="7">
        <f t="shared" si="296"/>
        <v>0</v>
      </c>
      <c r="T805" s="11">
        <f t="shared" si="297"/>
        <v>7</v>
      </c>
      <c r="U805" s="11">
        <f t="shared" si="298"/>
        <v>0</v>
      </c>
      <c r="V805" s="11" t="e">
        <f>VLOOKUP(C805,Referencias!$A$2:$B$33,2,1)</f>
        <v>#N/A</v>
      </c>
      <c r="W805" s="23" t="str">
        <f t="shared" si="299"/>
        <v/>
      </c>
      <c r="X805" s="11">
        <f t="shared" si="300"/>
        <v>0</v>
      </c>
      <c r="Y805" s="11">
        <f t="shared" si="301"/>
        <v>0</v>
      </c>
      <c r="Z805" s="24">
        <f t="shared" si="302"/>
        <v>0</v>
      </c>
      <c r="AA805" s="25">
        <f t="shared" si="303"/>
        <v>0</v>
      </c>
      <c r="AB805" s="24">
        <f t="shared" si="304"/>
        <v>0</v>
      </c>
      <c r="AC805" s="24">
        <f t="shared" si="275"/>
        <v>0</v>
      </c>
      <c r="AD805" s="24">
        <f t="shared" si="276"/>
        <v>0</v>
      </c>
      <c r="AE805" s="24">
        <f t="shared" si="277"/>
        <v>0</v>
      </c>
      <c r="AF805" s="119" t="str">
        <f>VLOOKUP(P805*1,Referencias!$G:$H,2,0)</f>
        <v>qui</v>
      </c>
    </row>
    <row r="806" spans="1:32" x14ac:dyDescent="0.25">
      <c r="A806" s="163"/>
      <c r="B806" s="164" t="s">
        <v>443</v>
      </c>
      <c r="C806" s="134">
        <v>0.81666666666666676</v>
      </c>
      <c r="D806" s="165">
        <v>5.92</v>
      </c>
      <c r="E806" s="165" t="s">
        <v>44</v>
      </c>
      <c r="F806" s="149">
        <v>1.07</v>
      </c>
      <c r="G806" s="166">
        <v>4.6500000000000004</v>
      </c>
      <c r="H806" s="167">
        <v>311.04000000000002</v>
      </c>
      <c r="I806" s="165"/>
      <c r="N806" s="7" t="str">
        <f t="shared" si="292"/>
        <v>#LIFSJE8JA </v>
      </c>
      <c r="O806" s="7" t="str">
        <f t="shared" si="293"/>
        <v>#LIFSJE8JA </v>
      </c>
      <c r="P806" s="21">
        <f t="shared" si="294"/>
        <v>43258</v>
      </c>
      <c r="Q806" s="22">
        <f>VLOOKUP(R806,Referencias!$D$1:$E$13,2,0)</f>
        <v>6</v>
      </c>
      <c r="R806" s="7" t="str">
        <f t="shared" si="295"/>
        <v>JUN</v>
      </c>
      <c r="S806" s="7">
        <f t="shared" si="296"/>
        <v>0</v>
      </c>
      <c r="T806" s="11">
        <f t="shared" si="297"/>
        <v>7</v>
      </c>
      <c r="U806" s="11">
        <f t="shared" si="298"/>
        <v>0</v>
      </c>
      <c r="V806" s="11" t="str">
        <f>VLOOKUP(C806,Referencias!$A$2:$B$33,2,1)</f>
        <v>19 - 20</v>
      </c>
      <c r="W806" s="23">
        <f t="shared" si="299"/>
        <v>3.0555555555555447E-2</v>
      </c>
      <c r="X806" s="11">
        <f t="shared" si="300"/>
        <v>5.92</v>
      </c>
      <c r="Y806" s="11">
        <f t="shared" si="301"/>
        <v>10.454325145513781</v>
      </c>
      <c r="Z806" s="24">
        <f t="shared" si="302"/>
        <v>4.6500000000000004</v>
      </c>
      <c r="AA806" s="25">
        <f t="shared" si="303"/>
        <v>6.3409090909091148</v>
      </c>
      <c r="AB806" s="24">
        <f t="shared" si="304"/>
        <v>1</v>
      </c>
      <c r="AC806" s="24">
        <f t="shared" si="275"/>
        <v>3.0464392092421293</v>
      </c>
      <c r="AD806" s="24">
        <f t="shared" si="276"/>
        <v>3.6909916522089321</v>
      </c>
      <c r="AE806" s="24">
        <f t="shared" si="277"/>
        <v>4.3762383642777012</v>
      </c>
      <c r="AF806" s="119" t="str">
        <f>VLOOKUP(P806*1,Referencias!$G:$H,2,0)</f>
        <v>qui</v>
      </c>
    </row>
    <row r="807" spans="1:32" ht="12" customHeight="1" x14ac:dyDescent="0.25">
      <c r="A807" s="163"/>
      <c r="B807" s="164"/>
      <c r="C807" s="134">
        <v>0.84722222222222221</v>
      </c>
      <c r="D807" s="165"/>
      <c r="E807" s="165"/>
      <c r="F807" s="145" t="s">
        <v>349</v>
      </c>
      <c r="G807" s="166"/>
      <c r="H807" s="167"/>
      <c r="I807" s="165"/>
      <c r="N807" s="7" t="str">
        <f t="shared" si="292"/>
        <v>#LIFSJE8JA </v>
      </c>
      <c r="O807" s="7">
        <f t="shared" si="293"/>
        <v>0</v>
      </c>
      <c r="P807" s="21">
        <f t="shared" si="294"/>
        <v>43258</v>
      </c>
      <c r="Q807" s="22">
        <f>VLOOKUP(R807,Referencias!$D$1:$E$13,2,0)</f>
        <v>6</v>
      </c>
      <c r="R807" s="7" t="str">
        <f t="shared" si="295"/>
        <v>JUN</v>
      </c>
      <c r="S807" s="7">
        <f t="shared" si="296"/>
        <v>0</v>
      </c>
      <c r="T807" s="11">
        <f t="shared" si="297"/>
        <v>7</v>
      </c>
      <c r="U807" s="11">
        <f t="shared" si="298"/>
        <v>0</v>
      </c>
      <c r="V807" s="11" t="str">
        <f>VLOOKUP(C807,Referencias!$A$2:$B$33,2,1)</f>
        <v>20 - 21</v>
      </c>
      <c r="W807" s="23" t="str">
        <f t="shared" si="299"/>
        <v/>
      </c>
      <c r="X807" s="11">
        <f t="shared" si="300"/>
        <v>0</v>
      </c>
      <c r="Y807" s="11">
        <f t="shared" si="301"/>
        <v>0</v>
      </c>
      <c r="Z807" s="24">
        <f t="shared" si="302"/>
        <v>0</v>
      </c>
      <c r="AA807" s="25">
        <f t="shared" si="303"/>
        <v>0</v>
      </c>
      <c r="AB807" s="24">
        <f t="shared" si="304"/>
        <v>0</v>
      </c>
      <c r="AC807" s="24">
        <f t="shared" si="275"/>
        <v>0</v>
      </c>
      <c r="AD807" s="24">
        <f t="shared" si="276"/>
        <v>0</v>
      </c>
      <c r="AE807" s="24">
        <f t="shared" si="277"/>
        <v>0</v>
      </c>
      <c r="AF807" s="119" t="str">
        <f>VLOOKUP(P807*1,Referencias!$G:$H,2,0)</f>
        <v>qui</v>
      </c>
    </row>
    <row r="808" spans="1:32" ht="12" customHeight="1" x14ac:dyDescent="0.25">
      <c r="A808" s="161"/>
      <c r="B808" s="161"/>
      <c r="C808" s="161"/>
      <c r="D808" s="161"/>
      <c r="E808" s="161"/>
      <c r="F808" s="161"/>
      <c r="G808" s="161"/>
      <c r="H808" s="161"/>
      <c r="I808" s="161"/>
      <c r="N808" s="7" t="str">
        <f t="shared" si="292"/>
        <v>#LIFSJE8JA </v>
      </c>
      <c r="O808" s="7">
        <f t="shared" si="293"/>
        <v>0</v>
      </c>
      <c r="P808" s="21">
        <f t="shared" si="294"/>
        <v>43258</v>
      </c>
      <c r="Q808" s="22">
        <f>VLOOKUP(R808,Referencias!$D$1:$E$13,2,0)</f>
        <v>6</v>
      </c>
      <c r="R808" s="7" t="str">
        <f t="shared" si="295"/>
        <v>JUN</v>
      </c>
      <c r="S808" s="7">
        <f t="shared" si="296"/>
        <v>0</v>
      </c>
      <c r="T808" s="11">
        <f t="shared" si="297"/>
        <v>7</v>
      </c>
      <c r="U808" s="11">
        <f t="shared" si="298"/>
        <v>0</v>
      </c>
      <c r="V808" s="11" t="e">
        <f>VLOOKUP(C808,Referencias!$A$2:$B$33,2,1)</f>
        <v>#N/A</v>
      </c>
      <c r="W808" s="23" t="str">
        <f t="shared" si="299"/>
        <v/>
      </c>
      <c r="X808" s="11">
        <f t="shared" si="300"/>
        <v>0</v>
      </c>
      <c r="Y808" s="11">
        <f t="shared" si="301"/>
        <v>0</v>
      </c>
      <c r="Z808" s="24">
        <f t="shared" si="302"/>
        <v>0</v>
      </c>
      <c r="AA808" s="25">
        <f t="shared" si="303"/>
        <v>0</v>
      </c>
      <c r="AB808" s="24">
        <f t="shared" si="304"/>
        <v>0</v>
      </c>
      <c r="AC808" s="24">
        <f t="shared" si="275"/>
        <v>0</v>
      </c>
      <c r="AD808" s="24">
        <f t="shared" si="276"/>
        <v>0</v>
      </c>
      <c r="AE808" s="24">
        <f t="shared" si="277"/>
        <v>0</v>
      </c>
      <c r="AF808" s="119" t="str">
        <f>VLOOKUP(P808*1,Referencias!$G:$H,2,0)</f>
        <v>qui</v>
      </c>
    </row>
    <row r="809" spans="1:32" x14ac:dyDescent="0.25">
      <c r="A809" s="162"/>
      <c r="B809" s="162"/>
      <c r="C809" s="162"/>
      <c r="D809" s="162"/>
      <c r="E809" s="162"/>
      <c r="F809" s="162"/>
      <c r="G809" s="162"/>
      <c r="H809" s="162"/>
      <c r="I809" s="162"/>
      <c r="N809" s="7" t="str">
        <f t="shared" si="292"/>
        <v>#LIFSJE8JA </v>
      </c>
      <c r="O809" s="7">
        <f t="shared" si="293"/>
        <v>0</v>
      </c>
      <c r="P809" s="21">
        <f t="shared" si="294"/>
        <v>43258</v>
      </c>
      <c r="Q809" s="22">
        <f>VLOOKUP(R809,Referencias!$D$1:$E$13,2,0)</f>
        <v>6</v>
      </c>
      <c r="R809" s="7" t="str">
        <f t="shared" si="295"/>
        <v>JUN</v>
      </c>
      <c r="S809" s="7">
        <f t="shared" si="296"/>
        <v>0</v>
      </c>
      <c r="T809" s="11">
        <f t="shared" si="297"/>
        <v>7</v>
      </c>
      <c r="U809" s="11">
        <f t="shared" si="298"/>
        <v>0</v>
      </c>
      <c r="V809" s="11" t="e">
        <f>VLOOKUP(C809,Referencias!$A$2:$B$33,2,1)</f>
        <v>#N/A</v>
      </c>
      <c r="W809" s="23" t="str">
        <f t="shared" si="299"/>
        <v/>
      </c>
      <c r="X809" s="11">
        <f t="shared" si="300"/>
        <v>0</v>
      </c>
      <c r="Y809" s="11">
        <f t="shared" si="301"/>
        <v>0</v>
      </c>
      <c r="Z809" s="24">
        <f t="shared" si="302"/>
        <v>0</v>
      </c>
      <c r="AA809" s="25">
        <f t="shared" si="303"/>
        <v>0</v>
      </c>
      <c r="AB809" s="24">
        <f t="shared" si="304"/>
        <v>0</v>
      </c>
      <c r="AC809" s="24">
        <f t="shared" si="275"/>
        <v>0</v>
      </c>
      <c r="AD809" s="24">
        <f t="shared" si="276"/>
        <v>0</v>
      </c>
      <c r="AE809" s="24">
        <f t="shared" si="277"/>
        <v>0</v>
      </c>
      <c r="AF809" s="119" t="str">
        <f>VLOOKUP(P809*1,Referencias!$G:$H,2,0)</f>
        <v>qui</v>
      </c>
    </row>
    <row r="810" spans="1:32" x14ac:dyDescent="0.25">
      <c r="A810" s="163"/>
      <c r="B810" s="164" t="s">
        <v>444</v>
      </c>
      <c r="C810" s="134">
        <v>0.84722222222222221</v>
      </c>
      <c r="D810" s="165">
        <v>11.59</v>
      </c>
      <c r="E810" s="165" t="s">
        <v>55</v>
      </c>
      <c r="F810" s="149">
        <v>1.66</v>
      </c>
      <c r="G810" s="166">
        <v>7.21</v>
      </c>
      <c r="H810" s="167">
        <v>318.25</v>
      </c>
      <c r="I810" s="165"/>
      <c r="N810" s="7" t="str">
        <f t="shared" si="292"/>
        <v>#LIGA7C6AH </v>
      </c>
      <c r="O810" s="7" t="str">
        <f t="shared" si="293"/>
        <v>#LIGA7C6AH </v>
      </c>
      <c r="P810" s="21">
        <f t="shared" si="294"/>
        <v>43258</v>
      </c>
      <c r="Q810" s="22">
        <f>VLOOKUP(R810,Referencias!$D$1:$E$13,2,0)</f>
        <v>6</v>
      </c>
      <c r="R810" s="7" t="str">
        <f t="shared" si="295"/>
        <v>JUN</v>
      </c>
      <c r="S810" s="7">
        <f t="shared" si="296"/>
        <v>0</v>
      </c>
      <c r="T810" s="11">
        <f t="shared" si="297"/>
        <v>7</v>
      </c>
      <c r="U810" s="11">
        <f t="shared" si="298"/>
        <v>0</v>
      </c>
      <c r="V810" s="11" t="str">
        <f>VLOOKUP(C810,Referencias!$A$2:$B$33,2,1)</f>
        <v>20 - 21</v>
      </c>
      <c r="W810" s="23">
        <f t="shared" si="299"/>
        <v>1.9444444444444486E-2</v>
      </c>
      <c r="X810" s="11">
        <f t="shared" si="300"/>
        <v>11.59</v>
      </c>
      <c r="Y810" s="11">
        <f t="shared" si="301"/>
        <v>20.4671669656258</v>
      </c>
      <c r="Z810" s="24">
        <f t="shared" si="302"/>
        <v>7.21</v>
      </c>
      <c r="AA810" s="25">
        <f t="shared" si="303"/>
        <v>15.449999999999967</v>
      </c>
      <c r="AB810" s="24">
        <f t="shared" si="304"/>
        <v>1</v>
      </c>
      <c r="AC810" s="24">
        <f t="shared" si="275"/>
        <v>4.7236186448679032</v>
      </c>
      <c r="AD810" s="24">
        <f t="shared" si="276"/>
        <v>5.7230214650379354</v>
      </c>
      <c r="AE810" s="24">
        <f t="shared" si="277"/>
        <v>6.7855222809553162</v>
      </c>
      <c r="AF810" s="119" t="str">
        <f>VLOOKUP(P810*1,Referencias!$G:$H,2,0)</f>
        <v>qui</v>
      </c>
    </row>
    <row r="811" spans="1:32" ht="12" customHeight="1" x14ac:dyDescent="0.25">
      <c r="A811" s="163"/>
      <c r="B811" s="164"/>
      <c r="C811" s="134">
        <v>0.8666666666666667</v>
      </c>
      <c r="D811" s="165"/>
      <c r="E811" s="165"/>
      <c r="F811" s="145" t="s">
        <v>349</v>
      </c>
      <c r="G811" s="166"/>
      <c r="H811" s="167"/>
      <c r="I811" s="165"/>
      <c r="N811" s="7" t="str">
        <f t="shared" si="292"/>
        <v>#LIGA7C6AH </v>
      </c>
      <c r="O811" s="7">
        <f t="shared" si="293"/>
        <v>0</v>
      </c>
      <c r="P811" s="21">
        <f t="shared" si="294"/>
        <v>43258</v>
      </c>
      <c r="Q811" s="22">
        <f>VLOOKUP(R811,Referencias!$D$1:$E$13,2,0)</f>
        <v>6</v>
      </c>
      <c r="R811" s="7" t="str">
        <f t="shared" si="295"/>
        <v>JUN</v>
      </c>
      <c r="S811" s="7">
        <f t="shared" si="296"/>
        <v>0</v>
      </c>
      <c r="T811" s="11">
        <f t="shared" si="297"/>
        <v>7</v>
      </c>
      <c r="U811" s="11">
        <f t="shared" si="298"/>
        <v>0</v>
      </c>
      <c r="V811" s="11" t="str">
        <f>VLOOKUP(C811,Referencias!$A$2:$B$33,2,1)</f>
        <v>20 - 21</v>
      </c>
      <c r="W811" s="23" t="str">
        <f t="shared" si="299"/>
        <v/>
      </c>
      <c r="X811" s="11">
        <f t="shared" si="300"/>
        <v>0</v>
      </c>
      <c r="Y811" s="11">
        <f t="shared" si="301"/>
        <v>0</v>
      </c>
      <c r="Z811" s="24">
        <f t="shared" si="302"/>
        <v>0</v>
      </c>
      <c r="AA811" s="25">
        <f t="shared" si="303"/>
        <v>0</v>
      </c>
      <c r="AB811" s="24">
        <f t="shared" si="304"/>
        <v>0</v>
      </c>
      <c r="AC811" s="24">
        <f t="shared" si="275"/>
        <v>0</v>
      </c>
      <c r="AD811" s="24">
        <f t="shared" si="276"/>
        <v>0</v>
      </c>
      <c r="AE811" s="24">
        <f t="shared" si="277"/>
        <v>0</v>
      </c>
      <c r="AF811" s="119" t="str">
        <f>VLOOKUP(P811*1,Referencias!$G:$H,2,0)</f>
        <v>qui</v>
      </c>
    </row>
    <row r="812" spans="1:32" ht="12" customHeight="1" x14ac:dyDescent="0.25">
      <c r="A812" s="161"/>
      <c r="B812" s="161"/>
      <c r="C812" s="161"/>
      <c r="D812" s="161"/>
      <c r="E812" s="161"/>
      <c r="F812" s="161"/>
      <c r="G812" s="161"/>
      <c r="H812" s="161"/>
      <c r="I812" s="161"/>
      <c r="N812" s="7" t="str">
        <f t="shared" si="292"/>
        <v>#LIGA7C6AH </v>
      </c>
      <c r="O812" s="7">
        <f t="shared" si="293"/>
        <v>0</v>
      </c>
      <c r="P812" s="21">
        <f t="shared" si="294"/>
        <v>43258</v>
      </c>
      <c r="Q812" s="22">
        <f>VLOOKUP(R812,Referencias!$D$1:$E$13,2,0)</f>
        <v>6</v>
      </c>
      <c r="R812" s="7" t="str">
        <f t="shared" si="295"/>
        <v>JUN</v>
      </c>
      <c r="S812" s="7">
        <f t="shared" si="296"/>
        <v>0</v>
      </c>
      <c r="T812" s="11">
        <f t="shared" si="297"/>
        <v>7</v>
      </c>
      <c r="U812" s="11">
        <f t="shared" si="298"/>
        <v>0</v>
      </c>
      <c r="V812" s="11" t="e">
        <f>VLOOKUP(C812,Referencias!$A$2:$B$33,2,1)</f>
        <v>#N/A</v>
      </c>
      <c r="W812" s="23" t="str">
        <f t="shared" si="299"/>
        <v/>
      </c>
      <c r="X812" s="11">
        <f t="shared" si="300"/>
        <v>0</v>
      </c>
      <c r="Y812" s="11">
        <f t="shared" si="301"/>
        <v>0</v>
      </c>
      <c r="Z812" s="24">
        <f t="shared" si="302"/>
        <v>0</v>
      </c>
      <c r="AA812" s="25">
        <f t="shared" si="303"/>
        <v>0</v>
      </c>
      <c r="AB812" s="24">
        <f t="shared" si="304"/>
        <v>0</v>
      </c>
      <c r="AC812" s="24">
        <f t="shared" si="275"/>
        <v>0</v>
      </c>
      <c r="AD812" s="24">
        <f t="shared" si="276"/>
        <v>0</v>
      </c>
      <c r="AE812" s="24">
        <f t="shared" si="277"/>
        <v>0</v>
      </c>
      <c r="AF812" s="119" t="str">
        <f>VLOOKUP(P812*1,Referencias!$G:$H,2,0)</f>
        <v>qui</v>
      </c>
    </row>
    <row r="813" spans="1:32" x14ac:dyDescent="0.25">
      <c r="A813" s="162"/>
      <c r="B813" s="162"/>
      <c r="C813" s="162"/>
      <c r="D813" s="162"/>
      <c r="E813" s="162"/>
      <c r="F813" s="162"/>
      <c r="G813" s="162"/>
      <c r="H813" s="162"/>
      <c r="I813" s="162"/>
      <c r="N813" s="7" t="str">
        <f t="shared" si="292"/>
        <v>#LIGA7C6AH </v>
      </c>
      <c r="O813" s="7">
        <f t="shared" si="293"/>
        <v>0</v>
      </c>
      <c r="P813" s="21">
        <f t="shared" si="294"/>
        <v>43258</v>
      </c>
      <c r="Q813" s="22">
        <f>VLOOKUP(R813,Referencias!$D$1:$E$13,2,0)</f>
        <v>6</v>
      </c>
      <c r="R813" s="7" t="str">
        <f t="shared" si="295"/>
        <v>JUN</v>
      </c>
      <c r="S813" s="7">
        <f t="shared" si="296"/>
        <v>0</v>
      </c>
      <c r="T813" s="11">
        <f t="shared" si="297"/>
        <v>7</v>
      </c>
      <c r="U813" s="11">
        <f t="shared" si="298"/>
        <v>0</v>
      </c>
      <c r="V813" s="11" t="e">
        <f>VLOOKUP(C813,Referencias!$A$2:$B$33,2,1)</f>
        <v>#N/A</v>
      </c>
      <c r="W813" s="23" t="str">
        <f t="shared" si="299"/>
        <v/>
      </c>
      <c r="X813" s="11">
        <f t="shared" si="300"/>
        <v>0</v>
      </c>
      <c r="Y813" s="11">
        <f t="shared" si="301"/>
        <v>0</v>
      </c>
      <c r="Z813" s="24">
        <f t="shared" si="302"/>
        <v>0</v>
      </c>
      <c r="AA813" s="25">
        <f t="shared" si="303"/>
        <v>0</v>
      </c>
      <c r="AB813" s="24">
        <f t="shared" si="304"/>
        <v>0</v>
      </c>
      <c r="AC813" s="24">
        <f t="shared" si="275"/>
        <v>0</v>
      </c>
      <c r="AD813" s="24">
        <f t="shared" si="276"/>
        <v>0</v>
      </c>
      <c r="AE813" s="24">
        <f t="shared" si="277"/>
        <v>0</v>
      </c>
      <c r="AF813" s="119" t="str">
        <f>VLOOKUP(P813*1,Referencias!$G:$H,2,0)</f>
        <v>qui</v>
      </c>
    </row>
    <row r="814" spans="1:32" x14ac:dyDescent="0.25">
      <c r="A814" s="163"/>
      <c r="B814" s="164" t="s">
        <v>445</v>
      </c>
      <c r="C814" s="134">
        <v>0.87569444444444444</v>
      </c>
      <c r="D814" s="165">
        <v>9.3000000000000007</v>
      </c>
      <c r="E814" s="165" t="s">
        <v>36</v>
      </c>
      <c r="F814" s="149">
        <v>1.42</v>
      </c>
      <c r="G814" s="166">
        <v>6.17</v>
      </c>
      <c r="H814" s="167">
        <v>324.42</v>
      </c>
      <c r="I814" s="165"/>
      <c r="N814" s="7" t="str">
        <f t="shared" si="292"/>
        <v>#LIWLMBDMZ </v>
      </c>
      <c r="O814" s="7" t="str">
        <f t="shared" si="293"/>
        <v>#LIWLMBDMZ </v>
      </c>
      <c r="P814" s="21">
        <f t="shared" si="294"/>
        <v>43258</v>
      </c>
      <c r="Q814" s="22">
        <f>VLOOKUP(R814,Referencias!$D$1:$E$13,2,0)</f>
        <v>6</v>
      </c>
      <c r="R814" s="7" t="str">
        <f t="shared" si="295"/>
        <v>JUN</v>
      </c>
      <c r="S814" s="7">
        <f t="shared" si="296"/>
        <v>0</v>
      </c>
      <c r="T814" s="11">
        <f t="shared" si="297"/>
        <v>7</v>
      </c>
      <c r="U814" s="11">
        <f t="shared" si="298"/>
        <v>0</v>
      </c>
      <c r="V814" s="11" t="str">
        <f>VLOOKUP(C814,Referencias!$A$2:$B$33,2,1)</f>
        <v>21 - 22</v>
      </c>
      <c r="W814" s="23">
        <f t="shared" si="299"/>
        <v>8.4722222222222254E-2</v>
      </c>
      <c r="X814" s="11">
        <f t="shared" si="300"/>
        <v>9.3000000000000007</v>
      </c>
      <c r="Y814" s="11">
        <f t="shared" si="301"/>
        <v>16.423179704945639</v>
      </c>
      <c r="Z814" s="24">
        <f t="shared" si="302"/>
        <v>6.17</v>
      </c>
      <c r="AA814" s="25">
        <f t="shared" si="303"/>
        <v>3.0344262295081954</v>
      </c>
      <c r="AB814" s="24">
        <f t="shared" si="304"/>
        <v>1</v>
      </c>
      <c r="AC814" s="24">
        <f t="shared" si="275"/>
        <v>4.0422644991449328</v>
      </c>
      <c r="AD814" s="24">
        <f t="shared" si="276"/>
        <v>4.8975093535761527</v>
      </c>
      <c r="AE814" s="24">
        <f t="shared" si="277"/>
        <v>5.8067506898050354</v>
      </c>
      <c r="AF814" s="119" t="str">
        <f>VLOOKUP(P814*1,Referencias!$G:$H,2,0)</f>
        <v>qui</v>
      </c>
    </row>
    <row r="815" spans="1:32" ht="12" customHeight="1" x14ac:dyDescent="0.25">
      <c r="A815" s="163"/>
      <c r="B815" s="164"/>
      <c r="C815" s="134">
        <v>0.9604166666666667</v>
      </c>
      <c r="D815" s="165"/>
      <c r="E815" s="165"/>
      <c r="F815" s="145" t="s">
        <v>349</v>
      </c>
      <c r="G815" s="166"/>
      <c r="H815" s="167"/>
      <c r="I815" s="165"/>
      <c r="N815" s="7" t="str">
        <f t="shared" si="292"/>
        <v>#LIWLMBDMZ </v>
      </c>
      <c r="O815" s="7">
        <f t="shared" si="293"/>
        <v>0</v>
      </c>
      <c r="P815" s="21">
        <f t="shared" si="294"/>
        <v>43258</v>
      </c>
      <c r="Q815" s="22">
        <f>VLOOKUP(R815,Referencias!$D$1:$E$13,2,0)</f>
        <v>6</v>
      </c>
      <c r="R815" s="7" t="str">
        <f t="shared" si="295"/>
        <v>JUN</v>
      </c>
      <c r="S815" s="7">
        <f t="shared" si="296"/>
        <v>0</v>
      </c>
      <c r="T815" s="11">
        <f t="shared" si="297"/>
        <v>7</v>
      </c>
      <c r="U815" s="11">
        <f t="shared" si="298"/>
        <v>0</v>
      </c>
      <c r="V815" s="11" t="str">
        <f>VLOOKUP(C815,Referencias!$A$2:$B$33,2,1)</f>
        <v>23 - 24</v>
      </c>
      <c r="W815" s="23" t="str">
        <f t="shared" si="299"/>
        <v/>
      </c>
      <c r="X815" s="11">
        <f t="shared" si="300"/>
        <v>0</v>
      </c>
      <c r="Y815" s="11">
        <f t="shared" si="301"/>
        <v>0</v>
      </c>
      <c r="Z815" s="24">
        <f t="shared" si="302"/>
        <v>0</v>
      </c>
      <c r="AA815" s="25">
        <f t="shared" si="303"/>
        <v>0</v>
      </c>
      <c r="AB815" s="24">
        <f t="shared" si="304"/>
        <v>0</v>
      </c>
      <c r="AC815" s="24">
        <f t="shared" si="275"/>
        <v>0</v>
      </c>
      <c r="AD815" s="24">
        <f t="shared" si="276"/>
        <v>0</v>
      </c>
      <c r="AE815" s="24">
        <f t="shared" si="277"/>
        <v>0</v>
      </c>
      <c r="AF815" s="119" t="str">
        <f>VLOOKUP(P815*1,Referencias!$G:$H,2,0)</f>
        <v>qui</v>
      </c>
    </row>
    <row r="816" spans="1:32" ht="12" customHeight="1" x14ac:dyDescent="0.25">
      <c r="A816" s="161"/>
      <c r="B816" s="161"/>
      <c r="C816" s="161"/>
      <c r="D816" s="161"/>
      <c r="E816" s="161"/>
      <c r="F816" s="161"/>
      <c r="G816" s="161"/>
      <c r="H816" s="161"/>
      <c r="I816" s="161"/>
      <c r="N816" s="7" t="str">
        <f t="shared" si="292"/>
        <v>#LIWLMBDMZ </v>
      </c>
      <c r="O816" s="7">
        <f t="shared" si="293"/>
        <v>0</v>
      </c>
      <c r="P816" s="21">
        <f t="shared" si="294"/>
        <v>43258</v>
      </c>
      <c r="Q816" s="22">
        <f>VLOOKUP(R816,Referencias!$D$1:$E$13,2,0)</f>
        <v>6</v>
      </c>
      <c r="R816" s="7" t="str">
        <f t="shared" si="295"/>
        <v>JUN</v>
      </c>
      <c r="S816" s="7">
        <f t="shared" si="296"/>
        <v>0</v>
      </c>
      <c r="T816" s="11">
        <f t="shared" si="297"/>
        <v>7</v>
      </c>
      <c r="U816" s="11">
        <f t="shared" si="298"/>
        <v>0</v>
      </c>
      <c r="V816" s="11" t="e">
        <f>VLOOKUP(C816,Referencias!$A$2:$B$33,2,1)</f>
        <v>#N/A</v>
      </c>
      <c r="W816" s="23" t="str">
        <f t="shared" si="299"/>
        <v/>
      </c>
      <c r="X816" s="11">
        <f t="shared" si="300"/>
        <v>0</v>
      </c>
      <c r="Y816" s="11">
        <f t="shared" si="301"/>
        <v>0</v>
      </c>
      <c r="Z816" s="24">
        <f t="shared" si="302"/>
        <v>0</v>
      </c>
      <c r="AA816" s="25">
        <f t="shared" si="303"/>
        <v>0</v>
      </c>
      <c r="AB816" s="24">
        <f t="shared" si="304"/>
        <v>0</v>
      </c>
      <c r="AC816" s="24">
        <f t="shared" si="275"/>
        <v>0</v>
      </c>
      <c r="AD816" s="24">
        <f t="shared" si="276"/>
        <v>0</v>
      </c>
      <c r="AE816" s="24">
        <f t="shared" si="277"/>
        <v>0</v>
      </c>
      <c r="AF816" s="119" t="str">
        <f>VLOOKUP(P816*1,Referencias!$G:$H,2,0)</f>
        <v>qui</v>
      </c>
    </row>
    <row r="817" spans="1:32" x14ac:dyDescent="0.25">
      <c r="A817" s="162"/>
      <c r="B817" s="162"/>
      <c r="C817" s="162"/>
      <c r="D817" s="162"/>
      <c r="E817" s="162"/>
      <c r="F817" s="162"/>
      <c r="G817" s="162"/>
      <c r="H817" s="162"/>
      <c r="I817" s="162"/>
      <c r="N817" s="7" t="str">
        <f t="shared" si="292"/>
        <v>#LIWLMBDMZ </v>
      </c>
      <c r="O817" s="7">
        <f t="shared" si="293"/>
        <v>0</v>
      </c>
      <c r="P817" s="21">
        <f t="shared" si="294"/>
        <v>43258</v>
      </c>
      <c r="Q817" s="22">
        <f>VLOOKUP(R817,Referencias!$D$1:$E$13,2,0)</f>
        <v>6</v>
      </c>
      <c r="R817" s="7" t="str">
        <f t="shared" si="295"/>
        <v>JUN</v>
      </c>
      <c r="S817" s="7">
        <f t="shared" si="296"/>
        <v>0</v>
      </c>
      <c r="T817" s="11">
        <f t="shared" si="297"/>
        <v>7</v>
      </c>
      <c r="U817" s="11">
        <f t="shared" si="298"/>
        <v>0</v>
      </c>
      <c r="V817" s="11" t="e">
        <f>VLOOKUP(C817,Referencias!$A$2:$B$33,2,1)</f>
        <v>#N/A</v>
      </c>
      <c r="W817" s="23" t="str">
        <f t="shared" si="299"/>
        <v/>
      </c>
      <c r="X817" s="11">
        <f t="shared" si="300"/>
        <v>0</v>
      </c>
      <c r="Y817" s="11">
        <f t="shared" si="301"/>
        <v>0</v>
      </c>
      <c r="Z817" s="24">
        <f t="shared" si="302"/>
        <v>0</v>
      </c>
      <c r="AA817" s="25">
        <f t="shared" si="303"/>
        <v>0</v>
      </c>
      <c r="AB817" s="24">
        <f t="shared" si="304"/>
        <v>0</v>
      </c>
      <c r="AC817" s="24">
        <f t="shared" si="275"/>
        <v>0</v>
      </c>
      <c r="AD817" s="24">
        <f t="shared" si="276"/>
        <v>0</v>
      </c>
      <c r="AE817" s="24">
        <f t="shared" si="277"/>
        <v>0</v>
      </c>
      <c r="AF817" s="119" t="str">
        <f>VLOOKUP(P817*1,Referencias!$G:$H,2,0)</f>
        <v>qui</v>
      </c>
    </row>
    <row r="818" spans="1:32" x14ac:dyDescent="0.25">
      <c r="A818" s="163"/>
      <c r="B818" s="164" t="s">
        <v>446</v>
      </c>
      <c r="C818" s="134">
        <v>0.8666666666666667</v>
      </c>
      <c r="D818" s="165">
        <v>2.82</v>
      </c>
      <c r="E818" s="165" t="s">
        <v>227</v>
      </c>
      <c r="F818" s="149">
        <v>0.97</v>
      </c>
      <c r="G818" s="166">
        <v>4.2300000000000004</v>
      </c>
      <c r="H818" s="167">
        <v>328.65</v>
      </c>
      <c r="I818" s="165"/>
      <c r="N818" s="7" t="str">
        <f t="shared" si="292"/>
        <v>#LI2NSU1XL </v>
      </c>
      <c r="O818" s="7" t="str">
        <f t="shared" si="293"/>
        <v>#LI2NSU1XL </v>
      </c>
      <c r="P818" s="21">
        <f t="shared" si="294"/>
        <v>43258</v>
      </c>
      <c r="Q818" s="22">
        <f>VLOOKUP(R818,Referencias!$D$1:$E$13,2,0)</f>
        <v>6</v>
      </c>
      <c r="R818" s="7" t="str">
        <f t="shared" si="295"/>
        <v>JUN</v>
      </c>
      <c r="S818" s="7">
        <f t="shared" si="296"/>
        <v>0</v>
      </c>
      <c r="T818" s="11">
        <f t="shared" si="297"/>
        <v>7</v>
      </c>
      <c r="U818" s="11">
        <f t="shared" si="298"/>
        <v>0</v>
      </c>
      <c r="V818" s="11" t="str">
        <f>VLOOKUP(C818,Referencias!$A$2:$B$33,2,1)</f>
        <v>20 - 21</v>
      </c>
      <c r="W818" s="23">
        <f t="shared" si="299"/>
        <v>2.4999999999999911E-2</v>
      </c>
      <c r="X818" s="11">
        <f t="shared" si="300"/>
        <v>2.82</v>
      </c>
      <c r="Y818" s="11">
        <f t="shared" si="301"/>
        <v>4.9799319105319029</v>
      </c>
      <c r="Z818" s="24">
        <f t="shared" si="302"/>
        <v>4.2300000000000004</v>
      </c>
      <c r="AA818" s="25">
        <f t="shared" si="303"/>
        <v>7.0500000000000256</v>
      </c>
      <c r="AB818" s="24">
        <f t="shared" si="304"/>
        <v>1</v>
      </c>
      <c r="AC818" s="24">
        <f t="shared" si="275"/>
        <v>2.7712769580847758</v>
      </c>
      <c r="AD818" s="24">
        <f t="shared" si="276"/>
        <v>3.357611761041674</v>
      </c>
      <c r="AE818" s="24">
        <f t="shared" si="277"/>
        <v>3.9809652216977796</v>
      </c>
      <c r="AF818" s="119" t="str">
        <f>VLOOKUP(P818*1,Referencias!$G:$H,2,0)</f>
        <v>qui</v>
      </c>
    </row>
    <row r="819" spans="1:32" ht="12" customHeight="1" x14ac:dyDescent="0.25">
      <c r="A819" s="163"/>
      <c r="B819" s="164"/>
      <c r="C819" s="134">
        <v>0.89166666666666661</v>
      </c>
      <c r="D819" s="165"/>
      <c r="E819" s="165"/>
      <c r="F819" s="145" t="s">
        <v>349</v>
      </c>
      <c r="G819" s="166"/>
      <c r="H819" s="167"/>
      <c r="I819" s="165"/>
      <c r="N819" s="7" t="str">
        <f t="shared" si="292"/>
        <v>#LI2NSU1XL </v>
      </c>
      <c r="O819" s="7">
        <f t="shared" si="293"/>
        <v>0</v>
      </c>
      <c r="P819" s="21">
        <f t="shared" si="294"/>
        <v>43258</v>
      </c>
      <c r="Q819" s="22">
        <f>VLOOKUP(R819,Referencias!$D$1:$E$13,2,0)</f>
        <v>6</v>
      </c>
      <c r="R819" s="7" t="str">
        <f t="shared" si="295"/>
        <v>JUN</v>
      </c>
      <c r="S819" s="7">
        <f t="shared" si="296"/>
        <v>0</v>
      </c>
      <c r="T819" s="11">
        <f t="shared" si="297"/>
        <v>7</v>
      </c>
      <c r="U819" s="11">
        <f t="shared" si="298"/>
        <v>0</v>
      </c>
      <c r="V819" s="11" t="str">
        <f>VLOOKUP(C819,Referencias!$A$2:$B$33,2,1)</f>
        <v>21 - 22</v>
      </c>
      <c r="W819" s="23" t="str">
        <f t="shared" si="299"/>
        <v/>
      </c>
      <c r="X819" s="11">
        <f t="shared" si="300"/>
        <v>0</v>
      </c>
      <c r="Y819" s="11">
        <f t="shared" si="301"/>
        <v>0</v>
      </c>
      <c r="Z819" s="24">
        <f t="shared" si="302"/>
        <v>0</v>
      </c>
      <c r="AA819" s="25">
        <f t="shared" si="303"/>
        <v>0</v>
      </c>
      <c r="AB819" s="24">
        <f t="shared" si="304"/>
        <v>0</v>
      </c>
      <c r="AC819" s="24">
        <f t="shared" si="275"/>
        <v>0</v>
      </c>
      <c r="AD819" s="24">
        <f t="shared" si="276"/>
        <v>0</v>
      </c>
      <c r="AE819" s="24">
        <f t="shared" si="277"/>
        <v>0</v>
      </c>
      <c r="AF819" s="119" t="str">
        <f>VLOOKUP(P819*1,Referencias!$G:$H,2,0)</f>
        <v>qui</v>
      </c>
    </row>
    <row r="820" spans="1:32" ht="12" customHeight="1" x14ac:dyDescent="0.25">
      <c r="A820" s="161"/>
      <c r="B820" s="161"/>
      <c r="C820" s="161"/>
      <c r="D820" s="161"/>
      <c r="E820" s="161"/>
      <c r="F820" s="161"/>
      <c r="G820" s="161"/>
      <c r="H820" s="161"/>
      <c r="I820" s="161"/>
      <c r="N820" s="7" t="str">
        <f t="shared" si="292"/>
        <v>#LI2NSU1XL </v>
      </c>
      <c r="O820" s="7">
        <f t="shared" si="293"/>
        <v>0</v>
      </c>
      <c r="P820" s="21">
        <f t="shared" si="294"/>
        <v>43258</v>
      </c>
      <c r="Q820" s="22">
        <f>VLOOKUP(R820,Referencias!$D$1:$E$13,2,0)</f>
        <v>6</v>
      </c>
      <c r="R820" s="7" t="str">
        <f t="shared" si="295"/>
        <v>JUN</v>
      </c>
      <c r="S820" s="7">
        <f t="shared" si="296"/>
        <v>0</v>
      </c>
      <c r="T820" s="11">
        <f t="shared" si="297"/>
        <v>7</v>
      </c>
      <c r="U820" s="11">
        <f t="shared" si="298"/>
        <v>0</v>
      </c>
      <c r="V820" s="11" t="e">
        <f>VLOOKUP(C820,Referencias!$A$2:$B$33,2,1)</f>
        <v>#N/A</v>
      </c>
      <c r="W820" s="23" t="str">
        <f t="shared" si="299"/>
        <v/>
      </c>
      <c r="X820" s="11">
        <f t="shared" si="300"/>
        <v>0</v>
      </c>
      <c r="Y820" s="11">
        <f t="shared" si="301"/>
        <v>0</v>
      </c>
      <c r="Z820" s="24">
        <f t="shared" si="302"/>
        <v>0</v>
      </c>
      <c r="AA820" s="25">
        <f t="shared" si="303"/>
        <v>0</v>
      </c>
      <c r="AB820" s="24">
        <f t="shared" si="304"/>
        <v>0</v>
      </c>
      <c r="AC820" s="24">
        <f t="shared" si="275"/>
        <v>0</v>
      </c>
      <c r="AD820" s="24">
        <f t="shared" si="276"/>
        <v>0</v>
      </c>
      <c r="AE820" s="24">
        <f t="shared" si="277"/>
        <v>0</v>
      </c>
      <c r="AF820" s="119" t="str">
        <f>VLOOKUP(P820*1,Referencias!$G:$H,2,0)</f>
        <v>qui</v>
      </c>
    </row>
    <row r="821" spans="1:32" x14ac:dyDescent="0.25">
      <c r="A821" s="162"/>
      <c r="B821" s="162"/>
      <c r="C821" s="162"/>
      <c r="D821" s="162"/>
      <c r="E821" s="162"/>
      <c r="F821" s="162"/>
      <c r="G821" s="162"/>
      <c r="H821" s="162"/>
      <c r="I821" s="162"/>
      <c r="N821" s="7" t="str">
        <f t="shared" si="292"/>
        <v>#LI2NSU1XL </v>
      </c>
      <c r="O821" s="7">
        <f t="shared" si="293"/>
        <v>0</v>
      </c>
      <c r="P821" s="21">
        <f t="shared" si="294"/>
        <v>43258</v>
      </c>
      <c r="Q821" s="22">
        <f>VLOOKUP(R821,Referencias!$D$1:$E$13,2,0)</f>
        <v>6</v>
      </c>
      <c r="R821" s="7" t="str">
        <f t="shared" si="295"/>
        <v>JUN</v>
      </c>
      <c r="S821" s="7">
        <f t="shared" si="296"/>
        <v>0</v>
      </c>
      <c r="T821" s="11">
        <f t="shared" si="297"/>
        <v>7</v>
      </c>
      <c r="U821" s="11">
        <f t="shared" si="298"/>
        <v>0</v>
      </c>
      <c r="V821" s="11" t="e">
        <f>VLOOKUP(C821,Referencias!$A$2:$B$33,2,1)</f>
        <v>#N/A</v>
      </c>
      <c r="W821" s="23" t="str">
        <f t="shared" si="299"/>
        <v/>
      </c>
      <c r="X821" s="11">
        <f t="shared" si="300"/>
        <v>0</v>
      </c>
      <c r="Y821" s="11">
        <f t="shared" si="301"/>
        <v>0</v>
      </c>
      <c r="Z821" s="24">
        <f t="shared" si="302"/>
        <v>0</v>
      </c>
      <c r="AA821" s="25">
        <f t="shared" si="303"/>
        <v>0</v>
      </c>
      <c r="AB821" s="24">
        <f t="shared" si="304"/>
        <v>0</v>
      </c>
      <c r="AC821" s="24">
        <f t="shared" si="275"/>
        <v>0</v>
      </c>
      <c r="AD821" s="24">
        <f t="shared" si="276"/>
        <v>0</v>
      </c>
      <c r="AE821" s="24">
        <f t="shared" si="277"/>
        <v>0</v>
      </c>
      <c r="AF821" s="119" t="str">
        <f>VLOOKUP(P821*1,Referencias!$G:$H,2,0)</f>
        <v>qui</v>
      </c>
    </row>
    <row r="822" spans="1:32" x14ac:dyDescent="0.25">
      <c r="A822" s="163"/>
      <c r="B822" s="164" t="s">
        <v>447</v>
      </c>
      <c r="C822" s="134">
        <v>0.89166666666666661</v>
      </c>
      <c r="D822" s="165">
        <v>13.01</v>
      </c>
      <c r="E822" s="165" t="s">
        <v>161</v>
      </c>
      <c r="F822" s="149">
        <v>3.03</v>
      </c>
      <c r="G822" s="166">
        <v>9.7799999999999994</v>
      </c>
      <c r="H822" s="167">
        <v>338.43</v>
      </c>
      <c r="I822" s="165"/>
      <c r="N822" s="7" t="str">
        <f t="shared" si="292"/>
        <v>#LILL3CYAX </v>
      </c>
      <c r="O822" s="7" t="str">
        <f t="shared" si="293"/>
        <v>#LILL3CYAX </v>
      </c>
      <c r="P822" s="21">
        <f t="shared" si="294"/>
        <v>43258</v>
      </c>
      <c r="Q822" s="22">
        <f>VLOOKUP(R822,Referencias!$D$1:$E$13,2,0)</f>
        <v>6</v>
      </c>
      <c r="R822" s="7" t="str">
        <f t="shared" si="295"/>
        <v>JUN</v>
      </c>
      <c r="S822" s="7">
        <f t="shared" si="296"/>
        <v>0</v>
      </c>
      <c r="T822" s="11">
        <f t="shared" si="297"/>
        <v>7</v>
      </c>
      <c r="U822" s="11">
        <f t="shared" si="298"/>
        <v>0</v>
      </c>
      <c r="V822" s="11" t="str">
        <f>VLOOKUP(C822,Referencias!$A$2:$B$33,2,1)</f>
        <v>21 - 22</v>
      </c>
      <c r="W822" s="23">
        <f t="shared" si="299"/>
        <v>3.7500000000000089E-2</v>
      </c>
      <c r="X822" s="11">
        <f t="shared" si="300"/>
        <v>13.01</v>
      </c>
      <c r="Y822" s="11">
        <f t="shared" si="301"/>
        <v>22.974792253907822</v>
      </c>
      <c r="Z822" s="24">
        <f t="shared" si="302"/>
        <v>9.7799999999999994</v>
      </c>
      <c r="AA822" s="25">
        <f t="shared" si="303"/>
        <v>10.86666666666664</v>
      </c>
      <c r="AB822" s="24">
        <f t="shared" si="304"/>
        <v>1</v>
      </c>
      <c r="AC822" s="24">
        <f t="shared" si="275"/>
        <v>6.4073495626640904</v>
      </c>
      <c r="AD822" s="24">
        <f t="shared" si="276"/>
        <v>7.7629888943233016</v>
      </c>
      <c r="AE822" s="24">
        <f t="shared" si="277"/>
        <v>9.2042174629324531</v>
      </c>
      <c r="AF822" s="119" t="str">
        <f>VLOOKUP(P822*1,Referencias!$G:$H,2,0)</f>
        <v>qui</v>
      </c>
    </row>
    <row r="823" spans="1:32" ht="12" customHeight="1" x14ac:dyDescent="0.25">
      <c r="A823" s="163"/>
      <c r="B823" s="164"/>
      <c r="C823" s="134">
        <v>0.9291666666666667</v>
      </c>
      <c r="D823" s="165"/>
      <c r="E823" s="165"/>
      <c r="F823" s="145" t="s">
        <v>377</v>
      </c>
      <c r="G823" s="166"/>
      <c r="H823" s="167"/>
      <c r="I823" s="165"/>
      <c r="N823" s="7" t="str">
        <f t="shared" si="292"/>
        <v>#LILL3CYAX </v>
      </c>
      <c r="O823" s="7">
        <f t="shared" si="293"/>
        <v>0</v>
      </c>
      <c r="P823" s="21">
        <f t="shared" si="294"/>
        <v>43258</v>
      </c>
      <c r="Q823" s="22">
        <f>VLOOKUP(R823,Referencias!$D$1:$E$13,2,0)</f>
        <v>6</v>
      </c>
      <c r="R823" s="7" t="str">
        <f t="shared" si="295"/>
        <v>JUN</v>
      </c>
      <c r="S823" s="7">
        <f t="shared" si="296"/>
        <v>0</v>
      </c>
      <c r="T823" s="11">
        <f t="shared" si="297"/>
        <v>7</v>
      </c>
      <c r="U823" s="11">
        <f t="shared" si="298"/>
        <v>0</v>
      </c>
      <c r="V823" s="11" t="str">
        <f>VLOOKUP(C823,Referencias!$A$2:$B$33,2,1)</f>
        <v>22 - 23</v>
      </c>
      <c r="W823" s="23" t="str">
        <f t="shared" si="299"/>
        <v/>
      </c>
      <c r="X823" s="11">
        <f t="shared" si="300"/>
        <v>0</v>
      </c>
      <c r="Y823" s="11">
        <f t="shared" si="301"/>
        <v>0</v>
      </c>
      <c r="Z823" s="24">
        <f t="shared" si="302"/>
        <v>0</v>
      </c>
      <c r="AA823" s="25">
        <f t="shared" si="303"/>
        <v>0</v>
      </c>
      <c r="AB823" s="24">
        <f t="shared" si="304"/>
        <v>0</v>
      </c>
      <c r="AC823" s="24">
        <f t="shared" si="275"/>
        <v>0</v>
      </c>
      <c r="AD823" s="24">
        <f t="shared" si="276"/>
        <v>0</v>
      </c>
      <c r="AE823" s="24">
        <f t="shared" si="277"/>
        <v>0</v>
      </c>
      <c r="AF823" s="119" t="str">
        <f>VLOOKUP(P823*1,Referencias!$G:$H,2,0)</f>
        <v>qui</v>
      </c>
    </row>
    <row r="824" spans="1:32" ht="12" customHeight="1" x14ac:dyDescent="0.25">
      <c r="A824" s="161"/>
      <c r="B824" s="161"/>
      <c r="C824" s="161"/>
      <c r="D824" s="161"/>
      <c r="E824" s="161"/>
      <c r="F824" s="161"/>
      <c r="G824" s="161"/>
      <c r="H824" s="161"/>
      <c r="I824" s="161"/>
      <c r="N824" s="7" t="str">
        <f t="shared" si="292"/>
        <v>#LILL3CYAX </v>
      </c>
      <c r="O824" s="7">
        <f t="shared" si="293"/>
        <v>0</v>
      </c>
      <c r="P824" s="21">
        <f t="shared" si="294"/>
        <v>43258</v>
      </c>
      <c r="Q824" s="22">
        <f>VLOOKUP(R824,Referencias!$D$1:$E$13,2,0)</f>
        <v>6</v>
      </c>
      <c r="R824" s="7" t="str">
        <f t="shared" si="295"/>
        <v>JUN</v>
      </c>
      <c r="S824" s="7">
        <f t="shared" si="296"/>
        <v>0</v>
      </c>
      <c r="T824" s="11">
        <f t="shared" si="297"/>
        <v>7</v>
      </c>
      <c r="U824" s="11">
        <f t="shared" si="298"/>
        <v>0</v>
      </c>
      <c r="V824" s="11" t="e">
        <f>VLOOKUP(C824,Referencias!$A$2:$B$33,2,1)</f>
        <v>#N/A</v>
      </c>
      <c r="W824" s="23" t="str">
        <f t="shared" si="299"/>
        <v/>
      </c>
      <c r="X824" s="11">
        <f t="shared" si="300"/>
        <v>0</v>
      </c>
      <c r="Y824" s="11">
        <f t="shared" si="301"/>
        <v>0</v>
      </c>
      <c r="Z824" s="24">
        <f t="shared" si="302"/>
        <v>0</v>
      </c>
      <c r="AA824" s="25">
        <f t="shared" si="303"/>
        <v>0</v>
      </c>
      <c r="AB824" s="24">
        <f t="shared" si="304"/>
        <v>0</v>
      </c>
      <c r="AC824" s="24">
        <f t="shared" si="275"/>
        <v>0</v>
      </c>
      <c r="AD824" s="24">
        <f t="shared" si="276"/>
        <v>0</v>
      </c>
      <c r="AE824" s="24">
        <f t="shared" si="277"/>
        <v>0</v>
      </c>
      <c r="AF824" s="119" t="str">
        <f>VLOOKUP(P824*1,Referencias!$G:$H,2,0)</f>
        <v>qui</v>
      </c>
    </row>
    <row r="825" spans="1:32" x14ac:dyDescent="0.25">
      <c r="A825" s="162"/>
      <c r="B825" s="162"/>
      <c r="C825" s="162"/>
      <c r="D825" s="162"/>
      <c r="E825" s="162"/>
      <c r="F825" s="162"/>
      <c r="G825" s="162"/>
      <c r="H825" s="162"/>
      <c r="I825" s="162"/>
      <c r="N825" s="7" t="str">
        <f t="shared" si="292"/>
        <v>#LILL3CYAX </v>
      </c>
      <c r="O825" s="7">
        <f t="shared" si="293"/>
        <v>0</v>
      </c>
      <c r="P825" s="21">
        <f t="shared" si="294"/>
        <v>43258</v>
      </c>
      <c r="Q825" s="22">
        <f>VLOOKUP(R825,Referencias!$D$1:$E$13,2,0)</f>
        <v>6</v>
      </c>
      <c r="R825" s="7" t="str">
        <f t="shared" si="295"/>
        <v>JUN</v>
      </c>
      <c r="S825" s="7">
        <f t="shared" si="296"/>
        <v>0</v>
      </c>
      <c r="T825" s="11">
        <f t="shared" si="297"/>
        <v>7</v>
      </c>
      <c r="U825" s="11">
        <f t="shared" si="298"/>
        <v>0</v>
      </c>
      <c r="V825" s="11" t="e">
        <f>VLOOKUP(C825,Referencias!$A$2:$B$33,2,1)</f>
        <v>#N/A</v>
      </c>
      <c r="W825" s="23" t="str">
        <f t="shared" si="299"/>
        <v/>
      </c>
      <c r="X825" s="11">
        <f t="shared" si="300"/>
        <v>0</v>
      </c>
      <c r="Y825" s="11">
        <f t="shared" si="301"/>
        <v>0</v>
      </c>
      <c r="Z825" s="24">
        <f t="shared" si="302"/>
        <v>0</v>
      </c>
      <c r="AA825" s="25">
        <f t="shared" si="303"/>
        <v>0</v>
      </c>
      <c r="AB825" s="24">
        <f t="shared" si="304"/>
        <v>0</v>
      </c>
      <c r="AC825" s="24">
        <f t="shared" si="275"/>
        <v>0</v>
      </c>
      <c r="AD825" s="24">
        <f t="shared" si="276"/>
        <v>0</v>
      </c>
      <c r="AE825" s="24">
        <f t="shared" si="277"/>
        <v>0</v>
      </c>
      <c r="AF825" s="119" t="str">
        <f>VLOOKUP(P825*1,Referencias!$G:$H,2,0)</f>
        <v>qui</v>
      </c>
    </row>
    <row r="826" spans="1:32" x14ac:dyDescent="0.25">
      <c r="A826" s="163"/>
      <c r="B826" s="164" t="s">
        <v>448</v>
      </c>
      <c r="C826" s="165"/>
      <c r="D826" s="165">
        <v>6.22</v>
      </c>
      <c r="E826" s="165" t="s">
        <v>230</v>
      </c>
      <c r="F826" s="149">
        <v>1.97</v>
      </c>
      <c r="G826" s="166">
        <v>6.36</v>
      </c>
      <c r="H826" s="167">
        <v>344.79</v>
      </c>
      <c r="I826" s="165"/>
      <c r="N826" s="7" t="str">
        <f t="shared" si="292"/>
        <v>#LIPRQ97NR </v>
      </c>
      <c r="O826" s="7" t="str">
        <f t="shared" si="293"/>
        <v>#LIPRQ97NR </v>
      </c>
      <c r="P826" s="21">
        <f t="shared" si="294"/>
        <v>43258</v>
      </c>
      <c r="Q826" s="22">
        <f>VLOOKUP(R826,Referencias!$D$1:$E$13,2,0)</f>
        <v>6</v>
      </c>
      <c r="R826" s="7" t="str">
        <f t="shared" si="295"/>
        <v>JUN</v>
      </c>
      <c r="S826" s="7">
        <f t="shared" si="296"/>
        <v>0</v>
      </c>
      <c r="T826" s="11">
        <f t="shared" si="297"/>
        <v>7</v>
      </c>
      <c r="U826" s="11">
        <f t="shared" si="298"/>
        <v>0</v>
      </c>
      <c r="V826" s="11" t="e">
        <f>VLOOKUP(C826,Referencias!$A$2:$B$33,2,1)</f>
        <v>#N/A</v>
      </c>
      <c r="W826" s="23">
        <f t="shared" si="299"/>
        <v>0</v>
      </c>
      <c r="X826" s="11">
        <f t="shared" si="300"/>
        <v>6.22</v>
      </c>
      <c r="Y826" s="11">
        <f t="shared" si="301"/>
        <v>10.984105135995899</v>
      </c>
      <c r="Z826" s="24">
        <f t="shared" si="302"/>
        <v>6.36</v>
      </c>
      <c r="AA826" s="25">
        <f t="shared" si="303"/>
        <v>0</v>
      </c>
      <c r="AB826" s="24">
        <f t="shared" si="304"/>
        <v>1</v>
      </c>
      <c r="AC826" s="24">
        <f t="shared" si="275"/>
        <v>4.1667426603827833</v>
      </c>
      <c r="AD826" s="24">
        <f t="shared" si="276"/>
        <v>5.0483240662470559</v>
      </c>
      <c r="AE826" s="24">
        <f t="shared" si="277"/>
        <v>5.9855647304959518</v>
      </c>
      <c r="AF826" s="119" t="str">
        <f>VLOOKUP(P826*1,Referencias!$G:$H,2,0)</f>
        <v>qui</v>
      </c>
    </row>
    <row r="827" spans="1:32" ht="12" customHeight="1" x14ac:dyDescent="0.25">
      <c r="A827" s="163"/>
      <c r="B827" s="164"/>
      <c r="C827" s="165"/>
      <c r="D827" s="165"/>
      <c r="E827" s="165"/>
      <c r="F827" s="145" t="s">
        <v>377</v>
      </c>
      <c r="G827" s="166"/>
      <c r="H827" s="167"/>
      <c r="I827" s="165"/>
      <c r="N827" s="7" t="str">
        <f t="shared" si="292"/>
        <v>#LIPRQ97NR </v>
      </c>
      <c r="O827" s="7">
        <f t="shared" si="293"/>
        <v>0</v>
      </c>
      <c r="P827" s="21">
        <f t="shared" si="294"/>
        <v>43258</v>
      </c>
      <c r="Q827" s="22">
        <f>VLOOKUP(R827,Referencias!$D$1:$E$13,2,0)</f>
        <v>6</v>
      </c>
      <c r="R827" s="7" t="str">
        <f t="shared" si="295"/>
        <v>JUN</v>
      </c>
      <c r="S827" s="7">
        <f t="shared" si="296"/>
        <v>0</v>
      </c>
      <c r="T827" s="11">
        <f t="shared" si="297"/>
        <v>7</v>
      </c>
      <c r="U827" s="11">
        <f t="shared" si="298"/>
        <v>0</v>
      </c>
      <c r="V827" s="11" t="e">
        <f>VLOOKUP(C827,Referencias!$A$2:$B$33,2,1)</f>
        <v>#N/A</v>
      </c>
      <c r="W827" s="23" t="str">
        <f t="shared" si="299"/>
        <v/>
      </c>
      <c r="X827" s="11">
        <f t="shared" si="300"/>
        <v>0</v>
      </c>
      <c r="Y827" s="11">
        <f t="shared" si="301"/>
        <v>0</v>
      </c>
      <c r="Z827" s="24">
        <f t="shared" si="302"/>
        <v>0</v>
      </c>
      <c r="AA827" s="25">
        <f t="shared" si="303"/>
        <v>0</v>
      </c>
      <c r="AB827" s="24">
        <f t="shared" si="304"/>
        <v>0</v>
      </c>
      <c r="AC827" s="24">
        <f t="shared" si="275"/>
        <v>0</v>
      </c>
      <c r="AD827" s="24">
        <f t="shared" si="276"/>
        <v>0</v>
      </c>
      <c r="AE827" s="24">
        <f t="shared" si="277"/>
        <v>0</v>
      </c>
      <c r="AF827" s="119" t="str">
        <f>VLOOKUP(P827*1,Referencias!$G:$H,2,0)</f>
        <v>qui</v>
      </c>
    </row>
    <row r="828" spans="1:32" ht="12" customHeight="1" x14ac:dyDescent="0.25">
      <c r="A828" s="161"/>
      <c r="B828" s="161"/>
      <c r="C828" s="161"/>
      <c r="D828" s="161"/>
      <c r="E828" s="161"/>
      <c r="F828" s="161"/>
      <c r="G828" s="161"/>
      <c r="H828" s="161"/>
      <c r="I828" s="161"/>
      <c r="N828" s="7" t="str">
        <f t="shared" si="292"/>
        <v>#LIPRQ97NR </v>
      </c>
      <c r="O828" s="7">
        <f t="shared" si="293"/>
        <v>0</v>
      </c>
      <c r="P828" s="21">
        <f t="shared" si="294"/>
        <v>43258</v>
      </c>
      <c r="Q828" s="22">
        <f>VLOOKUP(R828,Referencias!$D$1:$E$13,2,0)</f>
        <v>6</v>
      </c>
      <c r="R828" s="7" t="str">
        <f t="shared" si="295"/>
        <v>JUN</v>
      </c>
      <c r="S828" s="7">
        <f t="shared" si="296"/>
        <v>0</v>
      </c>
      <c r="T828" s="11">
        <f t="shared" si="297"/>
        <v>7</v>
      </c>
      <c r="U828" s="11">
        <f t="shared" si="298"/>
        <v>0</v>
      </c>
      <c r="V828" s="11" t="e">
        <f>VLOOKUP(C828,Referencias!$A$2:$B$33,2,1)</f>
        <v>#N/A</v>
      </c>
      <c r="W828" s="23" t="str">
        <f t="shared" si="299"/>
        <v/>
      </c>
      <c r="X828" s="11">
        <f t="shared" si="300"/>
        <v>0</v>
      </c>
      <c r="Y828" s="11">
        <f t="shared" si="301"/>
        <v>0</v>
      </c>
      <c r="Z828" s="24">
        <f t="shared" si="302"/>
        <v>0</v>
      </c>
      <c r="AA828" s="25">
        <f t="shared" si="303"/>
        <v>0</v>
      </c>
      <c r="AB828" s="24">
        <f t="shared" si="304"/>
        <v>0</v>
      </c>
      <c r="AC828" s="24">
        <f t="shared" si="275"/>
        <v>0</v>
      </c>
      <c r="AD828" s="24">
        <f t="shared" si="276"/>
        <v>0</v>
      </c>
      <c r="AE828" s="24">
        <f t="shared" si="277"/>
        <v>0</v>
      </c>
      <c r="AF828" s="119" t="str">
        <f>VLOOKUP(P828*1,Referencias!$G:$H,2,0)</f>
        <v>qui</v>
      </c>
    </row>
    <row r="829" spans="1:32" x14ac:dyDescent="0.25">
      <c r="A829" s="162"/>
      <c r="B829" s="162"/>
      <c r="C829" s="162"/>
      <c r="D829" s="162"/>
      <c r="E829" s="162"/>
      <c r="F829" s="162"/>
      <c r="G829" s="162"/>
      <c r="H829" s="162"/>
      <c r="I829" s="162"/>
      <c r="N829" s="7" t="str">
        <f t="shared" si="292"/>
        <v>#LIPRQ97NR </v>
      </c>
      <c r="O829" s="7">
        <f t="shared" si="293"/>
        <v>0</v>
      </c>
      <c r="P829" s="21">
        <f t="shared" si="294"/>
        <v>43258</v>
      </c>
      <c r="Q829" s="22">
        <f>VLOOKUP(R829,Referencias!$D$1:$E$13,2,0)</f>
        <v>6</v>
      </c>
      <c r="R829" s="7" t="str">
        <f t="shared" si="295"/>
        <v>JUN</v>
      </c>
      <c r="S829" s="7">
        <f t="shared" si="296"/>
        <v>0</v>
      </c>
      <c r="T829" s="11">
        <f t="shared" si="297"/>
        <v>7</v>
      </c>
      <c r="U829" s="11">
        <f t="shared" si="298"/>
        <v>0</v>
      </c>
      <c r="V829" s="11" t="e">
        <f>VLOOKUP(C829,Referencias!$A$2:$B$33,2,1)</f>
        <v>#N/A</v>
      </c>
      <c r="W829" s="23" t="str">
        <f t="shared" si="299"/>
        <v/>
      </c>
      <c r="X829" s="11">
        <f t="shared" si="300"/>
        <v>0</v>
      </c>
      <c r="Y829" s="11">
        <f t="shared" si="301"/>
        <v>0</v>
      </c>
      <c r="Z829" s="24">
        <f t="shared" si="302"/>
        <v>0</v>
      </c>
      <c r="AA829" s="25">
        <f t="shared" si="303"/>
        <v>0</v>
      </c>
      <c r="AB829" s="24">
        <f t="shared" si="304"/>
        <v>0</v>
      </c>
      <c r="AC829" s="24">
        <f t="shared" si="275"/>
        <v>0</v>
      </c>
      <c r="AD829" s="24">
        <f t="shared" si="276"/>
        <v>0</v>
      </c>
      <c r="AE829" s="24">
        <f t="shared" si="277"/>
        <v>0</v>
      </c>
      <c r="AF829" s="119" t="str">
        <f>VLOOKUP(P829*1,Referencias!$G:$H,2,0)</f>
        <v>qui</v>
      </c>
    </row>
    <row r="830" spans="1:32" x14ac:dyDescent="0.25">
      <c r="A830" s="163"/>
      <c r="B830" s="164" t="s">
        <v>449</v>
      </c>
      <c r="C830" s="134">
        <v>0.9291666666666667</v>
      </c>
      <c r="D830" s="165">
        <v>5.62</v>
      </c>
      <c r="E830" s="165" t="s">
        <v>24</v>
      </c>
      <c r="F830" s="149">
        <v>1.07</v>
      </c>
      <c r="G830" s="166">
        <v>4.6500000000000004</v>
      </c>
      <c r="H830" s="167">
        <v>349.44</v>
      </c>
      <c r="I830" s="165"/>
      <c r="N830" s="7" t="str">
        <f t="shared" si="292"/>
        <v>#LIKJBFDY1 </v>
      </c>
      <c r="O830" s="7" t="str">
        <f t="shared" si="293"/>
        <v>#LIKJBFDY1 </v>
      </c>
      <c r="P830" s="21">
        <f t="shared" si="294"/>
        <v>43258</v>
      </c>
      <c r="Q830" s="22">
        <f>VLOOKUP(R830,Referencias!$D$1:$E$13,2,0)</f>
        <v>6</v>
      </c>
      <c r="R830" s="7" t="str">
        <f t="shared" si="295"/>
        <v>JUN</v>
      </c>
      <c r="S830" s="7">
        <f t="shared" si="296"/>
        <v>0</v>
      </c>
      <c r="T830" s="11">
        <f t="shared" si="297"/>
        <v>7</v>
      </c>
      <c r="U830" s="11">
        <f t="shared" si="298"/>
        <v>0</v>
      </c>
      <c r="V830" s="11" t="str">
        <f>VLOOKUP(C830,Referencias!$A$2:$B$33,2,1)</f>
        <v>22 - 23</v>
      </c>
      <c r="W830" s="23">
        <f t="shared" si="299"/>
        <v>1.1805555555555514E-2</v>
      </c>
      <c r="X830" s="11">
        <f t="shared" si="300"/>
        <v>5.62</v>
      </c>
      <c r="Y830" s="11">
        <f t="shared" si="301"/>
        <v>9.9245451550316641</v>
      </c>
      <c r="Z830" s="24">
        <f t="shared" si="302"/>
        <v>4.6500000000000004</v>
      </c>
      <c r="AA830" s="25">
        <f t="shared" si="303"/>
        <v>16.411764705882412</v>
      </c>
      <c r="AB830" s="24">
        <f t="shared" si="304"/>
        <v>1</v>
      </c>
      <c r="AC830" s="24">
        <f t="shared" si="275"/>
        <v>3.0464392092421293</v>
      </c>
      <c r="AD830" s="24">
        <f t="shared" si="276"/>
        <v>3.6909916522089321</v>
      </c>
      <c r="AE830" s="24">
        <f t="shared" si="277"/>
        <v>4.3762383642777012</v>
      </c>
      <c r="AF830" s="119" t="str">
        <f>VLOOKUP(P830*1,Referencias!$G:$H,2,0)</f>
        <v>qui</v>
      </c>
    </row>
    <row r="831" spans="1:32" ht="12" customHeight="1" x14ac:dyDescent="0.25">
      <c r="A831" s="163"/>
      <c r="B831" s="164"/>
      <c r="C831" s="134">
        <v>0.94097222222222221</v>
      </c>
      <c r="D831" s="165"/>
      <c r="E831" s="165"/>
      <c r="F831" s="145" t="s">
        <v>349</v>
      </c>
      <c r="G831" s="166"/>
      <c r="H831" s="167"/>
      <c r="I831" s="165"/>
      <c r="N831" s="7" t="str">
        <f t="shared" si="292"/>
        <v>#LIKJBFDY1 </v>
      </c>
      <c r="O831" s="7">
        <f t="shared" si="293"/>
        <v>0</v>
      </c>
      <c r="P831" s="21">
        <f t="shared" si="294"/>
        <v>43258</v>
      </c>
      <c r="Q831" s="22">
        <f>VLOOKUP(R831,Referencias!$D$1:$E$13,2,0)</f>
        <v>6</v>
      </c>
      <c r="R831" s="7" t="str">
        <f t="shared" si="295"/>
        <v>JUN</v>
      </c>
      <c r="S831" s="7">
        <f t="shared" si="296"/>
        <v>0</v>
      </c>
      <c r="T831" s="11">
        <f t="shared" si="297"/>
        <v>7</v>
      </c>
      <c r="U831" s="11">
        <f t="shared" si="298"/>
        <v>0</v>
      </c>
      <c r="V831" s="11" t="str">
        <f>VLOOKUP(C831,Referencias!$A$2:$B$33,2,1)</f>
        <v>22 - 23</v>
      </c>
      <c r="W831" s="23" t="str">
        <f t="shared" si="299"/>
        <v/>
      </c>
      <c r="X831" s="11">
        <f t="shared" si="300"/>
        <v>0</v>
      </c>
      <c r="Y831" s="11">
        <f t="shared" si="301"/>
        <v>0</v>
      </c>
      <c r="Z831" s="24">
        <f t="shared" si="302"/>
        <v>0</v>
      </c>
      <c r="AA831" s="25">
        <f t="shared" si="303"/>
        <v>0</v>
      </c>
      <c r="AB831" s="24">
        <f t="shared" si="304"/>
        <v>0</v>
      </c>
      <c r="AC831" s="24">
        <f t="shared" si="275"/>
        <v>0</v>
      </c>
      <c r="AD831" s="24">
        <f t="shared" si="276"/>
        <v>0</v>
      </c>
      <c r="AE831" s="24">
        <f t="shared" si="277"/>
        <v>0</v>
      </c>
      <c r="AF831" s="119" t="str">
        <f>VLOOKUP(P831*1,Referencias!$G:$H,2,0)</f>
        <v>qui</v>
      </c>
    </row>
    <row r="832" spans="1:32" ht="12" customHeight="1" x14ac:dyDescent="0.25">
      <c r="A832" s="161"/>
      <c r="B832" s="161"/>
      <c r="C832" s="161"/>
      <c r="D832" s="161"/>
      <c r="E832" s="161"/>
      <c r="F832" s="161"/>
      <c r="G832" s="161"/>
      <c r="H832" s="161"/>
      <c r="I832" s="161"/>
      <c r="N832" s="7" t="str">
        <f t="shared" si="292"/>
        <v>#LIKJBFDY1 </v>
      </c>
      <c r="O832" s="7">
        <f t="shared" si="293"/>
        <v>0</v>
      </c>
      <c r="P832" s="21">
        <f t="shared" si="294"/>
        <v>43258</v>
      </c>
      <c r="Q832" s="22">
        <f>VLOOKUP(R832,Referencias!$D$1:$E$13,2,0)</f>
        <v>6</v>
      </c>
      <c r="R832" s="7" t="str">
        <f t="shared" si="295"/>
        <v>JUN</v>
      </c>
      <c r="S832" s="7">
        <f t="shared" si="296"/>
        <v>0</v>
      </c>
      <c r="T832" s="11">
        <f t="shared" si="297"/>
        <v>7</v>
      </c>
      <c r="U832" s="11">
        <f t="shared" si="298"/>
        <v>0</v>
      </c>
      <c r="V832" s="11" t="e">
        <f>VLOOKUP(C832,Referencias!$A$2:$B$33,2,1)</f>
        <v>#N/A</v>
      </c>
      <c r="W832" s="23" t="str">
        <f t="shared" si="299"/>
        <v/>
      </c>
      <c r="X832" s="11">
        <f t="shared" si="300"/>
        <v>0</v>
      </c>
      <c r="Y832" s="11">
        <f t="shared" si="301"/>
        <v>0</v>
      </c>
      <c r="Z832" s="24">
        <f t="shared" si="302"/>
        <v>0</v>
      </c>
      <c r="AA832" s="25">
        <f t="shared" si="303"/>
        <v>0</v>
      </c>
      <c r="AB832" s="24">
        <f t="shared" si="304"/>
        <v>0</v>
      </c>
      <c r="AC832" s="24">
        <f t="shared" si="275"/>
        <v>0</v>
      </c>
      <c r="AD832" s="24">
        <f t="shared" si="276"/>
        <v>0</v>
      </c>
      <c r="AE832" s="24">
        <f t="shared" si="277"/>
        <v>0</v>
      </c>
      <c r="AF832" s="119" t="str">
        <f>VLOOKUP(P832*1,Referencias!$G:$H,2,0)</f>
        <v>qui</v>
      </c>
    </row>
    <row r="833" spans="1:32" x14ac:dyDescent="0.25">
      <c r="A833" s="162"/>
      <c r="B833" s="162"/>
      <c r="C833" s="162"/>
      <c r="D833" s="162"/>
      <c r="E833" s="162"/>
      <c r="F833" s="162"/>
      <c r="G833" s="162"/>
      <c r="H833" s="162"/>
      <c r="I833" s="162"/>
      <c r="N833" s="7" t="str">
        <f t="shared" si="292"/>
        <v>#LIKJBFDY1 </v>
      </c>
      <c r="O833" s="7">
        <f t="shared" si="293"/>
        <v>0</v>
      </c>
      <c r="P833" s="21">
        <f t="shared" si="294"/>
        <v>43258</v>
      </c>
      <c r="Q833" s="22">
        <f>VLOOKUP(R833,Referencias!$D$1:$E$13,2,0)</f>
        <v>6</v>
      </c>
      <c r="R833" s="7" t="str">
        <f t="shared" si="295"/>
        <v>JUN</v>
      </c>
      <c r="S833" s="7">
        <f t="shared" si="296"/>
        <v>0</v>
      </c>
      <c r="T833" s="11">
        <f t="shared" si="297"/>
        <v>7</v>
      </c>
      <c r="U833" s="11">
        <f t="shared" si="298"/>
        <v>0</v>
      </c>
      <c r="V833" s="11" t="e">
        <f>VLOOKUP(C833,Referencias!$A$2:$B$33,2,1)</f>
        <v>#N/A</v>
      </c>
      <c r="W833" s="23" t="str">
        <f t="shared" si="299"/>
        <v/>
      </c>
      <c r="X833" s="11">
        <f t="shared" si="300"/>
        <v>0</v>
      </c>
      <c r="Y833" s="11">
        <f t="shared" si="301"/>
        <v>0</v>
      </c>
      <c r="Z833" s="24">
        <f t="shared" si="302"/>
        <v>0</v>
      </c>
      <c r="AA833" s="25">
        <f t="shared" si="303"/>
        <v>0</v>
      </c>
      <c r="AB833" s="24">
        <f t="shared" si="304"/>
        <v>0</v>
      </c>
      <c r="AC833" s="24">
        <f t="shared" si="275"/>
        <v>0</v>
      </c>
      <c r="AD833" s="24">
        <f t="shared" si="276"/>
        <v>0</v>
      </c>
      <c r="AE833" s="24">
        <f t="shared" si="277"/>
        <v>0</v>
      </c>
      <c r="AF833" s="119" t="str">
        <f>VLOOKUP(P833*1,Referencias!$G:$H,2,0)</f>
        <v>qui</v>
      </c>
    </row>
    <row r="834" spans="1:32" x14ac:dyDescent="0.25">
      <c r="A834" s="163"/>
      <c r="B834" s="164" t="s">
        <v>450</v>
      </c>
      <c r="C834" s="134">
        <v>0.9375</v>
      </c>
      <c r="D834" s="165">
        <v>13.89</v>
      </c>
      <c r="E834" s="165" t="s">
        <v>62</v>
      </c>
      <c r="F834" s="149">
        <v>0.45</v>
      </c>
      <c r="G834" s="166">
        <v>1.95</v>
      </c>
      <c r="H834" s="167">
        <v>351.39</v>
      </c>
      <c r="I834" s="165"/>
      <c r="N834" s="7" t="str">
        <f t="shared" si="292"/>
        <v>#LILQYWHPP </v>
      </c>
      <c r="O834" s="7" t="str">
        <f t="shared" si="293"/>
        <v>#LILQYWHPP </v>
      </c>
      <c r="P834" s="21">
        <f t="shared" si="294"/>
        <v>43258</v>
      </c>
      <c r="Q834" s="22">
        <f>VLOOKUP(R834,Referencias!$D$1:$E$13,2,0)</f>
        <v>6</v>
      </c>
      <c r="R834" s="7" t="str">
        <f t="shared" si="295"/>
        <v>JUN</v>
      </c>
      <c r="S834" s="7">
        <f t="shared" si="296"/>
        <v>0</v>
      </c>
      <c r="T834" s="11">
        <f t="shared" si="297"/>
        <v>7</v>
      </c>
      <c r="U834" s="11">
        <f t="shared" si="298"/>
        <v>0</v>
      </c>
      <c r="V834" s="11" t="str">
        <f>VLOOKUP(C834,Referencias!$A$2:$B$33,2,1)</f>
        <v>22 - 23</v>
      </c>
      <c r="W834" s="23">
        <f t="shared" si="299"/>
        <v>5.6250000000000022E-2</v>
      </c>
      <c r="X834" s="11">
        <f t="shared" si="300"/>
        <v>13.89</v>
      </c>
      <c r="Y834" s="11">
        <f t="shared" si="301"/>
        <v>24.528813559322032</v>
      </c>
      <c r="Z834" s="24">
        <f t="shared" si="302"/>
        <v>1.95</v>
      </c>
      <c r="AA834" s="25">
        <f t="shared" si="303"/>
        <v>1.4444444444444438</v>
      </c>
      <c r="AB834" s="24">
        <f t="shared" si="304"/>
        <v>1</v>
      </c>
      <c r="AC834" s="24">
        <f t="shared" ref="AC834:AC839" si="305">Z834*$AL$14</f>
        <v>1.2775390232305703</v>
      </c>
      <c r="AD834" s="24">
        <f t="shared" ref="AD834:AD839" si="306">Z834*$AN$14</f>
        <v>1.5478352089908425</v>
      </c>
      <c r="AE834" s="24">
        <f t="shared" ref="AE834:AE839" si="307">Z834*$AL$26</f>
        <v>1.8351967334067776</v>
      </c>
      <c r="AF834" s="119" t="str">
        <f>VLOOKUP(P834*1,Referencias!$G:$H,2,0)</f>
        <v>qui</v>
      </c>
    </row>
    <row r="835" spans="1:32" ht="12" customHeight="1" x14ac:dyDescent="0.25">
      <c r="A835" s="163"/>
      <c r="B835" s="164"/>
      <c r="C835" s="134">
        <v>0.99375000000000002</v>
      </c>
      <c r="D835" s="165"/>
      <c r="E835" s="165"/>
      <c r="F835" s="145" t="s">
        <v>349</v>
      </c>
      <c r="G835" s="166"/>
      <c r="H835" s="167"/>
      <c r="I835" s="165"/>
      <c r="N835" s="7" t="str">
        <f t="shared" si="292"/>
        <v>#LILQYWHPP </v>
      </c>
      <c r="O835" s="7">
        <f t="shared" si="293"/>
        <v>0</v>
      </c>
      <c r="P835" s="21">
        <f t="shared" si="294"/>
        <v>43258</v>
      </c>
      <c r="Q835" s="22">
        <f>VLOOKUP(R835,Referencias!$D$1:$E$13,2,0)</f>
        <v>6</v>
      </c>
      <c r="R835" s="7" t="str">
        <f t="shared" si="295"/>
        <v>JUN</v>
      </c>
      <c r="S835" s="7">
        <f t="shared" si="296"/>
        <v>0</v>
      </c>
      <c r="T835" s="11">
        <f t="shared" si="297"/>
        <v>7</v>
      </c>
      <c r="U835" s="11">
        <f t="shared" si="298"/>
        <v>0</v>
      </c>
      <c r="V835" s="11" t="str">
        <f>VLOOKUP(C835,Referencias!$A$2:$B$33,2,1)</f>
        <v>23 - 24</v>
      </c>
      <c r="W835" s="23" t="str">
        <f t="shared" si="299"/>
        <v/>
      </c>
      <c r="X835" s="11">
        <f t="shared" si="300"/>
        <v>0</v>
      </c>
      <c r="Y835" s="11">
        <f t="shared" si="301"/>
        <v>0</v>
      </c>
      <c r="Z835" s="24">
        <f t="shared" si="302"/>
        <v>0</v>
      </c>
      <c r="AA835" s="25">
        <f t="shared" si="303"/>
        <v>0</v>
      </c>
      <c r="AB835" s="24">
        <f t="shared" si="304"/>
        <v>0</v>
      </c>
      <c r="AC835" s="24">
        <f t="shared" si="305"/>
        <v>0</v>
      </c>
      <c r="AD835" s="24">
        <f t="shared" si="306"/>
        <v>0</v>
      </c>
      <c r="AE835" s="24">
        <f t="shared" si="307"/>
        <v>0</v>
      </c>
      <c r="AF835" s="119" t="str">
        <f>VLOOKUP(P835*1,Referencias!$G:$H,2,0)</f>
        <v>qui</v>
      </c>
    </row>
    <row r="836" spans="1:32" ht="12" customHeight="1" x14ac:dyDescent="0.25">
      <c r="A836" s="161"/>
      <c r="B836" s="161"/>
      <c r="C836" s="161"/>
      <c r="D836" s="161"/>
      <c r="E836" s="161"/>
      <c r="F836" s="161"/>
      <c r="G836" s="161"/>
      <c r="H836" s="161"/>
      <c r="I836" s="161"/>
      <c r="N836" s="7" t="str">
        <f t="shared" si="292"/>
        <v>#LILQYWHPP </v>
      </c>
      <c r="O836" s="7">
        <f t="shared" si="293"/>
        <v>0</v>
      </c>
      <c r="P836" s="21">
        <f t="shared" si="294"/>
        <v>43258</v>
      </c>
      <c r="Q836" s="22">
        <f>VLOOKUP(R836,Referencias!$D$1:$E$13,2,0)</f>
        <v>6</v>
      </c>
      <c r="R836" s="7" t="str">
        <f t="shared" si="295"/>
        <v>JUN</v>
      </c>
      <c r="S836" s="7">
        <f t="shared" si="296"/>
        <v>0</v>
      </c>
      <c r="T836" s="11">
        <f t="shared" si="297"/>
        <v>7</v>
      </c>
      <c r="U836" s="11">
        <f t="shared" si="298"/>
        <v>0</v>
      </c>
      <c r="V836" s="11" t="e">
        <f>VLOOKUP(C836,Referencias!$A$2:$B$33,2,1)</f>
        <v>#N/A</v>
      </c>
      <c r="W836" s="23" t="str">
        <f t="shared" si="299"/>
        <v/>
      </c>
      <c r="X836" s="11">
        <f t="shared" si="300"/>
        <v>0</v>
      </c>
      <c r="Y836" s="11">
        <f t="shared" si="301"/>
        <v>0</v>
      </c>
      <c r="Z836" s="24">
        <f t="shared" si="302"/>
        <v>0</v>
      </c>
      <c r="AA836" s="25">
        <f t="shared" si="303"/>
        <v>0</v>
      </c>
      <c r="AB836" s="24">
        <f t="shared" si="304"/>
        <v>0</v>
      </c>
      <c r="AC836" s="24">
        <f t="shared" si="305"/>
        <v>0</v>
      </c>
      <c r="AD836" s="24">
        <f t="shared" si="306"/>
        <v>0</v>
      </c>
      <c r="AE836" s="24">
        <f t="shared" si="307"/>
        <v>0</v>
      </c>
      <c r="AF836" s="119" t="str">
        <f>VLOOKUP(P836*1,Referencias!$G:$H,2,0)</f>
        <v>qui</v>
      </c>
    </row>
    <row r="837" spans="1:32" x14ac:dyDescent="0.25">
      <c r="A837" s="162"/>
      <c r="B837" s="162"/>
      <c r="C837" s="162"/>
      <c r="D837" s="162"/>
      <c r="E837" s="162"/>
      <c r="F837" s="162"/>
      <c r="G837" s="162"/>
      <c r="H837" s="162"/>
      <c r="I837" s="162"/>
      <c r="N837" s="7" t="str">
        <f t="shared" si="292"/>
        <v>#LILQYWHPP </v>
      </c>
      <c r="O837" s="7">
        <f t="shared" si="293"/>
        <v>0</v>
      </c>
      <c r="P837" s="21">
        <f t="shared" si="294"/>
        <v>43258</v>
      </c>
      <c r="Q837" s="22">
        <f>VLOOKUP(R837,Referencias!$D$1:$E$13,2,0)</f>
        <v>6</v>
      </c>
      <c r="R837" s="7" t="str">
        <f t="shared" si="295"/>
        <v>JUN</v>
      </c>
      <c r="S837" s="7">
        <f t="shared" si="296"/>
        <v>0</v>
      </c>
      <c r="T837" s="11">
        <f t="shared" si="297"/>
        <v>7</v>
      </c>
      <c r="U837" s="11">
        <f t="shared" si="298"/>
        <v>0</v>
      </c>
      <c r="V837" s="11" t="e">
        <f>VLOOKUP(C837,Referencias!$A$2:$B$33,2,1)</f>
        <v>#N/A</v>
      </c>
      <c r="W837" s="23" t="str">
        <f t="shared" si="299"/>
        <v/>
      </c>
      <c r="X837" s="11">
        <f t="shared" si="300"/>
        <v>0</v>
      </c>
      <c r="Y837" s="11">
        <f t="shared" si="301"/>
        <v>0</v>
      </c>
      <c r="Z837" s="24">
        <f t="shared" si="302"/>
        <v>0</v>
      </c>
      <c r="AA837" s="25">
        <f t="shared" si="303"/>
        <v>0</v>
      </c>
      <c r="AB837" s="24">
        <f t="shared" si="304"/>
        <v>0</v>
      </c>
      <c r="AC837" s="24">
        <f t="shared" si="305"/>
        <v>0</v>
      </c>
      <c r="AD837" s="24">
        <f t="shared" si="306"/>
        <v>0</v>
      </c>
      <c r="AE837" s="24">
        <f t="shared" si="307"/>
        <v>0</v>
      </c>
      <c r="AF837" s="119" t="str">
        <f>VLOOKUP(P837*1,Referencias!$G:$H,2,0)</f>
        <v>qui</v>
      </c>
    </row>
    <row r="838" spans="1:32" x14ac:dyDescent="0.25">
      <c r="A838" s="163"/>
      <c r="B838" s="164" t="s">
        <v>451</v>
      </c>
      <c r="C838" s="134">
        <v>0.99236111111111114</v>
      </c>
      <c r="D838" s="165">
        <v>5.27</v>
      </c>
      <c r="E838" s="165" t="s">
        <v>36</v>
      </c>
      <c r="F838" s="149">
        <v>1</v>
      </c>
      <c r="G838" s="166">
        <v>4.34</v>
      </c>
      <c r="H838" s="167">
        <v>355.73</v>
      </c>
      <c r="I838" s="165"/>
      <c r="N838" s="7" t="str">
        <f t="shared" si="292"/>
        <v>#LIBU2YDEF </v>
      </c>
      <c r="O838" s="7" t="str">
        <f t="shared" si="293"/>
        <v>#LIBU2YDEF </v>
      </c>
      <c r="P838" s="21">
        <f t="shared" si="294"/>
        <v>43258</v>
      </c>
      <c r="Q838" s="22">
        <f>VLOOKUP(R838,Referencias!$D$1:$E$13,2,0)</f>
        <v>6</v>
      </c>
      <c r="R838" s="7" t="str">
        <f t="shared" si="295"/>
        <v>JUN</v>
      </c>
      <c r="S838" s="7">
        <f t="shared" si="296"/>
        <v>0</v>
      </c>
      <c r="T838" s="11">
        <f t="shared" si="297"/>
        <v>7</v>
      </c>
      <c r="U838" s="11">
        <f t="shared" si="298"/>
        <v>0</v>
      </c>
      <c r="V838" s="11" t="str">
        <f>VLOOKUP(C838,Referencias!$A$2:$B$33,2,1)</f>
        <v>23 - 24</v>
      </c>
      <c r="W838" s="23">
        <f t="shared" si="299"/>
        <v>6.9444444444444198E-3</v>
      </c>
      <c r="X838" s="11">
        <f t="shared" si="300"/>
        <v>5.27</v>
      </c>
      <c r="Y838" s="11">
        <f t="shared" si="301"/>
        <v>9.3064684994691937</v>
      </c>
      <c r="Z838" s="24">
        <f t="shared" si="302"/>
        <v>4.34</v>
      </c>
      <c r="AA838" s="25">
        <f t="shared" si="303"/>
        <v>26.040000000000092</v>
      </c>
      <c r="AB838" s="24">
        <f t="shared" si="304"/>
        <v>1</v>
      </c>
      <c r="AC838" s="24">
        <f t="shared" si="305"/>
        <v>2.8433432619593204</v>
      </c>
      <c r="AD838" s="24">
        <f t="shared" si="306"/>
        <v>3.4449255420616698</v>
      </c>
      <c r="AE838" s="24">
        <f t="shared" si="307"/>
        <v>4.0844891399925203</v>
      </c>
      <c r="AF838" s="119" t="str">
        <f>VLOOKUP(P838*1,Referencias!$G:$H,2,0)</f>
        <v>qui</v>
      </c>
    </row>
    <row r="839" spans="1:32" x14ac:dyDescent="0.25">
      <c r="A839" s="163"/>
      <c r="B839" s="164"/>
      <c r="C839" s="134">
        <v>0.99930555555555556</v>
      </c>
      <c r="D839" s="165"/>
      <c r="E839" s="165"/>
      <c r="F839" s="145" t="s">
        <v>349</v>
      </c>
      <c r="G839" s="166"/>
      <c r="H839" s="167"/>
      <c r="I839" s="165"/>
      <c r="N839" s="7" t="str">
        <f t="shared" si="292"/>
        <v>#LIBU2YDEF </v>
      </c>
      <c r="O839" s="7">
        <f t="shared" si="293"/>
        <v>0</v>
      </c>
      <c r="P839" s="21">
        <f t="shared" si="294"/>
        <v>43258</v>
      </c>
      <c r="Q839" s="22">
        <f>VLOOKUP(R839,Referencias!$D$1:$E$13,2,0)</f>
        <v>6</v>
      </c>
      <c r="R839" s="7" t="str">
        <f t="shared" si="295"/>
        <v>JUN</v>
      </c>
      <c r="S839" s="7">
        <f t="shared" si="296"/>
        <v>0</v>
      </c>
      <c r="T839" s="11">
        <f t="shared" si="297"/>
        <v>7</v>
      </c>
      <c r="U839" s="11">
        <f t="shared" si="298"/>
        <v>0</v>
      </c>
      <c r="V839" s="11" t="str">
        <f>VLOOKUP(C839,Referencias!$A$2:$B$33,2,1)</f>
        <v>23 - 24</v>
      </c>
      <c r="W839" s="23" t="str">
        <f t="shared" si="299"/>
        <v/>
      </c>
      <c r="X839" s="11">
        <f t="shared" si="300"/>
        <v>0</v>
      </c>
      <c r="Y839" s="11">
        <f t="shared" si="301"/>
        <v>0</v>
      </c>
      <c r="Z839" s="24">
        <f t="shared" si="302"/>
        <v>0</v>
      </c>
      <c r="AA839" s="25">
        <f t="shared" si="303"/>
        <v>0</v>
      </c>
      <c r="AB839" s="24">
        <f t="shared" si="304"/>
        <v>0</v>
      </c>
      <c r="AC839" s="24">
        <f t="shared" si="305"/>
        <v>0</v>
      </c>
      <c r="AD839" s="24">
        <f t="shared" si="306"/>
        <v>0</v>
      </c>
      <c r="AE839" s="24">
        <f t="shared" si="307"/>
        <v>0</v>
      </c>
      <c r="AF839" s="119" t="str">
        <f>VLOOKUP(P839*1,Referencias!$G:$H,2,0)</f>
        <v>qui</v>
      </c>
    </row>
    <row r="840" spans="1:32" ht="12.6" thickBot="1" x14ac:dyDescent="0.3">
      <c r="A840" s="172"/>
      <c r="B840" s="172"/>
      <c r="C840" s="172"/>
      <c r="D840" s="172"/>
      <c r="E840" s="172"/>
      <c r="F840" s="172"/>
      <c r="G840" s="172"/>
      <c r="H840" s="172"/>
      <c r="I840" s="172"/>
      <c r="N840" s="7" t="str">
        <f t="shared" ref="N840:N858" si="308">IF(O840&lt;&gt;0,O840,N839)</f>
        <v>#LIBU2YDEF </v>
      </c>
      <c r="O840" s="7">
        <f t="shared" ref="O840:O858" si="309">IF(X840&gt;0,B840,0)</f>
        <v>0</v>
      </c>
      <c r="P840" s="21">
        <f t="shared" ref="P840:P858" si="310">(T840&amp;"/"&amp;Q840&amp;"/2018")*1</f>
        <v>43258</v>
      </c>
      <c r="Q840" s="22">
        <f>VLOOKUP(R840,Referencias!$D$1:$E$13,2,0)</f>
        <v>6</v>
      </c>
      <c r="R840" s="7" t="str">
        <f t="shared" ref="R840:R858" si="311">IF(S840="ganhos garantidos",R839,IF(S840&lt;&gt;0,S840,R839))</f>
        <v>JUN</v>
      </c>
      <c r="S840" s="7">
        <f t="shared" ref="S840:S858" si="312">IF(X840&gt;0,A841,0)</f>
        <v>0</v>
      </c>
      <c r="T840" s="11">
        <f t="shared" ref="T840:T858" si="313">IF(U840&lt;&gt;0,U840,T839)</f>
        <v>7</v>
      </c>
      <c r="U840" s="11">
        <f t="shared" ref="U840:U858" si="314">IF(X840&gt;0,A840,0)</f>
        <v>0</v>
      </c>
      <c r="V840" s="11" t="e">
        <f>VLOOKUP(C840,Referencias!$A$2:$B$33,2,1)</f>
        <v>#N/A</v>
      </c>
      <c r="W840" s="23" t="str">
        <f t="shared" ref="W840:W858" si="315">IF(X840&gt;0,C841-C840,"")</f>
        <v/>
      </c>
      <c r="X840" s="11">
        <f t="shared" ref="X840:X858" si="316">D840*1</f>
        <v>0</v>
      </c>
      <c r="Y840" s="11">
        <f t="shared" ref="Y840:Y858" si="317">X840*$AK$2</f>
        <v>0</v>
      </c>
      <c r="Z840" s="24">
        <f t="shared" ref="Z840:Z858" si="318">IF(A840="Ganhos Garantidos",G840,IF(X840&gt;0,G840*1,0))</f>
        <v>0</v>
      </c>
      <c r="AA840" s="25">
        <f t="shared" ref="AA840:AA858" si="319">IFERROR(Z840/(86400*(W840)/360/10),0)</f>
        <v>0</v>
      </c>
      <c r="AB840" s="24">
        <f t="shared" ref="AB840:AB858" si="320">IF(O840&gt;0,1,0)</f>
        <v>0</v>
      </c>
      <c r="AC840" s="24">
        <f t="shared" ref="AC840:AC858" si="321">Z840*$AL$14</f>
        <v>0</v>
      </c>
      <c r="AD840" s="24">
        <f t="shared" ref="AD840:AD858" si="322">Z840*$AN$14</f>
        <v>0</v>
      </c>
      <c r="AE840" s="24">
        <f t="shared" ref="AE840:AE858" si="323">Z840*$AL$26</f>
        <v>0</v>
      </c>
      <c r="AF840" s="119" t="str">
        <f>VLOOKUP(P840*1,Referencias!$G:$H,2,0)</f>
        <v>qui</v>
      </c>
    </row>
    <row r="841" spans="1:32" x14ac:dyDescent="0.25">
      <c r="A841" s="147">
        <v>8</v>
      </c>
      <c r="B841" s="168" t="s">
        <v>455</v>
      </c>
      <c r="C841" s="134">
        <v>0.82986111111111116</v>
      </c>
      <c r="D841" s="169">
        <v>3.32</v>
      </c>
      <c r="E841" s="169" t="s">
        <v>44</v>
      </c>
      <c r="F841" s="169"/>
      <c r="G841" s="170">
        <v>2.66</v>
      </c>
      <c r="H841" s="171">
        <v>358.39</v>
      </c>
      <c r="I841" s="169"/>
      <c r="N841" s="7" t="str">
        <f t="shared" si="308"/>
        <v>#LI1LDFBRE </v>
      </c>
      <c r="O841" s="7" t="str">
        <f t="shared" si="309"/>
        <v>#LI1LDFBRE </v>
      </c>
      <c r="P841" s="21">
        <f t="shared" si="310"/>
        <v>43259</v>
      </c>
      <c r="Q841" s="22">
        <f>VLOOKUP(R841,Referencias!$D$1:$E$13,2,0)</f>
        <v>6</v>
      </c>
      <c r="R841" s="7" t="str">
        <f t="shared" si="311"/>
        <v>JUN</v>
      </c>
      <c r="S841" s="7" t="str">
        <f t="shared" si="312"/>
        <v>JUN</v>
      </c>
      <c r="T841" s="11">
        <f t="shared" si="313"/>
        <v>8</v>
      </c>
      <c r="U841" s="11">
        <f t="shared" si="314"/>
        <v>8</v>
      </c>
      <c r="V841" s="11" t="str">
        <f>VLOOKUP(C841,Referencias!$A$2:$B$33,2,1)</f>
        <v>19 - 20</v>
      </c>
      <c r="W841" s="23">
        <f t="shared" si="315"/>
        <v>3.3333333333333215E-2</v>
      </c>
      <c r="X841" s="11">
        <f t="shared" si="316"/>
        <v>3.32</v>
      </c>
      <c r="Y841" s="11">
        <f t="shared" si="317"/>
        <v>5.8628985613354319</v>
      </c>
      <c r="Z841" s="24">
        <f t="shared" si="318"/>
        <v>2.66</v>
      </c>
      <c r="AA841" s="25">
        <f t="shared" si="319"/>
        <v>3.3250000000000117</v>
      </c>
      <c r="AB841" s="24">
        <f t="shared" si="320"/>
        <v>1</v>
      </c>
      <c r="AC841" s="24">
        <f t="shared" si="321"/>
        <v>1.7426942573299062</v>
      </c>
      <c r="AD841" s="24">
        <f t="shared" si="322"/>
        <v>2.1114059773926366</v>
      </c>
      <c r="AE841" s="24">
        <f t="shared" si="323"/>
        <v>2.5033965696728355</v>
      </c>
      <c r="AF841" s="119" t="str">
        <f>VLOOKUP(P841*1,Referencias!$G:$H,2,0)</f>
        <v>sex</v>
      </c>
    </row>
    <row r="842" spans="1:32" ht="12" customHeight="1" x14ac:dyDescent="0.25">
      <c r="A842" s="147" t="s">
        <v>250</v>
      </c>
      <c r="B842" s="164"/>
      <c r="C842" s="134">
        <v>0.86319444444444438</v>
      </c>
      <c r="D842" s="165"/>
      <c r="E842" s="165"/>
      <c r="F842" s="165"/>
      <c r="G842" s="166"/>
      <c r="H842" s="167"/>
      <c r="I842" s="165"/>
      <c r="N842" s="7" t="str">
        <f t="shared" si="308"/>
        <v>#LI1LDFBRE </v>
      </c>
      <c r="O842" s="7">
        <f t="shared" si="309"/>
        <v>0</v>
      </c>
      <c r="P842" s="21">
        <f t="shared" si="310"/>
        <v>43259</v>
      </c>
      <c r="Q842" s="22">
        <f>VLOOKUP(R842,Referencias!$D$1:$E$13,2,0)</f>
        <v>6</v>
      </c>
      <c r="R842" s="7" t="str">
        <f t="shared" si="311"/>
        <v>JUN</v>
      </c>
      <c r="S842" s="7">
        <f t="shared" si="312"/>
        <v>0</v>
      </c>
      <c r="T842" s="11">
        <f t="shared" si="313"/>
        <v>8</v>
      </c>
      <c r="U842" s="11">
        <f t="shared" si="314"/>
        <v>0</v>
      </c>
      <c r="V842" s="11" t="str">
        <f>VLOOKUP(C842,Referencias!$A$2:$B$33,2,1)</f>
        <v>20 - 21</v>
      </c>
      <c r="W842" s="23" t="str">
        <f t="shared" si="315"/>
        <v/>
      </c>
      <c r="X842" s="11">
        <f t="shared" si="316"/>
        <v>0</v>
      </c>
      <c r="Y842" s="11">
        <f t="shared" si="317"/>
        <v>0</v>
      </c>
      <c r="Z842" s="24">
        <f t="shared" si="318"/>
        <v>0</v>
      </c>
      <c r="AA842" s="25">
        <f t="shared" si="319"/>
        <v>0</v>
      </c>
      <c r="AB842" s="24">
        <f t="shared" si="320"/>
        <v>0</v>
      </c>
      <c r="AC842" s="24">
        <f t="shared" si="321"/>
        <v>0</v>
      </c>
      <c r="AD842" s="24">
        <f t="shared" si="322"/>
        <v>0</v>
      </c>
      <c r="AE842" s="24">
        <f t="shared" si="323"/>
        <v>0</v>
      </c>
      <c r="AF842" s="119" t="str">
        <f>VLOOKUP(P842*1,Referencias!$G:$H,2,0)</f>
        <v>sex</v>
      </c>
    </row>
    <row r="843" spans="1:32" ht="12" customHeight="1" x14ac:dyDescent="0.25">
      <c r="A843" s="161"/>
      <c r="B843" s="161"/>
      <c r="C843" s="161"/>
      <c r="D843" s="161"/>
      <c r="E843" s="161"/>
      <c r="F843" s="161"/>
      <c r="G843" s="161"/>
      <c r="H843" s="161"/>
      <c r="I843" s="161"/>
      <c r="N843" s="7" t="str">
        <f t="shared" si="308"/>
        <v>#LI1LDFBRE </v>
      </c>
      <c r="O843" s="7">
        <f t="shared" si="309"/>
        <v>0</v>
      </c>
      <c r="P843" s="21">
        <f t="shared" si="310"/>
        <v>43259</v>
      </c>
      <c r="Q843" s="22">
        <f>VLOOKUP(R843,Referencias!$D$1:$E$13,2,0)</f>
        <v>6</v>
      </c>
      <c r="R843" s="7" t="str">
        <f t="shared" si="311"/>
        <v>JUN</v>
      </c>
      <c r="S843" s="7">
        <f t="shared" si="312"/>
        <v>0</v>
      </c>
      <c r="T843" s="11">
        <f t="shared" si="313"/>
        <v>8</v>
      </c>
      <c r="U843" s="11">
        <f t="shared" si="314"/>
        <v>0</v>
      </c>
      <c r="V843" s="11" t="e">
        <f>VLOOKUP(C843,Referencias!$A$2:$B$33,2,1)</f>
        <v>#N/A</v>
      </c>
      <c r="W843" s="23" t="str">
        <f t="shared" si="315"/>
        <v/>
      </c>
      <c r="X843" s="11">
        <f t="shared" si="316"/>
        <v>0</v>
      </c>
      <c r="Y843" s="11">
        <f t="shared" si="317"/>
        <v>0</v>
      </c>
      <c r="Z843" s="24">
        <f t="shared" si="318"/>
        <v>0</v>
      </c>
      <c r="AA843" s="25">
        <f t="shared" si="319"/>
        <v>0</v>
      </c>
      <c r="AB843" s="24">
        <f t="shared" si="320"/>
        <v>0</v>
      </c>
      <c r="AC843" s="24">
        <f t="shared" si="321"/>
        <v>0</v>
      </c>
      <c r="AD843" s="24">
        <f t="shared" si="322"/>
        <v>0</v>
      </c>
      <c r="AE843" s="24">
        <f t="shared" si="323"/>
        <v>0</v>
      </c>
      <c r="AF843" s="119" t="str">
        <f>VLOOKUP(P843*1,Referencias!$G:$H,2,0)</f>
        <v>sex</v>
      </c>
    </row>
    <row r="844" spans="1:32" x14ac:dyDescent="0.25">
      <c r="A844" s="162"/>
      <c r="B844" s="162"/>
      <c r="C844" s="162"/>
      <c r="D844" s="162"/>
      <c r="E844" s="162"/>
      <c r="F844" s="162"/>
      <c r="G844" s="162"/>
      <c r="H844" s="162"/>
      <c r="I844" s="162"/>
      <c r="N844" s="7" t="str">
        <f t="shared" si="308"/>
        <v>#LI1LDFBRE </v>
      </c>
      <c r="O844" s="7">
        <f t="shared" si="309"/>
        <v>0</v>
      </c>
      <c r="P844" s="21">
        <f t="shared" si="310"/>
        <v>43259</v>
      </c>
      <c r="Q844" s="22">
        <f>VLOOKUP(R844,Referencias!$D$1:$E$13,2,0)</f>
        <v>6</v>
      </c>
      <c r="R844" s="7" t="str">
        <f t="shared" si="311"/>
        <v>JUN</v>
      </c>
      <c r="S844" s="7">
        <f t="shared" si="312"/>
        <v>0</v>
      </c>
      <c r="T844" s="11">
        <f t="shared" si="313"/>
        <v>8</v>
      </c>
      <c r="U844" s="11">
        <f t="shared" si="314"/>
        <v>0</v>
      </c>
      <c r="V844" s="11" t="e">
        <f>VLOOKUP(C844,Referencias!$A$2:$B$33,2,1)</f>
        <v>#N/A</v>
      </c>
      <c r="W844" s="23" t="str">
        <f t="shared" si="315"/>
        <v/>
      </c>
      <c r="X844" s="11">
        <f t="shared" si="316"/>
        <v>0</v>
      </c>
      <c r="Y844" s="11">
        <f t="shared" si="317"/>
        <v>0</v>
      </c>
      <c r="Z844" s="24">
        <f t="shared" si="318"/>
        <v>0</v>
      </c>
      <c r="AA844" s="25">
        <f t="shared" si="319"/>
        <v>0</v>
      </c>
      <c r="AB844" s="24">
        <f t="shared" si="320"/>
        <v>0</v>
      </c>
      <c r="AC844" s="24">
        <f t="shared" si="321"/>
        <v>0</v>
      </c>
      <c r="AD844" s="24">
        <f t="shared" si="322"/>
        <v>0</v>
      </c>
      <c r="AE844" s="24">
        <f t="shared" si="323"/>
        <v>0</v>
      </c>
      <c r="AF844" s="119" t="str">
        <f>VLOOKUP(P844*1,Referencias!$G:$H,2,0)</f>
        <v>sex</v>
      </c>
    </row>
    <row r="845" spans="1:32" x14ac:dyDescent="0.25">
      <c r="A845" s="163"/>
      <c r="B845" s="164" t="s">
        <v>456</v>
      </c>
      <c r="C845" s="134">
        <v>0.86319444444444438</v>
      </c>
      <c r="D845" s="165">
        <v>2.57</v>
      </c>
      <c r="E845" s="165" t="s">
        <v>87</v>
      </c>
      <c r="F845" s="149">
        <v>0.6</v>
      </c>
      <c r="G845" s="166">
        <v>3.61</v>
      </c>
      <c r="H845" s="167">
        <v>362</v>
      </c>
      <c r="I845" s="165"/>
      <c r="N845" s="7" t="str">
        <f t="shared" si="308"/>
        <v>#LIYRVLZUF </v>
      </c>
      <c r="O845" s="7" t="str">
        <f t="shared" si="309"/>
        <v>#LIYRVLZUF </v>
      </c>
      <c r="P845" s="21">
        <f t="shared" si="310"/>
        <v>43259</v>
      </c>
      <c r="Q845" s="22">
        <f>VLOOKUP(R845,Referencias!$D$1:$E$13,2,0)</f>
        <v>6</v>
      </c>
      <c r="R845" s="7" t="str">
        <f t="shared" si="311"/>
        <v>JUN</v>
      </c>
      <c r="S845" s="7">
        <f t="shared" si="312"/>
        <v>0</v>
      </c>
      <c r="T845" s="11">
        <f t="shared" si="313"/>
        <v>8</v>
      </c>
      <c r="U845" s="11">
        <f t="shared" si="314"/>
        <v>0</v>
      </c>
      <c r="V845" s="11" t="str">
        <f>VLOOKUP(C845,Referencias!$A$2:$B$33,2,1)</f>
        <v>20 - 21</v>
      </c>
      <c r="W845" s="23">
        <f t="shared" si="315"/>
        <v>2.5000000000000022E-2</v>
      </c>
      <c r="X845" s="11">
        <f t="shared" si="316"/>
        <v>2.57</v>
      </c>
      <c r="Y845" s="11">
        <f t="shared" si="317"/>
        <v>4.5384485851301379</v>
      </c>
      <c r="Z845" s="24">
        <f t="shared" si="318"/>
        <v>3.61</v>
      </c>
      <c r="AA845" s="25">
        <f t="shared" si="319"/>
        <v>6.0166666666666613</v>
      </c>
      <c r="AB845" s="24">
        <f t="shared" si="320"/>
        <v>1</v>
      </c>
      <c r="AC845" s="24">
        <f t="shared" si="321"/>
        <v>2.365085063519158</v>
      </c>
      <c r="AD845" s="24">
        <f t="shared" si="322"/>
        <v>2.8654795407471494</v>
      </c>
      <c r="AE845" s="24">
        <f t="shared" si="323"/>
        <v>3.3974667731274191</v>
      </c>
      <c r="AF845" s="119" t="str">
        <f>VLOOKUP(P845*1,Referencias!$G:$H,2,0)</f>
        <v>sex</v>
      </c>
    </row>
    <row r="846" spans="1:32" ht="12" customHeight="1" x14ac:dyDescent="0.25">
      <c r="A846" s="163"/>
      <c r="B846" s="164"/>
      <c r="C846" s="134">
        <v>0.8881944444444444</v>
      </c>
      <c r="D846" s="165"/>
      <c r="E846" s="165"/>
      <c r="F846" s="145" t="s">
        <v>377</v>
      </c>
      <c r="G846" s="166"/>
      <c r="H846" s="167"/>
      <c r="I846" s="165"/>
      <c r="N846" s="7" t="str">
        <f t="shared" si="308"/>
        <v>#LIYRVLZUF </v>
      </c>
      <c r="O846" s="7">
        <f t="shared" si="309"/>
        <v>0</v>
      </c>
      <c r="P846" s="21">
        <f t="shared" si="310"/>
        <v>43259</v>
      </c>
      <c r="Q846" s="22">
        <f>VLOOKUP(R846,Referencias!$D$1:$E$13,2,0)</f>
        <v>6</v>
      </c>
      <c r="R846" s="7" t="str">
        <f t="shared" si="311"/>
        <v>JUN</v>
      </c>
      <c r="S846" s="7">
        <f t="shared" si="312"/>
        <v>0</v>
      </c>
      <c r="T846" s="11">
        <f t="shared" si="313"/>
        <v>8</v>
      </c>
      <c r="U846" s="11">
        <f t="shared" si="314"/>
        <v>0</v>
      </c>
      <c r="V846" s="11" t="str">
        <f>VLOOKUP(C846,Referencias!$A$2:$B$33,2,1)</f>
        <v>21 - 22</v>
      </c>
      <c r="W846" s="23" t="str">
        <f t="shared" si="315"/>
        <v/>
      </c>
      <c r="X846" s="11">
        <f t="shared" si="316"/>
        <v>0</v>
      </c>
      <c r="Y846" s="11">
        <f t="shared" si="317"/>
        <v>0</v>
      </c>
      <c r="Z846" s="24">
        <f t="shared" si="318"/>
        <v>0</v>
      </c>
      <c r="AA846" s="25">
        <f t="shared" si="319"/>
        <v>0</v>
      </c>
      <c r="AB846" s="24">
        <f t="shared" si="320"/>
        <v>0</v>
      </c>
      <c r="AC846" s="24">
        <f t="shared" si="321"/>
        <v>0</v>
      </c>
      <c r="AD846" s="24">
        <f t="shared" si="322"/>
        <v>0</v>
      </c>
      <c r="AE846" s="24">
        <f t="shared" si="323"/>
        <v>0</v>
      </c>
      <c r="AF846" s="119" t="str">
        <f>VLOOKUP(P846*1,Referencias!$G:$H,2,0)</f>
        <v>sex</v>
      </c>
    </row>
    <row r="847" spans="1:32" ht="12" customHeight="1" x14ac:dyDescent="0.25">
      <c r="A847" s="161"/>
      <c r="B847" s="161"/>
      <c r="C847" s="161"/>
      <c r="D847" s="161"/>
      <c r="E847" s="161"/>
      <c r="F847" s="161"/>
      <c r="G847" s="161"/>
      <c r="H847" s="161"/>
      <c r="I847" s="161"/>
      <c r="N847" s="7" t="str">
        <f t="shared" si="308"/>
        <v>#LIYRVLZUF </v>
      </c>
      <c r="O847" s="7">
        <f t="shared" si="309"/>
        <v>0</v>
      </c>
      <c r="P847" s="21">
        <f t="shared" si="310"/>
        <v>43259</v>
      </c>
      <c r="Q847" s="22">
        <f>VLOOKUP(R847,Referencias!$D$1:$E$13,2,0)</f>
        <v>6</v>
      </c>
      <c r="R847" s="7" t="str">
        <f t="shared" si="311"/>
        <v>JUN</v>
      </c>
      <c r="S847" s="7">
        <f t="shared" si="312"/>
        <v>0</v>
      </c>
      <c r="T847" s="11">
        <f t="shared" si="313"/>
        <v>8</v>
      </c>
      <c r="U847" s="11">
        <f t="shared" si="314"/>
        <v>0</v>
      </c>
      <c r="V847" s="11" t="e">
        <f>VLOOKUP(C847,Referencias!$A$2:$B$33,2,1)</f>
        <v>#N/A</v>
      </c>
      <c r="W847" s="23" t="str">
        <f t="shared" si="315"/>
        <v/>
      </c>
      <c r="X847" s="11">
        <f t="shared" si="316"/>
        <v>0</v>
      </c>
      <c r="Y847" s="11">
        <f t="shared" si="317"/>
        <v>0</v>
      </c>
      <c r="Z847" s="24">
        <f t="shared" si="318"/>
        <v>0</v>
      </c>
      <c r="AA847" s="25">
        <f t="shared" si="319"/>
        <v>0</v>
      </c>
      <c r="AB847" s="24">
        <f t="shared" si="320"/>
        <v>0</v>
      </c>
      <c r="AC847" s="24">
        <f t="shared" si="321"/>
        <v>0</v>
      </c>
      <c r="AD847" s="24">
        <f t="shared" si="322"/>
        <v>0</v>
      </c>
      <c r="AE847" s="24">
        <f t="shared" si="323"/>
        <v>0</v>
      </c>
      <c r="AF847" s="119" t="str">
        <f>VLOOKUP(P847*1,Referencias!$G:$H,2,0)</f>
        <v>sex</v>
      </c>
    </row>
    <row r="848" spans="1:32" x14ac:dyDescent="0.25">
      <c r="A848" s="162"/>
      <c r="B848" s="162"/>
      <c r="C848" s="162"/>
      <c r="D848" s="162"/>
      <c r="E848" s="162"/>
      <c r="F848" s="162"/>
      <c r="G848" s="162"/>
      <c r="H848" s="162"/>
      <c r="I848" s="162"/>
      <c r="N848" s="7" t="str">
        <f t="shared" si="308"/>
        <v>#LIYRVLZUF </v>
      </c>
      <c r="O848" s="7">
        <f t="shared" si="309"/>
        <v>0</v>
      </c>
      <c r="P848" s="21">
        <f t="shared" si="310"/>
        <v>43259</v>
      </c>
      <c r="Q848" s="22">
        <f>VLOOKUP(R848,Referencias!$D$1:$E$13,2,0)</f>
        <v>6</v>
      </c>
      <c r="R848" s="7" t="str">
        <f t="shared" si="311"/>
        <v>JUN</v>
      </c>
      <c r="S848" s="7">
        <f t="shared" si="312"/>
        <v>0</v>
      </c>
      <c r="T848" s="11">
        <f t="shared" si="313"/>
        <v>8</v>
      </c>
      <c r="U848" s="11">
        <f t="shared" si="314"/>
        <v>0</v>
      </c>
      <c r="V848" s="11" t="e">
        <f>VLOOKUP(C848,Referencias!$A$2:$B$33,2,1)</f>
        <v>#N/A</v>
      </c>
      <c r="W848" s="23" t="str">
        <f t="shared" si="315"/>
        <v/>
      </c>
      <c r="X848" s="11">
        <f t="shared" si="316"/>
        <v>0</v>
      </c>
      <c r="Y848" s="11">
        <f t="shared" si="317"/>
        <v>0</v>
      </c>
      <c r="Z848" s="24">
        <f t="shared" si="318"/>
        <v>0</v>
      </c>
      <c r="AA848" s="25">
        <f t="shared" si="319"/>
        <v>0</v>
      </c>
      <c r="AB848" s="24">
        <f t="shared" si="320"/>
        <v>0</v>
      </c>
      <c r="AC848" s="24">
        <f t="shared" si="321"/>
        <v>0</v>
      </c>
      <c r="AD848" s="24">
        <f t="shared" si="322"/>
        <v>0</v>
      </c>
      <c r="AE848" s="24">
        <f t="shared" si="323"/>
        <v>0</v>
      </c>
      <c r="AF848" s="119" t="str">
        <f>VLOOKUP(P848*1,Referencias!$G:$H,2,0)</f>
        <v>sex</v>
      </c>
    </row>
    <row r="849" spans="1:32" x14ac:dyDescent="0.25">
      <c r="A849" s="163"/>
      <c r="B849" s="164" t="s">
        <v>457</v>
      </c>
      <c r="C849" s="134">
        <v>0.8881944444444444</v>
      </c>
      <c r="D849" s="165">
        <v>3.21</v>
      </c>
      <c r="E849" s="165" t="s">
        <v>384</v>
      </c>
      <c r="F849" s="165"/>
      <c r="G849" s="166">
        <v>3.19</v>
      </c>
      <c r="H849" s="167">
        <v>365.19</v>
      </c>
      <c r="I849" s="165"/>
      <c r="N849" s="7" t="str">
        <f t="shared" si="308"/>
        <v>#LIXHTWQVZ </v>
      </c>
      <c r="O849" s="7" t="str">
        <f t="shared" si="309"/>
        <v>#LIXHTWQVZ </v>
      </c>
      <c r="P849" s="21">
        <f t="shared" si="310"/>
        <v>43259</v>
      </c>
      <c r="Q849" s="22">
        <f>VLOOKUP(R849,Referencias!$D$1:$E$13,2,0)</f>
        <v>6</v>
      </c>
      <c r="R849" s="7" t="str">
        <f t="shared" si="311"/>
        <v>JUN</v>
      </c>
      <c r="S849" s="7">
        <f t="shared" si="312"/>
        <v>0</v>
      </c>
      <c r="T849" s="11">
        <f t="shared" si="313"/>
        <v>8</v>
      </c>
      <c r="U849" s="11">
        <f t="shared" si="314"/>
        <v>0</v>
      </c>
      <c r="V849" s="11" t="str">
        <f>VLOOKUP(C849,Referencias!$A$2:$B$33,2,1)</f>
        <v>21 - 22</v>
      </c>
      <c r="W849" s="23">
        <f t="shared" si="315"/>
        <v>2.5000000000000133E-2</v>
      </c>
      <c r="X849" s="11">
        <f t="shared" si="316"/>
        <v>3.21</v>
      </c>
      <c r="Y849" s="11">
        <f t="shared" si="317"/>
        <v>5.6686458981586556</v>
      </c>
      <c r="Z849" s="24">
        <f t="shared" si="318"/>
        <v>3.19</v>
      </c>
      <c r="AA849" s="25">
        <f t="shared" si="319"/>
        <v>5.316666666666638</v>
      </c>
      <c r="AB849" s="24">
        <f t="shared" si="320"/>
        <v>1</v>
      </c>
      <c r="AC849" s="24">
        <f t="shared" si="321"/>
        <v>2.0899228123618045</v>
      </c>
      <c r="AD849" s="24">
        <f t="shared" si="322"/>
        <v>2.5320996495798909</v>
      </c>
      <c r="AE849" s="24">
        <f t="shared" si="323"/>
        <v>3.0021936305474979</v>
      </c>
      <c r="AF849" s="119" t="str">
        <f>VLOOKUP(P849*1,Referencias!$G:$H,2,0)</f>
        <v>sex</v>
      </c>
    </row>
    <row r="850" spans="1:32" ht="12" customHeight="1" x14ac:dyDescent="0.25">
      <c r="A850" s="163"/>
      <c r="B850" s="164"/>
      <c r="C850" s="134">
        <v>0.91319444444444453</v>
      </c>
      <c r="D850" s="165"/>
      <c r="E850" s="165"/>
      <c r="F850" s="165"/>
      <c r="G850" s="166"/>
      <c r="H850" s="167"/>
      <c r="I850" s="165"/>
      <c r="N850" s="7" t="str">
        <f t="shared" si="308"/>
        <v>#LIXHTWQVZ </v>
      </c>
      <c r="O850" s="7">
        <f t="shared" si="309"/>
        <v>0</v>
      </c>
      <c r="P850" s="21">
        <f t="shared" si="310"/>
        <v>43259</v>
      </c>
      <c r="Q850" s="22">
        <f>VLOOKUP(R850,Referencias!$D$1:$E$13,2,0)</f>
        <v>6</v>
      </c>
      <c r="R850" s="7" t="str">
        <f t="shared" si="311"/>
        <v>JUN</v>
      </c>
      <c r="S850" s="7">
        <f t="shared" si="312"/>
        <v>0</v>
      </c>
      <c r="T850" s="11">
        <f t="shared" si="313"/>
        <v>8</v>
      </c>
      <c r="U850" s="11">
        <f t="shared" si="314"/>
        <v>0</v>
      </c>
      <c r="V850" s="11" t="str">
        <f>VLOOKUP(C850,Referencias!$A$2:$B$33,2,1)</f>
        <v>21 - 22</v>
      </c>
      <c r="W850" s="23" t="str">
        <f t="shared" si="315"/>
        <v/>
      </c>
      <c r="X850" s="11">
        <f t="shared" si="316"/>
        <v>0</v>
      </c>
      <c r="Y850" s="11">
        <f t="shared" si="317"/>
        <v>0</v>
      </c>
      <c r="Z850" s="24">
        <f t="shared" si="318"/>
        <v>0</v>
      </c>
      <c r="AA850" s="25">
        <f t="shared" si="319"/>
        <v>0</v>
      </c>
      <c r="AB850" s="24">
        <f t="shared" si="320"/>
        <v>0</v>
      </c>
      <c r="AC850" s="24">
        <f t="shared" si="321"/>
        <v>0</v>
      </c>
      <c r="AD850" s="24">
        <f t="shared" si="322"/>
        <v>0</v>
      </c>
      <c r="AE850" s="24">
        <f t="shared" si="323"/>
        <v>0</v>
      </c>
      <c r="AF850" s="119" t="str">
        <f>VLOOKUP(P850*1,Referencias!$G:$H,2,0)</f>
        <v>sex</v>
      </c>
    </row>
    <row r="851" spans="1:32" ht="12" customHeight="1" x14ac:dyDescent="0.25">
      <c r="A851" s="161"/>
      <c r="B851" s="161"/>
      <c r="C851" s="161"/>
      <c r="D851" s="161"/>
      <c r="E851" s="161"/>
      <c r="F851" s="161"/>
      <c r="G851" s="161"/>
      <c r="H851" s="161"/>
      <c r="I851" s="161"/>
      <c r="N851" s="7" t="str">
        <f t="shared" si="308"/>
        <v>#LIXHTWQVZ </v>
      </c>
      <c r="O851" s="7">
        <f t="shared" si="309"/>
        <v>0</v>
      </c>
      <c r="P851" s="21">
        <f t="shared" si="310"/>
        <v>43259</v>
      </c>
      <c r="Q851" s="22">
        <f>VLOOKUP(R851,Referencias!$D$1:$E$13,2,0)</f>
        <v>6</v>
      </c>
      <c r="R851" s="7" t="str">
        <f t="shared" si="311"/>
        <v>JUN</v>
      </c>
      <c r="S851" s="7">
        <f t="shared" si="312"/>
        <v>0</v>
      </c>
      <c r="T851" s="11">
        <f t="shared" si="313"/>
        <v>8</v>
      </c>
      <c r="U851" s="11">
        <f t="shared" si="314"/>
        <v>0</v>
      </c>
      <c r="V851" s="11" t="e">
        <f>VLOOKUP(C851,Referencias!$A$2:$B$33,2,1)</f>
        <v>#N/A</v>
      </c>
      <c r="W851" s="23" t="str">
        <f t="shared" si="315"/>
        <v/>
      </c>
      <c r="X851" s="11">
        <f t="shared" si="316"/>
        <v>0</v>
      </c>
      <c r="Y851" s="11">
        <f t="shared" si="317"/>
        <v>0</v>
      </c>
      <c r="Z851" s="24">
        <f t="shared" si="318"/>
        <v>0</v>
      </c>
      <c r="AA851" s="25">
        <f t="shared" si="319"/>
        <v>0</v>
      </c>
      <c r="AB851" s="24">
        <f t="shared" si="320"/>
        <v>0</v>
      </c>
      <c r="AC851" s="24">
        <f t="shared" si="321"/>
        <v>0</v>
      </c>
      <c r="AD851" s="24">
        <f t="shared" si="322"/>
        <v>0</v>
      </c>
      <c r="AE851" s="24">
        <f t="shared" si="323"/>
        <v>0</v>
      </c>
      <c r="AF851" s="119" t="str">
        <f>VLOOKUP(P851*1,Referencias!$G:$H,2,0)</f>
        <v>sex</v>
      </c>
    </row>
    <row r="852" spans="1:32" x14ac:dyDescent="0.25">
      <c r="A852" s="162"/>
      <c r="B852" s="162"/>
      <c r="C852" s="162"/>
      <c r="D852" s="162"/>
      <c r="E852" s="162"/>
      <c r="F852" s="162"/>
      <c r="G852" s="162"/>
      <c r="H852" s="162"/>
      <c r="I852" s="162"/>
      <c r="N852" s="7" t="str">
        <f t="shared" si="308"/>
        <v>#LIXHTWQVZ </v>
      </c>
      <c r="O852" s="7">
        <f t="shared" si="309"/>
        <v>0</v>
      </c>
      <c r="P852" s="21">
        <f t="shared" si="310"/>
        <v>43259</v>
      </c>
      <c r="Q852" s="22">
        <f>VLOOKUP(R852,Referencias!$D$1:$E$13,2,0)</f>
        <v>6</v>
      </c>
      <c r="R852" s="7" t="str">
        <f t="shared" si="311"/>
        <v>JUN</v>
      </c>
      <c r="S852" s="7">
        <f t="shared" si="312"/>
        <v>0</v>
      </c>
      <c r="T852" s="11">
        <f t="shared" si="313"/>
        <v>8</v>
      </c>
      <c r="U852" s="11">
        <f t="shared" si="314"/>
        <v>0</v>
      </c>
      <c r="V852" s="11" t="e">
        <f>VLOOKUP(C852,Referencias!$A$2:$B$33,2,1)</f>
        <v>#N/A</v>
      </c>
      <c r="W852" s="23" t="str">
        <f t="shared" si="315"/>
        <v/>
      </c>
      <c r="X852" s="11">
        <f t="shared" si="316"/>
        <v>0</v>
      </c>
      <c r="Y852" s="11">
        <f t="shared" si="317"/>
        <v>0</v>
      </c>
      <c r="Z852" s="24">
        <f t="shared" si="318"/>
        <v>0</v>
      </c>
      <c r="AA852" s="25">
        <f t="shared" si="319"/>
        <v>0</v>
      </c>
      <c r="AB852" s="24">
        <f t="shared" si="320"/>
        <v>0</v>
      </c>
      <c r="AC852" s="24">
        <f t="shared" si="321"/>
        <v>0</v>
      </c>
      <c r="AD852" s="24">
        <f t="shared" si="322"/>
        <v>0</v>
      </c>
      <c r="AE852" s="24">
        <f t="shared" si="323"/>
        <v>0</v>
      </c>
      <c r="AF852" s="119" t="str">
        <f>VLOOKUP(P852*1,Referencias!$G:$H,2,0)</f>
        <v>sex</v>
      </c>
    </row>
    <row r="853" spans="1:32" x14ac:dyDescent="0.25">
      <c r="A853" s="163"/>
      <c r="B853" s="164" t="s">
        <v>458</v>
      </c>
      <c r="C853" s="134">
        <v>0.91319444444444453</v>
      </c>
      <c r="D853" s="165">
        <v>5.13</v>
      </c>
      <c r="E853" s="165" t="s">
        <v>55</v>
      </c>
      <c r="F853" s="165"/>
      <c r="G853" s="166">
        <v>3.29</v>
      </c>
      <c r="H853" s="167">
        <v>368.48</v>
      </c>
      <c r="I853" s="165"/>
      <c r="N853" s="7" t="str">
        <f t="shared" si="308"/>
        <v>#LISJZXNNK </v>
      </c>
      <c r="O853" s="7" t="str">
        <f t="shared" si="309"/>
        <v>#LISJZXNNK </v>
      </c>
      <c r="P853" s="21">
        <f t="shared" si="310"/>
        <v>43259</v>
      </c>
      <c r="Q853" s="22">
        <f>VLOOKUP(R853,Referencias!$D$1:$E$13,2,0)</f>
        <v>6</v>
      </c>
      <c r="R853" s="7" t="str">
        <f t="shared" si="311"/>
        <v>JUN</v>
      </c>
      <c r="S853" s="7">
        <f t="shared" si="312"/>
        <v>0</v>
      </c>
      <c r="T853" s="11">
        <f t="shared" si="313"/>
        <v>8</v>
      </c>
      <c r="U853" s="11">
        <f t="shared" si="314"/>
        <v>0</v>
      </c>
      <c r="V853" s="11" t="str">
        <f>VLOOKUP(C853,Referencias!$A$2:$B$33,2,1)</f>
        <v>21 - 22</v>
      </c>
      <c r="W853" s="23">
        <f t="shared" si="315"/>
        <v>2.5694444444444464E-2</v>
      </c>
      <c r="X853" s="11">
        <f t="shared" si="316"/>
        <v>5.13</v>
      </c>
      <c r="Y853" s="11">
        <f t="shared" si="317"/>
        <v>9.0592378372442059</v>
      </c>
      <c r="Z853" s="24">
        <f t="shared" si="318"/>
        <v>3.29</v>
      </c>
      <c r="AA853" s="25">
        <f t="shared" si="319"/>
        <v>5.3351351351351308</v>
      </c>
      <c r="AB853" s="24">
        <f t="shared" si="320"/>
        <v>1</v>
      </c>
      <c r="AC853" s="24">
        <f t="shared" si="321"/>
        <v>2.1554376340659367</v>
      </c>
      <c r="AD853" s="24">
        <f t="shared" si="322"/>
        <v>2.6114758141435237</v>
      </c>
      <c r="AE853" s="24">
        <f t="shared" si="323"/>
        <v>3.0963062835427175</v>
      </c>
      <c r="AF853" s="119" t="str">
        <f>VLOOKUP(P853*1,Referencias!$G:$H,2,0)</f>
        <v>sex</v>
      </c>
    </row>
    <row r="854" spans="1:32" ht="12" customHeight="1" x14ac:dyDescent="0.25">
      <c r="A854" s="163"/>
      <c r="B854" s="164"/>
      <c r="C854" s="134">
        <v>0.93888888888888899</v>
      </c>
      <c r="D854" s="165"/>
      <c r="E854" s="165"/>
      <c r="F854" s="165"/>
      <c r="G854" s="166"/>
      <c r="H854" s="167"/>
      <c r="I854" s="165"/>
      <c r="N854" s="7" t="str">
        <f t="shared" si="308"/>
        <v>#LISJZXNNK </v>
      </c>
      <c r="O854" s="7">
        <f t="shared" si="309"/>
        <v>0</v>
      </c>
      <c r="P854" s="21">
        <f t="shared" si="310"/>
        <v>43259</v>
      </c>
      <c r="Q854" s="22">
        <f>VLOOKUP(R854,Referencias!$D$1:$E$13,2,0)</f>
        <v>6</v>
      </c>
      <c r="R854" s="7" t="str">
        <f t="shared" si="311"/>
        <v>JUN</v>
      </c>
      <c r="S854" s="7">
        <f t="shared" si="312"/>
        <v>0</v>
      </c>
      <c r="T854" s="11">
        <f t="shared" si="313"/>
        <v>8</v>
      </c>
      <c r="U854" s="11">
        <f t="shared" si="314"/>
        <v>0</v>
      </c>
      <c r="V854" s="11" t="str">
        <f>VLOOKUP(C854,Referencias!$A$2:$B$33,2,1)</f>
        <v>22 - 23</v>
      </c>
      <c r="W854" s="23" t="str">
        <f t="shared" si="315"/>
        <v/>
      </c>
      <c r="X854" s="11">
        <f t="shared" si="316"/>
        <v>0</v>
      </c>
      <c r="Y854" s="11">
        <f t="shared" si="317"/>
        <v>0</v>
      </c>
      <c r="Z854" s="24">
        <f t="shared" si="318"/>
        <v>0</v>
      </c>
      <c r="AA854" s="25">
        <f t="shared" si="319"/>
        <v>0</v>
      </c>
      <c r="AB854" s="24">
        <f t="shared" si="320"/>
        <v>0</v>
      </c>
      <c r="AC854" s="24">
        <f t="shared" si="321"/>
        <v>0</v>
      </c>
      <c r="AD854" s="24">
        <f t="shared" si="322"/>
        <v>0</v>
      </c>
      <c r="AE854" s="24">
        <f t="shared" si="323"/>
        <v>0</v>
      </c>
      <c r="AF854" s="119" t="str">
        <f>VLOOKUP(P854*1,Referencias!$G:$H,2,0)</f>
        <v>sex</v>
      </c>
    </row>
    <row r="855" spans="1:32" ht="12" customHeight="1" x14ac:dyDescent="0.25">
      <c r="A855" s="161"/>
      <c r="B855" s="161"/>
      <c r="C855" s="161"/>
      <c r="D855" s="161"/>
      <c r="E855" s="161"/>
      <c r="F855" s="161"/>
      <c r="G855" s="161"/>
      <c r="H855" s="161"/>
      <c r="I855" s="161"/>
      <c r="N855" s="7" t="str">
        <f t="shared" si="308"/>
        <v>#LISJZXNNK </v>
      </c>
      <c r="O855" s="7">
        <f t="shared" si="309"/>
        <v>0</v>
      </c>
      <c r="P855" s="21">
        <f t="shared" si="310"/>
        <v>43259</v>
      </c>
      <c r="Q855" s="22">
        <f>VLOOKUP(R855,Referencias!$D$1:$E$13,2,0)</f>
        <v>6</v>
      </c>
      <c r="R855" s="7" t="str">
        <f t="shared" si="311"/>
        <v>JUN</v>
      </c>
      <c r="S855" s="7">
        <f t="shared" si="312"/>
        <v>0</v>
      </c>
      <c r="T855" s="11">
        <f t="shared" si="313"/>
        <v>8</v>
      </c>
      <c r="U855" s="11">
        <f t="shared" si="314"/>
        <v>0</v>
      </c>
      <c r="V855" s="11" t="e">
        <f>VLOOKUP(C855,Referencias!$A$2:$B$33,2,1)</f>
        <v>#N/A</v>
      </c>
      <c r="W855" s="23" t="str">
        <f t="shared" si="315"/>
        <v/>
      </c>
      <c r="X855" s="11">
        <f t="shared" si="316"/>
        <v>0</v>
      </c>
      <c r="Y855" s="11">
        <f t="shared" si="317"/>
        <v>0</v>
      </c>
      <c r="Z855" s="24">
        <f t="shared" si="318"/>
        <v>0</v>
      </c>
      <c r="AA855" s="25">
        <f t="shared" si="319"/>
        <v>0</v>
      </c>
      <c r="AB855" s="24">
        <f t="shared" si="320"/>
        <v>0</v>
      </c>
      <c r="AC855" s="24">
        <f t="shared" si="321"/>
        <v>0</v>
      </c>
      <c r="AD855" s="24">
        <f t="shared" si="322"/>
        <v>0</v>
      </c>
      <c r="AE855" s="24">
        <f t="shared" si="323"/>
        <v>0</v>
      </c>
      <c r="AF855" s="119" t="str">
        <f>VLOOKUP(P855*1,Referencias!$G:$H,2,0)</f>
        <v>sex</v>
      </c>
    </row>
    <row r="856" spans="1:32" x14ac:dyDescent="0.25">
      <c r="A856" s="162"/>
      <c r="B856" s="162"/>
      <c r="C856" s="162"/>
      <c r="D856" s="162"/>
      <c r="E856" s="162"/>
      <c r="F856" s="162"/>
      <c r="G856" s="162"/>
      <c r="H856" s="162"/>
      <c r="I856" s="162"/>
      <c r="N856" s="7" t="str">
        <f t="shared" si="308"/>
        <v>#LISJZXNNK </v>
      </c>
      <c r="O856" s="7">
        <f t="shared" si="309"/>
        <v>0</v>
      </c>
      <c r="P856" s="21">
        <f t="shared" si="310"/>
        <v>43259</v>
      </c>
      <c r="Q856" s="22">
        <f>VLOOKUP(R856,Referencias!$D$1:$E$13,2,0)</f>
        <v>6</v>
      </c>
      <c r="R856" s="7" t="str">
        <f t="shared" si="311"/>
        <v>JUN</v>
      </c>
      <c r="S856" s="7">
        <f t="shared" si="312"/>
        <v>0</v>
      </c>
      <c r="T856" s="11">
        <f t="shared" si="313"/>
        <v>8</v>
      </c>
      <c r="U856" s="11">
        <f t="shared" si="314"/>
        <v>0</v>
      </c>
      <c r="V856" s="11" t="e">
        <f>VLOOKUP(C856,Referencias!$A$2:$B$33,2,1)</f>
        <v>#N/A</v>
      </c>
      <c r="W856" s="23" t="str">
        <f t="shared" si="315"/>
        <v/>
      </c>
      <c r="X856" s="11">
        <f t="shared" si="316"/>
        <v>0</v>
      </c>
      <c r="Y856" s="11">
        <f t="shared" si="317"/>
        <v>0</v>
      </c>
      <c r="Z856" s="24">
        <f t="shared" si="318"/>
        <v>0</v>
      </c>
      <c r="AA856" s="25">
        <f t="shared" si="319"/>
        <v>0</v>
      </c>
      <c r="AB856" s="24">
        <f t="shared" si="320"/>
        <v>0</v>
      </c>
      <c r="AC856" s="24">
        <f t="shared" si="321"/>
        <v>0</v>
      </c>
      <c r="AD856" s="24">
        <f t="shared" si="322"/>
        <v>0</v>
      </c>
      <c r="AE856" s="24">
        <f t="shared" si="323"/>
        <v>0</v>
      </c>
      <c r="AF856" s="119" t="str">
        <f>VLOOKUP(P856*1,Referencias!$G:$H,2,0)</f>
        <v>sex</v>
      </c>
    </row>
    <row r="857" spans="1:32" x14ac:dyDescent="0.25">
      <c r="A857" s="163"/>
      <c r="B857" s="164" t="s">
        <v>459</v>
      </c>
      <c r="C857" s="134">
        <v>0.93958333333333333</v>
      </c>
      <c r="D857" s="165">
        <v>3.68</v>
      </c>
      <c r="E857" s="165" t="s">
        <v>53</v>
      </c>
      <c r="F857" s="165"/>
      <c r="G857" s="166">
        <v>2.78</v>
      </c>
      <c r="H857" s="167">
        <v>371.26</v>
      </c>
      <c r="I857" s="165"/>
      <c r="N857" s="7" t="str">
        <f t="shared" si="308"/>
        <v>#LIA1Z7Q2L </v>
      </c>
      <c r="O857" s="7" t="str">
        <f t="shared" si="309"/>
        <v>#LIA1Z7Q2L </v>
      </c>
      <c r="P857" s="21">
        <f t="shared" si="310"/>
        <v>43259</v>
      </c>
      <c r="Q857" s="22">
        <f>VLOOKUP(R857,Referencias!$D$1:$E$13,2,0)</f>
        <v>6</v>
      </c>
      <c r="R857" s="7" t="str">
        <f t="shared" si="311"/>
        <v>JUN</v>
      </c>
      <c r="S857" s="7">
        <f t="shared" si="312"/>
        <v>0</v>
      </c>
      <c r="T857" s="11">
        <f t="shared" si="313"/>
        <v>8</v>
      </c>
      <c r="U857" s="11">
        <f t="shared" si="314"/>
        <v>0</v>
      </c>
      <c r="V857" s="11" t="str">
        <f>VLOOKUP(C857,Referencias!$A$2:$B$33,2,1)</f>
        <v>22 - 23</v>
      </c>
      <c r="W857" s="23">
        <f t="shared" si="315"/>
        <v>2.083333333333337E-2</v>
      </c>
      <c r="X857" s="11">
        <f t="shared" si="316"/>
        <v>3.68</v>
      </c>
      <c r="Y857" s="11">
        <f t="shared" si="317"/>
        <v>6.498634549913973</v>
      </c>
      <c r="Z857" s="24">
        <f t="shared" si="318"/>
        <v>2.78</v>
      </c>
      <c r="AA857" s="25">
        <f t="shared" si="319"/>
        <v>5.5599999999999898</v>
      </c>
      <c r="AB857" s="24">
        <f t="shared" si="320"/>
        <v>1</v>
      </c>
      <c r="AC857" s="24">
        <f t="shared" si="321"/>
        <v>1.8213120433748642</v>
      </c>
      <c r="AD857" s="24">
        <f t="shared" si="322"/>
        <v>2.2066573748689957</v>
      </c>
      <c r="AE857" s="24">
        <f t="shared" si="323"/>
        <v>2.6163317532670982</v>
      </c>
      <c r="AF857" s="119" t="str">
        <f>VLOOKUP(P857*1,Referencias!$G:$H,2,0)</f>
        <v>sex</v>
      </c>
    </row>
    <row r="858" spans="1:32" x14ac:dyDescent="0.25">
      <c r="A858" s="163"/>
      <c r="B858" s="164"/>
      <c r="C858" s="134">
        <v>0.9604166666666667</v>
      </c>
      <c r="D858" s="165"/>
      <c r="E858" s="165"/>
      <c r="F858" s="165"/>
      <c r="G858" s="166"/>
      <c r="H858" s="167"/>
      <c r="I858" s="165"/>
      <c r="N858" s="7" t="str">
        <f t="shared" si="308"/>
        <v>#LIA1Z7Q2L </v>
      </c>
      <c r="O858" s="7">
        <f t="shared" si="309"/>
        <v>0</v>
      </c>
      <c r="P858" s="21">
        <f t="shared" si="310"/>
        <v>43259</v>
      </c>
      <c r="Q858" s="22">
        <f>VLOOKUP(R858,Referencias!$D$1:$E$13,2,0)</f>
        <v>6</v>
      </c>
      <c r="R858" s="7" t="str">
        <f t="shared" si="311"/>
        <v>JUN</v>
      </c>
      <c r="S858" s="7">
        <f t="shared" si="312"/>
        <v>0</v>
      </c>
      <c r="T858" s="11">
        <f t="shared" si="313"/>
        <v>8</v>
      </c>
      <c r="U858" s="11">
        <f t="shared" si="314"/>
        <v>0</v>
      </c>
      <c r="V858" s="11" t="str">
        <f>VLOOKUP(C858,Referencias!$A$2:$B$33,2,1)</f>
        <v>23 - 24</v>
      </c>
      <c r="W858" s="23" t="str">
        <f t="shared" si="315"/>
        <v/>
      </c>
      <c r="X858" s="11">
        <f t="shared" si="316"/>
        <v>0</v>
      </c>
      <c r="Y858" s="11">
        <f t="shared" si="317"/>
        <v>0</v>
      </c>
      <c r="Z858" s="24">
        <f t="shared" si="318"/>
        <v>0</v>
      </c>
      <c r="AA858" s="25">
        <f t="shared" si="319"/>
        <v>0</v>
      </c>
      <c r="AB858" s="24">
        <f t="shared" si="320"/>
        <v>0</v>
      </c>
      <c r="AC858" s="24">
        <f t="shared" si="321"/>
        <v>0</v>
      </c>
      <c r="AD858" s="24">
        <f t="shared" si="322"/>
        <v>0</v>
      </c>
      <c r="AE858" s="24">
        <f t="shared" si="323"/>
        <v>0</v>
      </c>
      <c r="AF858" s="119" t="str">
        <f>VLOOKUP(P858*1,Referencias!$G:$H,2,0)</f>
        <v>sex</v>
      </c>
    </row>
    <row r="859" spans="1:32" ht="12.6" thickBot="1" x14ac:dyDescent="0.3">
      <c r="A859" s="172"/>
      <c r="B859" s="172"/>
      <c r="C859" s="172"/>
      <c r="D859" s="172"/>
      <c r="E859" s="172"/>
      <c r="F859" s="172"/>
      <c r="G859" s="172"/>
      <c r="H859" s="172"/>
      <c r="I859" s="172"/>
      <c r="N859" s="7" t="str">
        <f t="shared" ref="N859:N922" si="324">IF(O859&lt;&gt;0,O859,N858)</f>
        <v>#LIA1Z7Q2L </v>
      </c>
      <c r="O859" s="7">
        <f t="shared" ref="O859:O922" si="325">IF(X859&gt;0,B859,0)</f>
        <v>0</v>
      </c>
      <c r="P859" s="21">
        <f t="shared" ref="P859:P922" si="326">(T859&amp;"/"&amp;Q859&amp;"/2018")*1</f>
        <v>43259</v>
      </c>
      <c r="Q859" s="22">
        <f>VLOOKUP(R859,Referencias!$D$1:$E$13,2,0)</f>
        <v>6</v>
      </c>
      <c r="R859" s="7" t="str">
        <f t="shared" ref="R859:R922" si="327">IF(S859="ganhos garantidos",R858,IF(S859&lt;&gt;0,S859,R858))</f>
        <v>JUN</v>
      </c>
      <c r="S859" s="7">
        <f t="shared" ref="S859:S922" si="328">IF(X859&gt;0,A860,0)</f>
        <v>0</v>
      </c>
      <c r="T859" s="11">
        <f t="shared" ref="T859:T922" si="329">IF(U859&lt;&gt;0,U859,T858)</f>
        <v>8</v>
      </c>
      <c r="U859" s="11">
        <f t="shared" ref="U859:U922" si="330">IF(X859&gt;0,A859,0)</f>
        <v>0</v>
      </c>
      <c r="V859" s="11" t="e">
        <f>VLOOKUP(C859,Referencias!$A$2:$B$33,2,1)</f>
        <v>#N/A</v>
      </c>
      <c r="W859" s="23" t="str">
        <f t="shared" ref="W859:W922" si="331">IF(X859&gt;0,C860-C859,"")</f>
        <v/>
      </c>
      <c r="X859" s="11">
        <f t="shared" ref="X859:X922" si="332">D859*1</f>
        <v>0</v>
      </c>
      <c r="Y859" s="11">
        <f t="shared" ref="Y859:Y922" si="333">X859*$AK$2</f>
        <v>0</v>
      </c>
      <c r="Z859" s="24">
        <f t="shared" ref="Z859:Z922" si="334">IF(A859="Ganhos Garantidos",G859,IF(X859&gt;0,G859*1,0))</f>
        <v>0</v>
      </c>
      <c r="AA859" s="25">
        <f t="shared" ref="AA859:AA922" si="335">IFERROR(Z859/(86400*(W859)/360/10),0)</f>
        <v>0</v>
      </c>
      <c r="AB859" s="24">
        <f t="shared" ref="AB859:AB922" si="336">IF(O859&gt;0,1,0)</f>
        <v>0</v>
      </c>
      <c r="AC859" s="24">
        <f t="shared" ref="AC859:AC922" si="337">Z859*$AL$14</f>
        <v>0</v>
      </c>
      <c r="AD859" s="24">
        <f t="shared" ref="AD859:AD922" si="338">Z859*$AN$14</f>
        <v>0</v>
      </c>
      <c r="AE859" s="24">
        <f t="shared" ref="AE859:AE922" si="339">Z859*$AL$26</f>
        <v>0</v>
      </c>
      <c r="AF859" s="119" t="str">
        <f>VLOOKUP(P859*1,Referencias!$G:$H,2,0)</f>
        <v>sex</v>
      </c>
    </row>
    <row r="860" spans="1:32" x14ac:dyDescent="0.25">
      <c r="A860" s="147">
        <v>9</v>
      </c>
      <c r="B860" s="168" t="s">
        <v>460</v>
      </c>
      <c r="C860" s="134">
        <v>0.7090277777777777</v>
      </c>
      <c r="D860" s="169">
        <v>6.58</v>
      </c>
      <c r="E860" s="169" t="s">
        <v>29</v>
      </c>
      <c r="F860" s="169"/>
      <c r="G860" s="170">
        <v>1.5</v>
      </c>
      <c r="H860" s="171">
        <v>372.76</v>
      </c>
      <c r="I860" s="169"/>
      <c r="N860" s="7" t="str">
        <f t="shared" si="324"/>
        <v>#LIT9YFULG </v>
      </c>
      <c r="O860" s="7" t="str">
        <f t="shared" si="325"/>
        <v>#LIT9YFULG </v>
      </c>
      <c r="P860" s="21">
        <f t="shared" si="326"/>
        <v>43260</v>
      </c>
      <c r="Q860" s="22">
        <f>VLOOKUP(R860,Referencias!$D$1:$E$13,2,0)</f>
        <v>6</v>
      </c>
      <c r="R860" s="7" t="str">
        <f t="shared" si="327"/>
        <v>JUN</v>
      </c>
      <c r="S860" s="7" t="str">
        <f t="shared" si="328"/>
        <v>JUN</v>
      </c>
      <c r="T860" s="11">
        <f t="shared" si="329"/>
        <v>9</v>
      </c>
      <c r="U860" s="11">
        <f t="shared" si="330"/>
        <v>9</v>
      </c>
      <c r="V860" s="11" t="str">
        <f>VLOOKUP(C860,Referencias!$A$2:$B$33,2,1)</f>
        <v>17 - 18</v>
      </c>
      <c r="W860" s="23">
        <f t="shared" si="331"/>
        <v>0.10555555555555562</v>
      </c>
      <c r="X860" s="11">
        <f t="shared" si="332"/>
        <v>6.58</v>
      </c>
      <c r="Y860" s="11">
        <f t="shared" si="333"/>
        <v>11.619841124574441</v>
      </c>
      <c r="Z860" s="24">
        <f t="shared" si="334"/>
        <v>1.5</v>
      </c>
      <c r="AA860" s="25">
        <f t="shared" si="335"/>
        <v>0.59210526315789436</v>
      </c>
      <c r="AB860" s="24">
        <f t="shared" si="336"/>
        <v>1</v>
      </c>
      <c r="AC860" s="24">
        <f t="shared" si="337"/>
        <v>0.98272232556197714</v>
      </c>
      <c r="AD860" s="24">
        <f t="shared" si="338"/>
        <v>1.1906424684544943</v>
      </c>
      <c r="AE860" s="24">
        <f t="shared" si="339"/>
        <v>1.4116897949282905</v>
      </c>
      <c r="AF860" s="119" t="str">
        <f>VLOOKUP(P860*1,Referencias!$G:$H,2,0)</f>
        <v>sáb</v>
      </c>
    </row>
    <row r="861" spans="1:32" x14ac:dyDescent="0.25">
      <c r="A861" s="147" t="s">
        <v>250</v>
      </c>
      <c r="B861" s="164"/>
      <c r="C861" s="134">
        <v>0.81458333333333333</v>
      </c>
      <c r="D861" s="165"/>
      <c r="E861" s="165"/>
      <c r="F861" s="165"/>
      <c r="G861" s="166"/>
      <c r="H861" s="167"/>
      <c r="I861" s="165"/>
      <c r="N861" s="7" t="str">
        <f t="shared" si="324"/>
        <v>#LIT9YFULG </v>
      </c>
      <c r="O861" s="7">
        <f t="shared" si="325"/>
        <v>0</v>
      </c>
      <c r="P861" s="21">
        <f t="shared" si="326"/>
        <v>43260</v>
      </c>
      <c r="Q861" s="22">
        <f>VLOOKUP(R861,Referencias!$D$1:$E$13,2,0)</f>
        <v>6</v>
      </c>
      <c r="R861" s="7" t="str">
        <f t="shared" si="327"/>
        <v>JUN</v>
      </c>
      <c r="S861" s="7">
        <f t="shared" si="328"/>
        <v>0</v>
      </c>
      <c r="T861" s="11">
        <f t="shared" si="329"/>
        <v>9</v>
      </c>
      <c r="U861" s="11">
        <f t="shared" si="330"/>
        <v>0</v>
      </c>
      <c r="V861" s="11" t="str">
        <f>VLOOKUP(C861,Referencias!$A$2:$B$33,2,1)</f>
        <v>19 - 20</v>
      </c>
      <c r="W861" s="23" t="str">
        <f t="shared" si="331"/>
        <v/>
      </c>
      <c r="X861" s="11">
        <f t="shared" si="332"/>
        <v>0</v>
      </c>
      <c r="Y861" s="11">
        <f t="shared" si="333"/>
        <v>0</v>
      </c>
      <c r="Z861" s="24">
        <f t="shared" si="334"/>
        <v>0</v>
      </c>
      <c r="AA861" s="25">
        <f t="shared" si="335"/>
        <v>0</v>
      </c>
      <c r="AB861" s="24">
        <f t="shared" si="336"/>
        <v>0</v>
      </c>
      <c r="AC861" s="24">
        <f t="shared" si="337"/>
        <v>0</v>
      </c>
      <c r="AD861" s="24">
        <f t="shared" si="338"/>
        <v>0</v>
      </c>
      <c r="AE861" s="24">
        <f t="shared" si="339"/>
        <v>0</v>
      </c>
      <c r="AF861" s="119" t="str">
        <f>VLOOKUP(P861*1,Referencias!$G:$H,2,0)</f>
        <v>sáb</v>
      </c>
    </row>
    <row r="862" spans="1:32" x14ac:dyDescent="0.25">
      <c r="A862" s="161"/>
      <c r="B862" s="161"/>
      <c r="C862" s="161"/>
      <c r="D862" s="161"/>
      <c r="E862" s="161"/>
      <c r="F862" s="161"/>
      <c r="G862" s="161"/>
      <c r="H862" s="161"/>
      <c r="I862" s="161"/>
      <c r="N862" s="7" t="str">
        <f t="shared" si="324"/>
        <v>#LIT9YFULG </v>
      </c>
      <c r="O862" s="7">
        <f t="shared" si="325"/>
        <v>0</v>
      </c>
      <c r="P862" s="21">
        <f t="shared" si="326"/>
        <v>43260</v>
      </c>
      <c r="Q862" s="22">
        <f>VLOOKUP(R862,Referencias!$D$1:$E$13,2,0)</f>
        <v>6</v>
      </c>
      <c r="R862" s="7" t="str">
        <f t="shared" si="327"/>
        <v>JUN</v>
      </c>
      <c r="S862" s="7">
        <f t="shared" si="328"/>
        <v>0</v>
      </c>
      <c r="T862" s="11">
        <f t="shared" si="329"/>
        <v>9</v>
      </c>
      <c r="U862" s="11">
        <f t="shared" si="330"/>
        <v>0</v>
      </c>
      <c r="V862" s="11" t="e">
        <f>VLOOKUP(C862,Referencias!$A$2:$B$33,2,1)</f>
        <v>#N/A</v>
      </c>
      <c r="W862" s="23" t="str">
        <f t="shared" si="331"/>
        <v/>
      </c>
      <c r="X862" s="11">
        <f t="shared" si="332"/>
        <v>0</v>
      </c>
      <c r="Y862" s="11">
        <f t="shared" si="333"/>
        <v>0</v>
      </c>
      <c r="Z862" s="24">
        <f t="shared" si="334"/>
        <v>0</v>
      </c>
      <c r="AA862" s="25">
        <f t="shared" si="335"/>
        <v>0</v>
      </c>
      <c r="AB862" s="24">
        <f t="shared" si="336"/>
        <v>0</v>
      </c>
      <c r="AC862" s="24">
        <f t="shared" si="337"/>
        <v>0</v>
      </c>
      <c r="AD862" s="24">
        <f t="shared" si="338"/>
        <v>0</v>
      </c>
      <c r="AE862" s="24">
        <f t="shared" si="339"/>
        <v>0</v>
      </c>
      <c r="AF862" s="119" t="str">
        <f>VLOOKUP(P862*1,Referencias!$G:$H,2,0)</f>
        <v>sáb</v>
      </c>
    </row>
    <row r="863" spans="1:32" x14ac:dyDescent="0.25">
      <c r="A863" s="162"/>
      <c r="B863" s="162"/>
      <c r="C863" s="162"/>
      <c r="D863" s="162"/>
      <c r="E863" s="162"/>
      <c r="F863" s="162"/>
      <c r="G863" s="162"/>
      <c r="H863" s="162"/>
      <c r="I863" s="162"/>
      <c r="N863" s="7" t="str">
        <f t="shared" si="324"/>
        <v>#LIT9YFULG </v>
      </c>
      <c r="O863" s="7">
        <f t="shared" si="325"/>
        <v>0</v>
      </c>
      <c r="P863" s="21">
        <f t="shared" si="326"/>
        <v>43260</v>
      </c>
      <c r="Q863" s="22">
        <f>VLOOKUP(R863,Referencias!$D$1:$E$13,2,0)</f>
        <v>6</v>
      </c>
      <c r="R863" s="7" t="str">
        <f t="shared" si="327"/>
        <v>JUN</v>
      </c>
      <c r="S863" s="7">
        <f t="shared" si="328"/>
        <v>0</v>
      </c>
      <c r="T863" s="11">
        <f t="shared" si="329"/>
        <v>9</v>
      </c>
      <c r="U863" s="11">
        <f t="shared" si="330"/>
        <v>0</v>
      </c>
      <c r="V863" s="11" t="e">
        <f>VLOOKUP(C863,Referencias!$A$2:$B$33,2,1)</f>
        <v>#N/A</v>
      </c>
      <c r="W863" s="23" t="str">
        <f t="shared" si="331"/>
        <v/>
      </c>
      <c r="X863" s="11">
        <f t="shared" si="332"/>
        <v>0</v>
      </c>
      <c r="Y863" s="11">
        <f t="shared" si="333"/>
        <v>0</v>
      </c>
      <c r="Z863" s="24">
        <f t="shared" si="334"/>
        <v>0</v>
      </c>
      <c r="AA863" s="25">
        <f t="shared" si="335"/>
        <v>0</v>
      </c>
      <c r="AB863" s="24">
        <f t="shared" si="336"/>
        <v>0</v>
      </c>
      <c r="AC863" s="24">
        <f t="shared" si="337"/>
        <v>0</v>
      </c>
      <c r="AD863" s="24">
        <f t="shared" si="338"/>
        <v>0</v>
      </c>
      <c r="AE863" s="24">
        <f t="shared" si="339"/>
        <v>0</v>
      </c>
      <c r="AF863" s="119" t="str">
        <f>VLOOKUP(P863*1,Referencias!$G:$H,2,0)</f>
        <v>sáb</v>
      </c>
    </row>
    <row r="864" spans="1:32" x14ac:dyDescent="0.25">
      <c r="A864" s="163"/>
      <c r="B864" s="164" t="s">
        <v>461</v>
      </c>
      <c r="C864" s="134">
        <v>0.85069444444444453</v>
      </c>
      <c r="D864" s="165">
        <v>7.04</v>
      </c>
      <c r="E864" s="165" t="s">
        <v>36</v>
      </c>
      <c r="F864" s="165"/>
      <c r="G864" s="166">
        <v>3.96</v>
      </c>
      <c r="H864" s="167">
        <v>376.72</v>
      </c>
      <c r="I864" s="165"/>
      <c r="N864" s="7" t="str">
        <f t="shared" si="324"/>
        <v>#LIM1M171B </v>
      </c>
      <c r="O864" s="7" t="str">
        <f t="shared" si="325"/>
        <v>#LIM1M171B </v>
      </c>
      <c r="P864" s="21">
        <f t="shared" si="326"/>
        <v>43260</v>
      </c>
      <c r="Q864" s="22">
        <f>VLOOKUP(R864,Referencias!$D$1:$E$13,2,0)</f>
        <v>6</v>
      </c>
      <c r="R864" s="7" t="str">
        <f t="shared" si="327"/>
        <v>JUN</v>
      </c>
      <c r="S864" s="7">
        <f t="shared" si="328"/>
        <v>0</v>
      </c>
      <c r="T864" s="11">
        <f t="shared" si="329"/>
        <v>9</v>
      </c>
      <c r="U864" s="11">
        <f t="shared" si="330"/>
        <v>0</v>
      </c>
      <c r="V864" s="11" t="str">
        <f>VLOOKUP(C864,Referencias!$A$2:$B$33,2,1)</f>
        <v>20 - 21</v>
      </c>
      <c r="W864" s="23">
        <f t="shared" si="331"/>
        <v>2.9861111111111005E-2</v>
      </c>
      <c r="X864" s="11">
        <f t="shared" si="332"/>
        <v>7.04</v>
      </c>
      <c r="Y864" s="11">
        <f t="shared" si="333"/>
        <v>12.432170443313687</v>
      </c>
      <c r="Z864" s="24">
        <f t="shared" si="334"/>
        <v>3.96</v>
      </c>
      <c r="AA864" s="25">
        <f t="shared" si="335"/>
        <v>5.5255813953488566</v>
      </c>
      <c r="AB864" s="24">
        <f t="shared" si="336"/>
        <v>1</v>
      </c>
      <c r="AC864" s="24">
        <f t="shared" si="337"/>
        <v>2.5943869394836194</v>
      </c>
      <c r="AD864" s="24">
        <f t="shared" si="338"/>
        <v>3.1432961167198648</v>
      </c>
      <c r="AE864" s="24">
        <f t="shared" si="339"/>
        <v>3.7268610586106869</v>
      </c>
      <c r="AF864" s="119" t="str">
        <f>VLOOKUP(P864*1,Referencias!$G:$H,2,0)</f>
        <v>sáb</v>
      </c>
    </row>
    <row r="865" spans="1:32" x14ac:dyDescent="0.25">
      <c r="A865" s="163"/>
      <c r="B865" s="164"/>
      <c r="C865" s="134">
        <v>0.88055555555555554</v>
      </c>
      <c r="D865" s="165"/>
      <c r="E865" s="165"/>
      <c r="F865" s="165"/>
      <c r="G865" s="166"/>
      <c r="H865" s="167"/>
      <c r="I865" s="165"/>
      <c r="N865" s="7" t="str">
        <f t="shared" si="324"/>
        <v>#LIM1M171B </v>
      </c>
      <c r="O865" s="7">
        <f t="shared" si="325"/>
        <v>0</v>
      </c>
      <c r="P865" s="21">
        <f t="shared" si="326"/>
        <v>43260</v>
      </c>
      <c r="Q865" s="22">
        <f>VLOOKUP(R865,Referencias!$D$1:$E$13,2,0)</f>
        <v>6</v>
      </c>
      <c r="R865" s="7" t="str">
        <f t="shared" si="327"/>
        <v>JUN</v>
      </c>
      <c r="S865" s="7">
        <f t="shared" si="328"/>
        <v>0</v>
      </c>
      <c r="T865" s="11">
        <f t="shared" si="329"/>
        <v>9</v>
      </c>
      <c r="U865" s="11">
        <f t="shared" si="330"/>
        <v>0</v>
      </c>
      <c r="V865" s="11" t="str">
        <f>VLOOKUP(C865,Referencias!$A$2:$B$33,2,1)</f>
        <v>21 - 22</v>
      </c>
      <c r="W865" s="23" t="str">
        <f t="shared" si="331"/>
        <v/>
      </c>
      <c r="X865" s="11">
        <f t="shared" si="332"/>
        <v>0</v>
      </c>
      <c r="Y865" s="11">
        <f t="shared" si="333"/>
        <v>0</v>
      </c>
      <c r="Z865" s="24">
        <f t="shared" si="334"/>
        <v>0</v>
      </c>
      <c r="AA865" s="25">
        <f t="shared" si="335"/>
        <v>0</v>
      </c>
      <c r="AB865" s="24">
        <f t="shared" si="336"/>
        <v>0</v>
      </c>
      <c r="AC865" s="24">
        <f t="shared" si="337"/>
        <v>0</v>
      </c>
      <c r="AD865" s="24">
        <f t="shared" si="338"/>
        <v>0</v>
      </c>
      <c r="AE865" s="24">
        <f t="shared" si="339"/>
        <v>0</v>
      </c>
      <c r="AF865" s="119" t="str">
        <f>VLOOKUP(P865*1,Referencias!$G:$H,2,0)</f>
        <v>sáb</v>
      </c>
    </row>
    <row r="866" spans="1:32" x14ac:dyDescent="0.25">
      <c r="A866" s="161"/>
      <c r="B866" s="161"/>
      <c r="C866" s="161"/>
      <c r="D866" s="161"/>
      <c r="E866" s="161"/>
      <c r="F866" s="161"/>
      <c r="G866" s="161"/>
      <c r="H866" s="161"/>
      <c r="I866" s="161"/>
      <c r="N866" s="7" t="str">
        <f t="shared" si="324"/>
        <v>#LIM1M171B </v>
      </c>
      <c r="O866" s="7">
        <f t="shared" si="325"/>
        <v>0</v>
      </c>
      <c r="P866" s="21">
        <f t="shared" si="326"/>
        <v>43260</v>
      </c>
      <c r="Q866" s="22">
        <f>VLOOKUP(R866,Referencias!$D$1:$E$13,2,0)</f>
        <v>6</v>
      </c>
      <c r="R866" s="7" t="str">
        <f t="shared" si="327"/>
        <v>JUN</v>
      </c>
      <c r="S866" s="7">
        <f t="shared" si="328"/>
        <v>0</v>
      </c>
      <c r="T866" s="11">
        <f t="shared" si="329"/>
        <v>9</v>
      </c>
      <c r="U866" s="11">
        <f t="shared" si="330"/>
        <v>0</v>
      </c>
      <c r="V866" s="11" t="e">
        <f>VLOOKUP(C866,Referencias!$A$2:$B$33,2,1)</f>
        <v>#N/A</v>
      </c>
      <c r="W866" s="23" t="str">
        <f t="shared" si="331"/>
        <v/>
      </c>
      <c r="X866" s="11">
        <f t="shared" si="332"/>
        <v>0</v>
      </c>
      <c r="Y866" s="11">
        <f t="shared" si="333"/>
        <v>0</v>
      </c>
      <c r="Z866" s="24">
        <f t="shared" si="334"/>
        <v>0</v>
      </c>
      <c r="AA866" s="25">
        <f t="shared" si="335"/>
        <v>0</v>
      </c>
      <c r="AB866" s="24">
        <f t="shared" si="336"/>
        <v>0</v>
      </c>
      <c r="AC866" s="24">
        <f t="shared" si="337"/>
        <v>0</v>
      </c>
      <c r="AD866" s="24">
        <f t="shared" si="338"/>
        <v>0</v>
      </c>
      <c r="AE866" s="24">
        <f t="shared" si="339"/>
        <v>0</v>
      </c>
      <c r="AF866" s="119" t="str">
        <f>VLOOKUP(P866*1,Referencias!$G:$H,2,0)</f>
        <v>sáb</v>
      </c>
    </row>
    <row r="867" spans="1:32" x14ac:dyDescent="0.25">
      <c r="A867" s="162"/>
      <c r="B867" s="162"/>
      <c r="C867" s="162"/>
      <c r="D867" s="162"/>
      <c r="E867" s="162"/>
      <c r="F867" s="162"/>
      <c r="G867" s="162"/>
      <c r="H867" s="162"/>
      <c r="I867" s="162"/>
      <c r="N867" s="7" t="str">
        <f t="shared" si="324"/>
        <v>#LIM1M171B </v>
      </c>
      <c r="O867" s="7">
        <f t="shared" si="325"/>
        <v>0</v>
      </c>
      <c r="P867" s="21">
        <f t="shared" si="326"/>
        <v>43260</v>
      </c>
      <c r="Q867" s="22">
        <f>VLOOKUP(R867,Referencias!$D$1:$E$13,2,0)</f>
        <v>6</v>
      </c>
      <c r="R867" s="7" t="str">
        <f t="shared" si="327"/>
        <v>JUN</v>
      </c>
      <c r="S867" s="7">
        <f t="shared" si="328"/>
        <v>0</v>
      </c>
      <c r="T867" s="11">
        <f t="shared" si="329"/>
        <v>9</v>
      </c>
      <c r="U867" s="11">
        <f t="shared" si="330"/>
        <v>0</v>
      </c>
      <c r="V867" s="11" t="e">
        <f>VLOOKUP(C867,Referencias!$A$2:$B$33,2,1)</f>
        <v>#N/A</v>
      </c>
      <c r="W867" s="23" t="str">
        <f t="shared" si="331"/>
        <v/>
      </c>
      <c r="X867" s="11">
        <f t="shared" si="332"/>
        <v>0</v>
      </c>
      <c r="Y867" s="11">
        <f t="shared" si="333"/>
        <v>0</v>
      </c>
      <c r="Z867" s="24">
        <f t="shared" si="334"/>
        <v>0</v>
      </c>
      <c r="AA867" s="25">
        <f t="shared" si="335"/>
        <v>0</v>
      </c>
      <c r="AB867" s="24">
        <f t="shared" si="336"/>
        <v>0</v>
      </c>
      <c r="AC867" s="24">
        <f t="shared" si="337"/>
        <v>0</v>
      </c>
      <c r="AD867" s="24">
        <f t="shared" si="338"/>
        <v>0</v>
      </c>
      <c r="AE867" s="24">
        <f t="shared" si="339"/>
        <v>0</v>
      </c>
      <c r="AF867" s="119" t="str">
        <f>VLOOKUP(P867*1,Referencias!$G:$H,2,0)</f>
        <v>sáb</v>
      </c>
    </row>
    <row r="868" spans="1:32" x14ac:dyDescent="0.25">
      <c r="A868" s="163"/>
      <c r="B868" s="164" t="s">
        <v>462</v>
      </c>
      <c r="C868" s="134">
        <v>0.91111111111111109</v>
      </c>
      <c r="D868" s="165">
        <v>8.58</v>
      </c>
      <c r="E868" s="165" t="s">
        <v>48</v>
      </c>
      <c r="F868" s="165"/>
      <c r="G868" s="166">
        <v>4.59</v>
      </c>
      <c r="H868" s="167">
        <v>381.31</v>
      </c>
      <c r="I868" s="165"/>
      <c r="N868" s="7" t="str">
        <f t="shared" si="324"/>
        <v>#LIRLMPAFB </v>
      </c>
      <c r="O868" s="7" t="str">
        <f t="shared" si="325"/>
        <v>#LIRLMPAFB </v>
      </c>
      <c r="P868" s="21">
        <f t="shared" si="326"/>
        <v>43260</v>
      </c>
      <c r="Q868" s="22">
        <f>VLOOKUP(R868,Referencias!$D$1:$E$13,2,0)</f>
        <v>6</v>
      </c>
      <c r="R868" s="7" t="str">
        <f t="shared" si="327"/>
        <v>JUN</v>
      </c>
      <c r="S868" s="7">
        <f t="shared" si="328"/>
        <v>0</v>
      </c>
      <c r="T868" s="11">
        <f t="shared" si="329"/>
        <v>9</v>
      </c>
      <c r="U868" s="11">
        <f t="shared" si="330"/>
        <v>0</v>
      </c>
      <c r="V868" s="11" t="str">
        <f>VLOOKUP(C868,Referencias!$A$2:$B$33,2,1)</f>
        <v>21 - 22</v>
      </c>
      <c r="W868" s="23">
        <f t="shared" si="331"/>
        <v>1.9444444444444375E-2</v>
      </c>
      <c r="X868" s="11">
        <f t="shared" si="332"/>
        <v>8.58</v>
      </c>
      <c r="Y868" s="11">
        <f t="shared" si="333"/>
        <v>15.151707727788555</v>
      </c>
      <c r="Z868" s="24">
        <f t="shared" si="334"/>
        <v>4.59</v>
      </c>
      <c r="AA868" s="25">
        <f t="shared" si="335"/>
        <v>9.8357142857143209</v>
      </c>
      <c r="AB868" s="24">
        <f t="shared" si="336"/>
        <v>1</v>
      </c>
      <c r="AC868" s="24">
        <f t="shared" si="337"/>
        <v>3.0071303162196501</v>
      </c>
      <c r="AD868" s="24">
        <f t="shared" si="338"/>
        <v>3.6433659534707519</v>
      </c>
      <c r="AE868" s="24">
        <f t="shared" si="339"/>
        <v>4.3197707724805694</v>
      </c>
      <c r="AF868" s="119" t="str">
        <f>VLOOKUP(P868*1,Referencias!$G:$H,2,0)</f>
        <v>sáb</v>
      </c>
    </row>
    <row r="869" spans="1:32" x14ac:dyDescent="0.25">
      <c r="A869" s="163"/>
      <c r="B869" s="164"/>
      <c r="C869" s="134">
        <v>0.93055555555555547</v>
      </c>
      <c r="D869" s="165"/>
      <c r="E869" s="165"/>
      <c r="F869" s="165"/>
      <c r="G869" s="166"/>
      <c r="H869" s="167"/>
      <c r="I869" s="165"/>
      <c r="N869" s="7" t="str">
        <f t="shared" si="324"/>
        <v>#LIRLMPAFB </v>
      </c>
      <c r="O869" s="7">
        <f t="shared" si="325"/>
        <v>0</v>
      </c>
      <c r="P869" s="21">
        <f t="shared" si="326"/>
        <v>43260</v>
      </c>
      <c r="Q869" s="22">
        <f>VLOOKUP(R869,Referencias!$D$1:$E$13,2,0)</f>
        <v>6</v>
      </c>
      <c r="R869" s="7" t="str">
        <f t="shared" si="327"/>
        <v>JUN</v>
      </c>
      <c r="S869" s="7">
        <f t="shared" si="328"/>
        <v>0</v>
      </c>
      <c r="T869" s="11">
        <f t="shared" si="329"/>
        <v>9</v>
      </c>
      <c r="U869" s="11">
        <f t="shared" si="330"/>
        <v>0</v>
      </c>
      <c r="V869" s="11" t="str">
        <f>VLOOKUP(C869,Referencias!$A$2:$B$33,2,1)</f>
        <v>22 - 23</v>
      </c>
      <c r="W869" s="23" t="str">
        <f t="shared" si="331"/>
        <v/>
      </c>
      <c r="X869" s="11">
        <f t="shared" si="332"/>
        <v>0</v>
      </c>
      <c r="Y869" s="11">
        <f t="shared" si="333"/>
        <v>0</v>
      </c>
      <c r="Z869" s="24">
        <f t="shared" si="334"/>
        <v>0</v>
      </c>
      <c r="AA869" s="25">
        <f t="shared" si="335"/>
        <v>0</v>
      </c>
      <c r="AB869" s="24">
        <f t="shared" si="336"/>
        <v>0</v>
      </c>
      <c r="AC869" s="24">
        <f t="shared" si="337"/>
        <v>0</v>
      </c>
      <c r="AD869" s="24">
        <f t="shared" si="338"/>
        <v>0</v>
      </c>
      <c r="AE869" s="24">
        <f t="shared" si="339"/>
        <v>0</v>
      </c>
      <c r="AF869" s="119" t="str">
        <f>VLOOKUP(P869*1,Referencias!$G:$H,2,0)</f>
        <v>sáb</v>
      </c>
    </row>
    <row r="870" spans="1:32" x14ac:dyDescent="0.25">
      <c r="A870" s="161"/>
      <c r="B870" s="161"/>
      <c r="C870" s="161"/>
      <c r="D870" s="161"/>
      <c r="E870" s="161"/>
      <c r="F870" s="161"/>
      <c r="G870" s="161"/>
      <c r="H870" s="161"/>
      <c r="I870" s="161"/>
      <c r="N870" s="7" t="str">
        <f t="shared" si="324"/>
        <v>#LIRLMPAFB </v>
      </c>
      <c r="O870" s="7">
        <f t="shared" si="325"/>
        <v>0</v>
      </c>
      <c r="P870" s="21">
        <f t="shared" si="326"/>
        <v>43260</v>
      </c>
      <c r="Q870" s="22">
        <f>VLOOKUP(R870,Referencias!$D$1:$E$13,2,0)</f>
        <v>6</v>
      </c>
      <c r="R870" s="7" t="str">
        <f t="shared" si="327"/>
        <v>JUN</v>
      </c>
      <c r="S870" s="7">
        <f t="shared" si="328"/>
        <v>0</v>
      </c>
      <c r="T870" s="11">
        <f t="shared" si="329"/>
        <v>9</v>
      </c>
      <c r="U870" s="11">
        <f t="shared" si="330"/>
        <v>0</v>
      </c>
      <c r="V870" s="11" t="e">
        <f>VLOOKUP(C870,Referencias!$A$2:$B$33,2,1)</f>
        <v>#N/A</v>
      </c>
      <c r="W870" s="23" t="str">
        <f t="shared" si="331"/>
        <v/>
      </c>
      <c r="X870" s="11">
        <f t="shared" si="332"/>
        <v>0</v>
      </c>
      <c r="Y870" s="11">
        <f t="shared" si="333"/>
        <v>0</v>
      </c>
      <c r="Z870" s="24">
        <f t="shared" si="334"/>
        <v>0</v>
      </c>
      <c r="AA870" s="25">
        <f t="shared" si="335"/>
        <v>0</v>
      </c>
      <c r="AB870" s="24">
        <f t="shared" si="336"/>
        <v>0</v>
      </c>
      <c r="AC870" s="24">
        <f t="shared" si="337"/>
        <v>0</v>
      </c>
      <c r="AD870" s="24">
        <f t="shared" si="338"/>
        <v>0</v>
      </c>
      <c r="AE870" s="24">
        <f t="shared" si="339"/>
        <v>0</v>
      </c>
      <c r="AF870" s="119" t="str">
        <f>VLOOKUP(P870*1,Referencias!$G:$H,2,0)</f>
        <v>sáb</v>
      </c>
    </row>
    <row r="871" spans="1:32" x14ac:dyDescent="0.25">
      <c r="A871" s="162"/>
      <c r="B871" s="162"/>
      <c r="C871" s="162"/>
      <c r="D871" s="162"/>
      <c r="E871" s="162"/>
      <c r="F871" s="162"/>
      <c r="G871" s="162"/>
      <c r="H871" s="162"/>
      <c r="I871" s="162"/>
      <c r="N871" s="7" t="str">
        <f t="shared" si="324"/>
        <v>#LIRLMPAFB </v>
      </c>
      <c r="O871" s="7">
        <f t="shared" si="325"/>
        <v>0</v>
      </c>
      <c r="P871" s="21">
        <f t="shared" si="326"/>
        <v>43260</v>
      </c>
      <c r="Q871" s="22">
        <f>VLOOKUP(R871,Referencias!$D$1:$E$13,2,0)</f>
        <v>6</v>
      </c>
      <c r="R871" s="7" t="str">
        <f t="shared" si="327"/>
        <v>JUN</v>
      </c>
      <c r="S871" s="7">
        <f t="shared" si="328"/>
        <v>0</v>
      </c>
      <c r="T871" s="11">
        <f t="shared" si="329"/>
        <v>9</v>
      </c>
      <c r="U871" s="11">
        <f t="shared" si="330"/>
        <v>0</v>
      </c>
      <c r="V871" s="11" t="e">
        <f>VLOOKUP(C871,Referencias!$A$2:$B$33,2,1)</f>
        <v>#N/A</v>
      </c>
      <c r="W871" s="23" t="str">
        <f t="shared" si="331"/>
        <v/>
      </c>
      <c r="X871" s="11">
        <f t="shared" si="332"/>
        <v>0</v>
      </c>
      <c r="Y871" s="11">
        <f t="shared" si="333"/>
        <v>0</v>
      </c>
      <c r="Z871" s="24">
        <f t="shared" si="334"/>
        <v>0</v>
      </c>
      <c r="AA871" s="25">
        <f t="shared" si="335"/>
        <v>0</v>
      </c>
      <c r="AB871" s="24">
        <f t="shared" si="336"/>
        <v>0</v>
      </c>
      <c r="AC871" s="24">
        <f t="shared" si="337"/>
        <v>0</v>
      </c>
      <c r="AD871" s="24">
        <f t="shared" si="338"/>
        <v>0</v>
      </c>
      <c r="AE871" s="24">
        <f t="shared" si="339"/>
        <v>0</v>
      </c>
      <c r="AF871" s="119" t="str">
        <f>VLOOKUP(P871*1,Referencias!$G:$H,2,0)</f>
        <v>sáb</v>
      </c>
    </row>
    <row r="872" spans="1:32" x14ac:dyDescent="0.25">
      <c r="A872" s="163"/>
      <c r="B872" s="164" t="s">
        <v>463</v>
      </c>
      <c r="C872" s="134">
        <v>0.88750000000000007</v>
      </c>
      <c r="D872" s="165">
        <v>11.15</v>
      </c>
      <c r="E872" s="165" t="s">
        <v>59</v>
      </c>
      <c r="F872" s="165"/>
      <c r="G872" s="166">
        <v>5.78</v>
      </c>
      <c r="H872" s="167">
        <v>387.09</v>
      </c>
      <c r="I872" s="165"/>
      <c r="N872" s="7" t="str">
        <f t="shared" si="324"/>
        <v>#LIQZXV4DU </v>
      </c>
      <c r="O872" s="7" t="str">
        <f t="shared" si="325"/>
        <v>#LIQZXV4DU </v>
      </c>
      <c r="P872" s="21">
        <f t="shared" si="326"/>
        <v>43260</v>
      </c>
      <c r="Q872" s="22">
        <f>VLOOKUP(R872,Referencias!$D$1:$E$13,2,0)</f>
        <v>6</v>
      </c>
      <c r="R872" s="7" t="str">
        <f t="shared" si="327"/>
        <v>JUN</v>
      </c>
      <c r="S872" s="7">
        <f t="shared" si="328"/>
        <v>0</v>
      </c>
      <c r="T872" s="11">
        <f t="shared" si="329"/>
        <v>9</v>
      </c>
      <c r="U872" s="11">
        <f t="shared" si="330"/>
        <v>0</v>
      </c>
      <c r="V872" s="11" t="str">
        <f>VLOOKUP(C872,Referencias!$A$2:$B$33,2,1)</f>
        <v>21 - 22</v>
      </c>
      <c r="W872" s="23">
        <f t="shared" si="331"/>
        <v>2.3611111111111027E-2</v>
      </c>
      <c r="X872" s="11">
        <f t="shared" si="332"/>
        <v>11.15</v>
      </c>
      <c r="Y872" s="11">
        <f t="shared" si="333"/>
        <v>19.690156312918695</v>
      </c>
      <c r="Z872" s="24">
        <f t="shared" si="334"/>
        <v>5.78</v>
      </c>
      <c r="AA872" s="25">
        <f t="shared" si="335"/>
        <v>10.200000000000037</v>
      </c>
      <c r="AB872" s="24">
        <f t="shared" si="336"/>
        <v>1</v>
      </c>
      <c r="AC872" s="24">
        <f t="shared" si="337"/>
        <v>3.7867566944988189</v>
      </c>
      <c r="AD872" s="24">
        <f t="shared" si="338"/>
        <v>4.5879423117779847</v>
      </c>
      <c r="AE872" s="24">
        <f t="shared" si="339"/>
        <v>5.4397113431236797</v>
      </c>
      <c r="AF872" s="119" t="str">
        <f>VLOOKUP(P872*1,Referencias!$G:$H,2,0)</f>
        <v>sáb</v>
      </c>
    </row>
    <row r="873" spans="1:32" x14ac:dyDescent="0.25">
      <c r="A873" s="163"/>
      <c r="B873" s="164"/>
      <c r="C873" s="134">
        <v>0.91111111111111109</v>
      </c>
      <c r="D873" s="165"/>
      <c r="E873" s="165"/>
      <c r="F873" s="165"/>
      <c r="G873" s="166"/>
      <c r="H873" s="167"/>
      <c r="I873" s="165"/>
      <c r="N873" s="7" t="str">
        <f t="shared" si="324"/>
        <v>#LIQZXV4DU </v>
      </c>
      <c r="O873" s="7">
        <f t="shared" si="325"/>
        <v>0</v>
      </c>
      <c r="P873" s="21">
        <f t="shared" si="326"/>
        <v>43260</v>
      </c>
      <c r="Q873" s="22">
        <f>VLOOKUP(R873,Referencias!$D$1:$E$13,2,0)</f>
        <v>6</v>
      </c>
      <c r="R873" s="7" t="str">
        <f t="shared" si="327"/>
        <v>JUN</v>
      </c>
      <c r="S873" s="7">
        <f t="shared" si="328"/>
        <v>0</v>
      </c>
      <c r="T873" s="11">
        <f t="shared" si="329"/>
        <v>9</v>
      </c>
      <c r="U873" s="11">
        <f t="shared" si="330"/>
        <v>0</v>
      </c>
      <c r="V873" s="11" t="str">
        <f>VLOOKUP(C873,Referencias!$A$2:$B$33,2,1)</f>
        <v>21 - 22</v>
      </c>
      <c r="W873" s="23" t="str">
        <f t="shared" si="331"/>
        <v/>
      </c>
      <c r="X873" s="11">
        <f t="shared" si="332"/>
        <v>0</v>
      </c>
      <c r="Y873" s="11">
        <f t="shared" si="333"/>
        <v>0</v>
      </c>
      <c r="Z873" s="24">
        <f t="shared" si="334"/>
        <v>0</v>
      </c>
      <c r="AA873" s="25">
        <f t="shared" si="335"/>
        <v>0</v>
      </c>
      <c r="AB873" s="24">
        <f t="shared" si="336"/>
        <v>0</v>
      </c>
      <c r="AC873" s="24">
        <f t="shared" si="337"/>
        <v>0</v>
      </c>
      <c r="AD873" s="24">
        <f t="shared" si="338"/>
        <v>0</v>
      </c>
      <c r="AE873" s="24">
        <f t="shared" si="339"/>
        <v>0</v>
      </c>
      <c r="AF873" s="119" t="str">
        <f>VLOOKUP(P873*1,Referencias!$G:$H,2,0)</f>
        <v>sáb</v>
      </c>
    </row>
    <row r="874" spans="1:32" x14ac:dyDescent="0.25">
      <c r="A874" s="161"/>
      <c r="B874" s="161"/>
      <c r="C874" s="161"/>
      <c r="D874" s="161"/>
      <c r="E874" s="161"/>
      <c r="F874" s="161"/>
      <c r="G874" s="161"/>
      <c r="H874" s="161"/>
      <c r="I874" s="161"/>
      <c r="N874" s="7" t="str">
        <f t="shared" si="324"/>
        <v>#LIQZXV4DU </v>
      </c>
      <c r="O874" s="7">
        <f t="shared" si="325"/>
        <v>0</v>
      </c>
      <c r="P874" s="21">
        <f t="shared" si="326"/>
        <v>43260</v>
      </c>
      <c r="Q874" s="22">
        <f>VLOOKUP(R874,Referencias!$D$1:$E$13,2,0)</f>
        <v>6</v>
      </c>
      <c r="R874" s="7" t="str">
        <f t="shared" si="327"/>
        <v>JUN</v>
      </c>
      <c r="S874" s="7">
        <f t="shared" si="328"/>
        <v>0</v>
      </c>
      <c r="T874" s="11">
        <f t="shared" si="329"/>
        <v>9</v>
      </c>
      <c r="U874" s="11">
        <f t="shared" si="330"/>
        <v>0</v>
      </c>
      <c r="V874" s="11" t="e">
        <f>VLOOKUP(C874,Referencias!$A$2:$B$33,2,1)</f>
        <v>#N/A</v>
      </c>
      <c r="W874" s="23" t="str">
        <f t="shared" si="331"/>
        <v/>
      </c>
      <c r="X874" s="11">
        <f t="shared" si="332"/>
        <v>0</v>
      </c>
      <c r="Y874" s="11">
        <f t="shared" si="333"/>
        <v>0</v>
      </c>
      <c r="Z874" s="24">
        <f t="shared" si="334"/>
        <v>0</v>
      </c>
      <c r="AA874" s="25">
        <f t="shared" si="335"/>
        <v>0</v>
      </c>
      <c r="AB874" s="24">
        <f t="shared" si="336"/>
        <v>0</v>
      </c>
      <c r="AC874" s="24">
        <f t="shared" si="337"/>
        <v>0</v>
      </c>
      <c r="AD874" s="24">
        <f t="shared" si="338"/>
        <v>0</v>
      </c>
      <c r="AE874" s="24">
        <f t="shared" si="339"/>
        <v>0</v>
      </c>
      <c r="AF874" s="119" t="str">
        <f>VLOOKUP(P874*1,Referencias!$G:$H,2,0)</f>
        <v>sáb</v>
      </c>
    </row>
    <row r="875" spans="1:32" x14ac:dyDescent="0.25">
      <c r="A875" s="162"/>
      <c r="B875" s="162"/>
      <c r="C875" s="162"/>
      <c r="D875" s="162"/>
      <c r="E875" s="162"/>
      <c r="F875" s="162"/>
      <c r="G875" s="162"/>
      <c r="H875" s="162"/>
      <c r="I875" s="162"/>
      <c r="N875" s="7" t="str">
        <f t="shared" si="324"/>
        <v>#LIQZXV4DU </v>
      </c>
      <c r="O875" s="7">
        <f t="shared" si="325"/>
        <v>0</v>
      </c>
      <c r="P875" s="21">
        <f t="shared" si="326"/>
        <v>43260</v>
      </c>
      <c r="Q875" s="22">
        <f>VLOOKUP(R875,Referencias!$D$1:$E$13,2,0)</f>
        <v>6</v>
      </c>
      <c r="R875" s="7" t="str">
        <f t="shared" si="327"/>
        <v>JUN</v>
      </c>
      <c r="S875" s="7">
        <f t="shared" si="328"/>
        <v>0</v>
      </c>
      <c r="T875" s="11">
        <f t="shared" si="329"/>
        <v>9</v>
      </c>
      <c r="U875" s="11">
        <f t="shared" si="330"/>
        <v>0</v>
      </c>
      <c r="V875" s="11" t="e">
        <f>VLOOKUP(C875,Referencias!$A$2:$B$33,2,1)</f>
        <v>#N/A</v>
      </c>
      <c r="W875" s="23" t="str">
        <f t="shared" si="331"/>
        <v/>
      </c>
      <c r="X875" s="11">
        <f t="shared" si="332"/>
        <v>0</v>
      </c>
      <c r="Y875" s="11">
        <f t="shared" si="333"/>
        <v>0</v>
      </c>
      <c r="Z875" s="24">
        <f t="shared" si="334"/>
        <v>0</v>
      </c>
      <c r="AA875" s="25">
        <f t="shared" si="335"/>
        <v>0</v>
      </c>
      <c r="AB875" s="24">
        <f t="shared" si="336"/>
        <v>0</v>
      </c>
      <c r="AC875" s="24">
        <f t="shared" si="337"/>
        <v>0</v>
      </c>
      <c r="AD875" s="24">
        <f t="shared" si="338"/>
        <v>0</v>
      </c>
      <c r="AE875" s="24">
        <f t="shared" si="339"/>
        <v>0</v>
      </c>
      <c r="AF875" s="119" t="str">
        <f>VLOOKUP(P875*1,Referencias!$G:$H,2,0)</f>
        <v>sáb</v>
      </c>
    </row>
    <row r="876" spans="1:32" x14ac:dyDescent="0.25">
      <c r="A876" s="163"/>
      <c r="B876" s="164" t="s">
        <v>464</v>
      </c>
      <c r="C876" s="134">
        <v>0.93055555555555547</v>
      </c>
      <c r="D876" s="165">
        <v>7.7</v>
      </c>
      <c r="E876" s="165" t="s">
        <v>48</v>
      </c>
      <c r="F876" s="165"/>
      <c r="G876" s="166">
        <v>4.28</v>
      </c>
      <c r="H876" s="167">
        <v>391.37</v>
      </c>
      <c r="I876" s="165"/>
      <c r="N876" s="7" t="str">
        <f t="shared" si="324"/>
        <v>#LI1369WZW </v>
      </c>
      <c r="O876" s="7" t="str">
        <f t="shared" si="325"/>
        <v>#LI1369WZW </v>
      </c>
      <c r="P876" s="21">
        <f t="shared" si="326"/>
        <v>43260</v>
      </c>
      <c r="Q876" s="22">
        <f>VLOOKUP(R876,Referencias!$D$1:$E$13,2,0)</f>
        <v>6</v>
      </c>
      <c r="R876" s="7" t="str">
        <f t="shared" si="327"/>
        <v>JUN</v>
      </c>
      <c r="S876" s="7">
        <f t="shared" si="328"/>
        <v>0</v>
      </c>
      <c r="T876" s="11">
        <f t="shared" si="329"/>
        <v>9</v>
      </c>
      <c r="U876" s="11">
        <f t="shared" si="330"/>
        <v>0</v>
      </c>
      <c r="V876" s="11" t="str">
        <f>VLOOKUP(C876,Referencias!$A$2:$B$33,2,1)</f>
        <v>22 - 23</v>
      </c>
      <c r="W876" s="23">
        <f t="shared" si="331"/>
        <v>1.736111111111116E-2</v>
      </c>
      <c r="X876" s="11">
        <f t="shared" si="332"/>
        <v>7.7</v>
      </c>
      <c r="Y876" s="11">
        <f t="shared" si="333"/>
        <v>13.597686422374345</v>
      </c>
      <c r="Z876" s="24">
        <f t="shared" si="334"/>
        <v>4.28</v>
      </c>
      <c r="AA876" s="25">
        <f t="shared" si="335"/>
        <v>10.271999999999972</v>
      </c>
      <c r="AB876" s="24">
        <f t="shared" si="336"/>
        <v>1</v>
      </c>
      <c r="AC876" s="24">
        <f t="shared" si="337"/>
        <v>2.8040343689368417</v>
      </c>
      <c r="AD876" s="24">
        <f t="shared" si="338"/>
        <v>3.3972998433234904</v>
      </c>
      <c r="AE876" s="24">
        <f t="shared" si="339"/>
        <v>4.0280215481953894</v>
      </c>
      <c r="AF876" s="119" t="str">
        <f>VLOOKUP(P876*1,Referencias!$G:$H,2,0)</f>
        <v>sáb</v>
      </c>
    </row>
    <row r="877" spans="1:32" x14ac:dyDescent="0.25">
      <c r="A877" s="163"/>
      <c r="B877" s="164"/>
      <c r="C877" s="134">
        <v>0.94791666666666663</v>
      </c>
      <c r="D877" s="165"/>
      <c r="E877" s="165"/>
      <c r="F877" s="165"/>
      <c r="G877" s="166"/>
      <c r="H877" s="167"/>
      <c r="I877" s="165"/>
      <c r="N877" s="7" t="str">
        <f t="shared" si="324"/>
        <v>#LI1369WZW </v>
      </c>
      <c r="O877" s="7">
        <f t="shared" si="325"/>
        <v>0</v>
      </c>
      <c r="P877" s="21">
        <f t="shared" si="326"/>
        <v>43260</v>
      </c>
      <c r="Q877" s="22">
        <f>VLOOKUP(R877,Referencias!$D$1:$E$13,2,0)</f>
        <v>6</v>
      </c>
      <c r="R877" s="7" t="str">
        <f t="shared" si="327"/>
        <v>JUN</v>
      </c>
      <c r="S877" s="7">
        <f t="shared" si="328"/>
        <v>0</v>
      </c>
      <c r="T877" s="11">
        <f t="shared" si="329"/>
        <v>9</v>
      </c>
      <c r="U877" s="11">
        <f t="shared" si="330"/>
        <v>0</v>
      </c>
      <c r="V877" s="11" t="str">
        <f>VLOOKUP(C877,Referencias!$A$2:$B$33,2,1)</f>
        <v>22 - 23</v>
      </c>
      <c r="W877" s="23" t="str">
        <f t="shared" si="331"/>
        <v/>
      </c>
      <c r="X877" s="11">
        <f t="shared" si="332"/>
        <v>0</v>
      </c>
      <c r="Y877" s="11">
        <f t="shared" si="333"/>
        <v>0</v>
      </c>
      <c r="Z877" s="24">
        <f t="shared" si="334"/>
        <v>0</v>
      </c>
      <c r="AA877" s="25">
        <f t="shared" si="335"/>
        <v>0</v>
      </c>
      <c r="AB877" s="24">
        <f t="shared" si="336"/>
        <v>0</v>
      </c>
      <c r="AC877" s="24">
        <f t="shared" si="337"/>
        <v>0</v>
      </c>
      <c r="AD877" s="24">
        <f t="shared" si="338"/>
        <v>0</v>
      </c>
      <c r="AE877" s="24">
        <f t="shared" si="339"/>
        <v>0</v>
      </c>
      <c r="AF877" s="119" t="str">
        <f>VLOOKUP(P877*1,Referencias!$G:$H,2,0)</f>
        <v>sáb</v>
      </c>
    </row>
    <row r="878" spans="1:32" x14ac:dyDescent="0.25">
      <c r="A878" s="161"/>
      <c r="B878" s="161"/>
      <c r="C878" s="161"/>
      <c r="D878" s="161"/>
      <c r="E878" s="161"/>
      <c r="F878" s="161"/>
      <c r="G878" s="161"/>
      <c r="H878" s="161"/>
      <c r="I878" s="161"/>
      <c r="N878" s="7" t="str">
        <f t="shared" si="324"/>
        <v>#LI1369WZW </v>
      </c>
      <c r="O878" s="7">
        <f t="shared" si="325"/>
        <v>0</v>
      </c>
      <c r="P878" s="21">
        <f t="shared" si="326"/>
        <v>43260</v>
      </c>
      <c r="Q878" s="22">
        <f>VLOOKUP(R878,Referencias!$D$1:$E$13,2,0)</f>
        <v>6</v>
      </c>
      <c r="R878" s="7" t="str">
        <f t="shared" si="327"/>
        <v>JUN</v>
      </c>
      <c r="S878" s="7">
        <f t="shared" si="328"/>
        <v>0</v>
      </c>
      <c r="T878" s="11">
        <f t="shared" si="329"/>
        <v>9</v>
      </c>
      <c r="U878" s="11">
        <f t="shared" si="330"/>
        <v>0</v>
      </c>
      <c r="V878" s="11" t="e">
        <f>VLOOKUP(C878,Referencias!$A$2:$B$33,2,1)</f>
        <v>#N/A</v>
      </c>
      <c r="W878" s="23" t="str">
        <f t="shared" si="331"/>
        <v/>
      </c>
      <c r="X878" s="11">
        <f t="shared" si="332"/>
        <v>0</v>
      </c>
      <c r="Y878" s="11">
        <f t="shared" si="333"/>
        <v>0</v>
      </c>
      <c r="Z878" s="24">
        <f t="shared" si="334"/>
        <v>0</v>
      </c>
      <c r="AA878" s="25">
        <f t="shared" si="335"/>
        <v>0</v>
      </c>
      <c r="AB878" s="24">
        <f t="shared" si="336"/>
        <v>0</v>
      </c>
      <c r="AC878" s="24">
        <f t="shared" si="337"/>
        <v>0</v>
      </c>
      <c r="AD878" s="24">
        <f t="shared" si="338"/>
        <v>0</v>
      </c>
      <c r="AE878" s="24">
        <f t="shared" si="339"/>
        <v>0</v>
      </c>
      <c r="AF878" s="119" t="str">
        <f>VLOOKUP(P878*1,Referencias!$G:$H,2,0)</f>
        <v>sáb</v>
      </c>
    </row>
    <row r="879" spans="1:32" x14ac:dyDescent="0.25">
      <c r="A879" s="162"/>
      <c r="B879" s="162"/>
      <c r="C879" s="162"/>
      <c r="D879" s="162"/>
      <c r="E879" s="162"/>
      <c r="F879" s="162"/>
      <c r="G879" s="162"/>
      <c r="H879" s="162"/>
      <c r="I879" s="162"/>
      <c r="N879" s="7" t="str">
        <f t="shared" si="324"/>
        <v>#LI1369WZW </v>
      </c>
      <c r="O879" s="7">
        <f t="shared" si="325"/>
        <v>0</v>
      </c>
      <c r="P879" s="21">
        <f t="shared" si="326"/>
        <v>43260</v>
      </c>
      <c r="Q879" s="22">
        <f>VLOOKUP(R879,Referencias!$D$1:$E$13,2,0)</f>
        <v>6</v>
      </c>
      <c r="R879" s="7" t="str">
        <f t="shared" si="327"/>
        <v>JUN</v>
      </c>
      <c r="S879" s="7">
        <f t="shared" si="328"/>
        <v>0</v>
      </c>
      <c r="T879" s="11">
        <f t="shared" si="329"/>
        <v>9</v>
      </c>
      <c r="U879" s="11">
        <f t="shared" si="330"/>
        <v>0</v>
      </c>
      <c r="V879" s="11" t="e">
        <f>VLOOKUP(C879,Referencias!$A$2:$B$33,2,1)</f>
        <v>#N/A</v>
      </c>
      <c r="W879" s="23" t="str">
        <f t="shared" si="331"/>
        <v/>
      </c>
      <c r="X879" s="11">
        <f t="shared" si="332"/>
        <v>0</v>
      </c>
      <c r="Y879" s="11">
        <f t="shared" si="333"/>
        <v>0</v>
      </c>
      <c r="Z879" s="24">
        <f t="shared" si="334"/>
        <v>0</v>
      </c>
      <c r="AA879" s="25">
        <f t="shared" si="335"/>
        <v>0</v>
      </c>
      <c r="AB879" s="24">
        <f t="shared" si="336"/>
        <v>0</v>
      </c>
      <c r="AC879" s="24">
        <f t="shared" si="337"/>
        <v>0</v>
      </c>
      <c r="AD879" s="24">
        <f t="shared" si="338"/>
        <v>0</v>
      </c>
      <c r="AE879" s="24">
        <f t="shared" si="339"/>
        <v>0</v>
      </c>
      <c r="AF879" s="119" t="str">
        <f>VLOOKUP(P879*1,Referencias!$G:$H,2,0)</f>
        <v>sáb</v>
      </c>
    </row>
    <row r="880" spans="1:32" x14ac:dyDescent="0.25">
      <c r="A880" s="163"/>
      <c r="B880" s="164" t="s">
        <v>465</v>
      </c>
      <c r="C880" s="134">
        <v>0.96458333333333324</v>
      </c>
      <c r="D880" s="165">
        <v>15.32</v>
      </c>
      <c r="E880" s="165" t="s">
        <v>62</v>
      </c>
      <c r="F880" s="165"/>
      <c r="G880" s="166">
        <v>6.92</v>
      </c>
      <c r="H880" s="167">
        <v>398.29</v>
      </c>
      <c r="I880" s="165"/>
      <c r="N880" s="7" t="str">
        <f t="shared" si="324"/>
        <v>#LIDVTT61Y </v>
      </c>
      <c r="O880" s="7" t="str">
        <f t="shared" si="325"/>
        <v>#LIDVTT61Y </v>
      </c>
      <c r="P880" s="21">
        <f t="shared" si="326"/>
        <v>43260</v>
      </c>
      <c r="Q880" s="22">
        <f>VLOOKUP(R880,Referencias!$D$1:$E$13,2,0)</f>
        <v>6</v>
      </c>
      <c r="R880" s="7" t="str">
        <f t="shared" si="327"/>
        <v>JUN</v>
      </c>
      <c r="S880" s="7">
        <f t="shared" si="328"/>
        <v>0</v>
      </c>
      <c r="T880" s="11">
        <f t="shared" si="329"/>
        <v>9</v>
      </c>
      <c r="U880" s="11">
        <f t="shared" si="330"/>
        <v>0</v>
      </c>
      <c r="V880" s="11" t="str">
        <f>VLOOKUP(C880,Referencias!$A$2:$B$33,2,1)</f>
        <v>23 - 24</v>
      </c>
      <c r="W880" s="23">
        <f t="shared" si="331"/>
        <v>2.7083333333333459E-2</v>
      </c>
      <c r="X880" s="11">
        <f t="shared" si="332"/>
        <v>15.32</v>
      </c>
      <c r="Y880" s="11">
        <f t="shared" si="333"/>
        <v>27.054098180620127</v>
      </c>
      <c r="Z880" s="24">
        <f t="shared" si="334"/>
        <v>6.92</v>
      </c>
      <c r="AA880" s="25">
        <f t="shared" si="335"/>
        <v>10.646153846153796</v>
      </c>
      <c r="AB880" s="24">
        <f t="shared" si="336"/>
        <v>1</v>
      </c>
      <c r="AC880" s="24">
        <f t="shared" si="337"/>
        <v>4.533625661925921</v>
      </c>
      <c r="AD880" s="24">
        <f t="shared" si="338"/>
        <v>5.4928305878033994</v>
      </c>
      <c r="AE880" s="24">
        <f t="shared" si="339"/>
        <v>6.5125955872691801</v>
      </c>
      <c r="AF880" s="119" t="str">
        <f>VLOOKUP(P880*1,Referencias!$G:$H,2,0)</f>
        <v>sáb</v>
      </c>
    </row>
    <row r="881" spans="1:32" x14ac:dyDescent="0.25">
      <c r="A881" s="163"/>
      <c r="B881" s="164"/>
      <c r="C881" s="134">
        <v>0.9916666666666667</v>
      </c>
      <c r="D881" s="165"/>
      <c r="E881" s="165"/>
      <c r="F881" s="165"/>
      <c r="G881" s="166"/>
      <c r="H881" s="167"/>
      <c r="I881" s="165"/>
      <c r="N881" s="7" t="str">
        <f t="shared" si="324"/>
        <v>#LIDVTT61Y </v>
      </c>
      <c r="O881" s="7">
        <f t="shared" si="325"/>
        <v>0</v>
      </c>
      <c r="P881" s="21">
        <f t="shared" si="326"/>
        <v>43260</v>
      </c>
      <c r="Q881" s="22">
        <f>VLOOKUP(R881,Referencias!$D$1:$E$13,2,0)</f>
        <v>6</v>
      </c>
      <c r="R881" s="7" t="str">
        <f t="shared" si="327"/>
        <v>JUN</v>
      </c>
      <c r="S881" s="7">
        <f t="shared" si="328"/>
        <v>0</v>
      </c>
      <c r="T881" s="11">
        <f t="shared" si="329"/>
        <v>9</v>
      </c>
      <c r="U881" s="11">
        <f t="shared" si="330"/>
        <v>0</v>
      </c>
      <c r="V881" s="11" t="str">
        <f>VLOOKUP(C881,Referencias!$A$2:$B$33,2,1)</f>
        <v>23 - 24</v>
      </c>
      <c r="W881" s="23" t="str">
        <f t="shared" si="331"/>
        <v/>
      </c>
      <c r="X881" s="11">
        <f t="shared" si="332"/>
        <v>0</v>
      </c>
      <c r="Y881" s="11">
        <f t="shared" si="333"/>
        <v>0</v>
      </c>
      <c r="Z881" s="24">
        <f t="shared" si="334"/>
        <v>0</v>
      </c>
      <c r="AA881" s="25">
        <f t="shared" si="335"/>
        <v>0</v>
      </c>
      <c r="AB881" s="24">
        <f t="shared" si="336"/>
        <v>0</v>
      </c>
      <c r="AC881" s="24">
        <f t="shared" si="337"/>
        <v>0</v>
      </c>
      <c r="AD881" s="24">
        <f t="shared" si="338"/>
        <v>0</v>
      </c>
      <c r="AE881" s="24">
        <f t="shared" si="339"/>
        <v>0</v>
      </c>
      <c r="AF881" s="119" t="str">
        <f>VLOOKUP(P881*1,Referencias!$G:$H,2,0)</f>
        <v>sáb</v>
      </c>
    </row>
    <row r="882" spans="1:32" ht="12.6" thickBot="1" x14ac:dyDescent="0.3">
      <c r="A882" s="172"/>
      <c r="B882" s="172"/>
      <c r="C882" s="172"/>
      <c r="D882" s="172"/>
      <c r="E882" s="172"/>
      <c r="F882" s="172"/>
      <c r="G882" s="172"/>
      <c r="H882" s="172"/>
      <c r="I882" s="172"/>
      <c r="N882" s="7" t="str">
        <f t="shared" si="324"/>
        <v>#LIDVTT61Y </v>
      </c>
      <c r="O882" s="7">
        <f t="shared" si="325"/>
        <v>0</v>
      </c>
      <c r="P882" s="21">
        <f t="shared" si="326"/>
        <v>43260</v>
      </c>
      <c r="Q882" s="22">
        <f>VLOOKUP(R882,Referencias!$D$1:$E$13,2,0)</f>
        <v>6</v>
      </c>
      <c r="R882" s="7" t="str">
        <f t="shared" si="327"/>
        <v>JUN</v>
      </c>
      <c r="S882" s="7">
        <f t="shared" si="328"/>
        <v>0</v>
      </c>
      <c r="T882" s="11">
        <f t="shared" si="329"/>
        <v>9</v>
      </c>
      <c r="U882" s="11">
        <f t="shared" si="330"/>
        <v>0</v>
      </c>
      <c r="V882" s="11" t="e">
        <f>VLOOKUP(C882,Referencias!$A$2:$B$33,2,1)</f>
        <v>#N/A</v>
      </c>
      <c r="W882" s="23" t="str">
        <f t="shared" si="331"/>
        <v/>
      </c>
      <c r="X882" s="11">
        <f t="shared" si="332"/>
        <v>0</v>
      </c>
      <c r="Y882" s="11">
        <f t="shared" si="333"/>
        <v>0</v>
      </c>
      <c r="Z882" s="24">
        <f t="shared" si="334"/>
        <v>0</v>
      </c>
      <c r="AA882" s="25">
        <f t="shared" si="335"/>
        <v>0</v>
      </c>
      <c r="AB882" s="24">
        <f t="shared" si="336"/>
        <v>0</v>
      </c>
      <c r="AC882" s="24">
        <f t="shared" si="337"/>
        <v>0</v>
      </c>
      <c r="AD882" s="24">
        <f t="shared" si="338"/>
        <v>0</v>
      </c>
      <c r="AE882" s="24">
        <f t="shared" si="339"/>
        <v>0</v>
      </c>
      <c r="AF882" s="119" t="str">
        <f>VLOOKUP(P882*1,Referencias!$G:$H,2,0)</f>
        <v>sáb</v>
      </c>
    </row>
    <row r="883" spans="1:32" x14ac:dyDescent="0.25">
      <c r="A883" s="147">
        <v>10</v>
      </c>
      <c r="B883" s="168" t="s">
        <v>466</v>
      </c>
      <c r="C883" s="134">
        <v>0.41805555555555557</v>
      </c>
      <c r="D883" s="169">
        <v>2.44</v>
      </c>
      <c r="E883" s="169" t="s">
        <v>36</v>
      </c>
      <c r="F883" s="169"/>
      <c r="G883" s="170">
        <v>2.35</v>
      </c>
      <c r="H883" s="171">
        <v>400.64</v>
      </c>
      <c r="I883" s="169"/>
      <c r="N883" s="7" t="str">
        <f t="shared" si="324"/>
        <v>#LISZ1PJGS </v>
      </c>
      <c r="O883" s="7" t="str">
        <f t="shared" si="325"/>
        <v>#LISZ1PJGS </v>
      </c>
      <c r="P883" s="21">
        <f t="shared" si="326"/>
        <v>43261</v>
      </c>
      <c r="Q883" s="22">
        <f>VLOOKUP(R883,Referencias!$D$1:$E$13,2,0)</f>
        <v>6</v>
      </c>
      <c r="R883" s="7" t="str">
        <f t="shared" si="327"/>
        <v>JUN</v>
      </c>
      <c r="S883" s="7" t="str">
        <f t="shared" si="328"/>
        <v>JUN</v>
      </c>
      <c r="T883" s="11">
        <f t="shared" si="329"/>
        <v>10</v>
      </c>
      <c r="U883" s="11">
        <f t="shared" si="330"/>
        <v>10</v>
      </c>
      <c r="V883" s="11" t="str">
        <f>VLOOKUP(C883,Referencias!$A$2:$B$33,2,1)</f>
        <v>10 - 11</v>
      </c>
      <c r="W883" s="23">
        <f t="shared" si="331"/>
        <v>2.4999999999999967E-2</v>
      </c>
      <c r="X883" s="11">
        <f t="shared" si="332"/>
        <v>2.44</v>
      </c>
      <c r="Y883" s="11">
        <f t="shared" si="333"/>
        <v>4.308877255921221</v>
      </c>
      <c r="Z883" s="24">
        <f t="shared" si="334"/>
        <v>2.35</v>
      </c>
      <c r="AA883" s="25">
        <f t="shared" si="335"/>
        <v>3.9166666666666718</v>
      </c>
      <c r="AB883" s="24">
        <f t="shared" si="336"/>
        <v>1</v>
      </c>
      <c r="AC883" s="24">
        <f t="shared" si="337"/>
        <v>1.5395983100470976</v>
      </c>
      <c r="AD883" s="24">
        <f t="shared" si="338"/>
        <v>1.8653398672453743</v>
      </c>
      <c r="AE883" s="24">
        <f t="shared" si="339"/>
        <v>2.2116473453876555</v>
      </c>
      <c r="AF883" s="119" t="str">
        <f>VLOOKUP(P883*1,Referencias!$G:$H,2,0)</f>
        <v>dom</v>
      </c>
    </row>
    <row r="884" spans="1:32" x14ac:dyDescent="0.25">
      <c r="A884" s="147" t="s">
        <v>250</v>
      </c>
      <c r="B884" s="164"/>
      <c r="C884" s="134">
        <v>0.44305555555555554</v>
      </c>
      <c r="D884" s="165"/>
      <c r="E884" s="165"/>
      <c r="F884" s="165"/>
      <c r="G884" s="166"/>
      <c r="H884" s="167"/>
      <c r="I884" s="165"/>
      <c r="N884" s="7" t="str">
        <f t="shared" si="324"/>
        <v>#LISZ1PJGS </v>
      </c>
      <c r="O884" s="7">
        <f t="shared" si="325"/>
        <v>0</v>
      </c>
      <c r="P884" s="21">
        <f t="shared" si="326"/>
        <v>43261</v>
      </c>
      <c r="Q884" s="22">
        <f>VLOOKUP(R884,Referencias!$D$1:$E$13,2,0)</f>
        <v>6</v>
      </c>
      <c r="R884" s="7" t="str">
        <f t="shared" si="327"/>
        <v>JUN</v>
      </c>
      <c r="S884" s="7">
        <f t="shared" si="328"/>
        <v>0</v>
      </c>
      <c r="T884" s="11">
        <f t="shared" si="329"/>
        <v>10</v>
      </c>
      <c r="U884" s="11">
        <f t="shared" si="330"/>
        <v>0</v>
      </c>
      <c r="V884" s="11" t="str">
        <f>VLOOKUP(C884,Referencias!$A$2:$B$33,2,1)</f>
        <v>10 - 11</v>
      </c>
      <c r="W884" s="23" t="str">
        <f t="shared" si="331"/>
        <v/>
      </c>
      <c r="X884" s="11">
        <f t="shared" si="332"/>
        <v>0</v>
      </c>
      <c r="Y884" s="11">
        <f t="shared" si="333"/>
        <v>0</v>
      </c>
      <c r="Z884" s="24">
        <f t="shared" si="334"/>
        <v>0</v>
      </c>
      <c r="AA884" s="25">
        <f t="shared" si="335"/>
        <v>0</v>
      </c>
      <c r="AB884" s="24">
        <f t="shared" si="336"/>
        <v>0</v>
      </c>
      <c r="AC884" s="24">
        <f t="shared" si="337"/>
        <v>0</v>
      </c>
      <c r="AD884" s="24">
        <f t="shared" si="338"/>
        <v>0</v>
      </c>
      <c r="AE884" s="24">
        <f t="shared" si="339"/>
        <v>0</v>
      </c>
      <c r="AF884" s="119" t="str">
        <f>VLOOKUP(P884*1,Referencias!$G:$H,2,0)</f>
        <v>dom</v>
      </c>
    </row>
    <row r="885" spans="1:32" x14ac:dyDescent="0.25">
      <c r="A885" s="161"/>
      <c r="B885" s="161"/>
      <c r="C885" s="161"/>
      <c r="D885" s="161"/>
      <c r="E885" s="161"/>
      <c r="F885" s="161"/>
      <c r="G885" s="161"/>
      <c r="H885" s="161"/>
      <c r="I885" s="161"/>
      <c r="N885" s="7" t="str">
        <f t="shared" si="324"/>
        <v>#LISZ1PJGS </v>
      </c>
      <c r="O885" s="7">
        <f t="shared" si="325"/>
        <v>0</v>
      </c>
      <c r="P885" s="21">
        <f t="shared" si="326"/>
        <v>43261</v>
      </c>
      <c r="Q885" s="22">
        <f>VLOOKUP(R885,Referencias!$D$1:$E$13,2,0)</f>
        <v>6</v>
      </c>
      <c r="R885" s="7" t="str">
        <f t="shared" si="327"/>
        <v>JUN</v>
      </c>
      <c r="S885" s="7">
        <f t="shared" si="328"/>
        <v>0</v>
      </c>
      <c r="T885" s="11">
        <f t="shared" si="329"/>
        <v>10</v>
      </c>
      <c r="U885" s="11">
        <f t="shared" si="330"/>
        <v>0</v>
      </c>
      <c r="V885" s="11" t="e">
        <f>VLOOKUP(C885,Referencias!$A$2:$B$33,2,1)</f>
        <v>#N/A</v>
      </c>
      <c r="W885" s="23" t="str">
        <f t="shared" si="331"/>
        <v/>
      </c>
      <c r="X885" s="11">
        <f t="shared" si="332"/>
        <v>0</v>
      </c>
      <c r="Y885" s="11">
        <f t="shared" si="333"/>
        <v>0</v>
      </c>
      <c r="Z885" s="24">
        <f t="shared" si="334"/>
        <v>0</v>
      </c>
      <c r="AA885" s="25">
        <f t="shared" si="335"/>
        <v>0</v>
      </c>
      <c r="AB885" s="24">
        <f t="shared" si="336"/>
        <v>0</v>
      </c>
      <c r="AC885" s="24">
        <f t="shared" si="337"/>
        <v>0</v>
      </c>
      <c r="AD885" s="24">
        <f t="shared" si="338"/>
        <v>0</v>
      </c>
      <c r="AE885" s="24">
        <f t="shared" si="339"/>
        <v>0</v>
      </c>
      <c r="AF885" s="119" t="str">
        <f>VLOOKUP(P885*1,Referencias!$G:$H,2,0)</f>
        <v>dom</v>
      </c>
    </row>
    <row r="886" spans="1:32" x14ac:dyDescent="0.25">
      <c r="A886" s="162"/>
      <c r="B886" s="162"/>
      <c r="C886" s="162"/>
      <c r="D886" s="162"/>
      <c r="E886" s="162"/>
      <c r="F886" s="162"/>
      <c r="G886" s="162"/>
      <c r="H886" s="162"/>
      <c r="I886" s="162"/>
      <c r="N886" s="7" t="str">
        <f t="shared" si="324"/>
        <v>#LISZ1PJGS </v>
      </c>
      <c r="O886" s="7">
        <f t="shared" si="325"/>
        <v>0</v>
      </c>
      <c r="P886" s="21">
        <f t="shared" si="326"/>
        <v>43261</v>
      </c>
      <c r="Q886" s="22">
        <f>VLOOKUP(R886,Referencias!$D$1:$E$13,2,0)</f>
        <v>6</v>
      </c>
      <c r="R886" s="7" t="str">
        <f t="shared" si="327"/>
        <v>JUN</v>
      </c>
      <c r="S886" s="7">
        <f t="shared" si="328"/>
        <v>0</v>
      </c>
      <c r="T886" s="11">
        <f t="shared" si="329"/>
        <v>10</v>
      </c>
      <c r="U886" s="11">
        <f t="shared" si="330"/>
        <v>0</v>
      </c>
      <c r="V886" s="11" t="e">
        <f>VLOOKUP(C886,Referencias!$A$2:$B$33,2,1)</f>
        <v>#N/A</v>
      </c>
      <c r="W886" s="23" t="str">
        <f t="shared" si="331"/>
        <v/>
      </c>
      <c r="X886" s="11">
        <f t="shared" si="332"/>
        <v>0</v>
      </c>
      <c r="Y886" s="11">
        <f t="shared" si="333"/>
        <v>0</v>
      </c>
      <c r="Z886" s="24">
        <f t="shared" si="334"/>
        <v>0</v>
      </c>
      <c r="AA886" s="25">
        <f t="shared" si="335"/>
        <v>0</v>
      </c>
      <c r="AB886" s="24">
        <f t="shared" si="336"/>
        <v>0</v>
      </c>
      <c r="AC886" s="24">
        <f t="shared" si="337"/>
        <v>0</v>
      </c>
      <c r="AD886" s="24">
        <f t="shared" si="338"/>
        <v>0</v>
      </c>
      <c r="AE886" s="24">
        <f t="shared" si="339"/>
        <v>0</v>
      </c>
      <c r="AF886" s="119" t="str">
        <f>VLOOKUP(P886*1,Referencias!$G:$H,2,0)</f>
        <v>dom</v>
      </c>
    </row>
    <row r="887" spans="1:32" x14ac:dyDescent="0.25">
      <c r="A887" s="163"/>
      <c r="B887" s="164" t="s">
        <v>467</v>
      </c>
      <c r="C887" s="134">
        <v>0.44305555555555554</v>
      </c>
      <c r="D887" s="165">
        <v>4.08</v>
      </c>
      <c r="E887" s="165" t="s">
        <v>48</v>
      </c>
      <c r="F887" s="165"/>
      <c r="G887" s="166">
        <v>3.04</v>
      </c>
      <c r="H887" s="167">
        <v>403.68</v>
      </c>
      <c r="I887" s="147" t="s">
        <v>347</v>
      </c>
      <c r="N887" s="7" t="str">
        <f t="shared" si="324"/>
        <v>#LIJX1LUBX </v>
      </c>
      <c r="O887" s="7" t="str">
        <f t="shared" si="325"/>
        <v>#LIJX1LUBX </v>
      </c>
      <c r="P887" s="21">
        <f t="shared" si="326"/>
        <v>43261</v>
      </c>
      <c r="Q887" s="22">
        <f>VLOOKUP(R887,Referencias!$D$1:$E$13,2,0)</f>
        <v>6</v>
      </c>
      <c r="R887" s="7" t="str">
        <f t="shared" si="327"/>
        <v>JUN</v>
      </c>
      <c r="S887" s="7">
        <f t="shared" si="328"/>
        <v>0</v>
      </c>
      <c r="T887" s="11">
        <f t="shared" si="329"/>
        <v>10</v>
      </c>
      <c r="U887" s="11">
        <f t="shared" si="330"/>
        <v>0</v>
      </c>
      <c r="V887" s="11" t="str">
        <f>VLOOKUP(C887,Referencias!$A$2:$B$33,2,1)</f>
        <v>10 - 11</v>
      </c>
      <c r="W887" s="23">
        <f t="shared" si="331"/>
        <v>1.9444444444444431E-2</v>
      </c>
      <c r="X887" s="11">
        <f t="shared" si="332"/>
        <v>4.08</v>
      </c>
      <c r="Y887" s="11">
        <f t="shared" si="333"/>
        <v>7.2050078705567957</v>
      </c>
      <c r="Z887" s="24">
        <f t="shared" si="334"/>
        <v>3.04</v>
      </c>
      <c r="AA887" s="25">
        <f t="shared" si="335"/>
        <v>6.5142857142857187</v>
      </c>
      <c r="AB887" s="24">
        <f t="shared" si="336"/>
        <v>1</v>
      </c>
      <c r="AC887" s="24">
        <f t="shared" si="337"/>
        <v>1.991650579805607</v>
      </c>
      <c r="AD887" s="24">
        <f t="shared" si="338"/>
        <v>2.4130354027344416</v>
      </c>
      <c r="AE887" s="24">
        <f t="shared" si="339"/>
        <v>2.8610246510546689</v>
      </c>
      <c r="AF887" s="119" t="str">
        <f>VLOOKUP(P887*1,Referencias!$G:$H,2,0)</f>
        <v>dom</v>
      </c>
    </row>
    <row r="888" spans="1:32" x14ac:dyDescent="0.25">
      <c r="A888" s="163"/>
      <c r="B888" s="164"/>
      <c r="C888" s="134">
        <v>0.46249999999999997</v>
      </c>
      <c r="D888" s="165"/>
      <c r="E888" s="165"/>
      <c r="F888" s="165"/>
      <c r="G888" s="166"/>
      <c r="H888" s="167"/>
      <c r="I888" s="147" t="s">
        <v>468</v>
      </c>
      <c r="N888" s="7" t="str">
        <f t="shared" si="324"/>
        <v>#LIJX1LUBX </v>
      </c>
      <c r="O888" s="7">
        <f t="shared" si="325"/>
        <v>0</v>
      </c>
      <c r="P888" s="21">
        <f t="shared" si="326"/>
        <v>43261</v>
      </c>
      <c r="Q888" s="22">
        <f>VLOOKUP(R888,Referencias!$D$1:$E$13,2,0)</f>
        <v>6</v>
      </c>
      <c r="R888" s="7" t="str">
        <f t="shared" si="327"/>
        <v>JUN</v>
      </c>
      <c r="S888" s="7">
        <f t="shared" si="328"/>
        <v>0</v>
      </c>
      <c r="T888" s="11">
        <f t="shared" si="329"/>
        <v>10</v>
      </c>
      <c r="U888" s="11">
        <f t="shared" si="330"/>
        <v>0</v>
      </c>
      <c r="V888" s="11" t="str">
        <f>VLOOKUP(C888,Referencias!$A$2:$B$33,2,1)</f>
        <v>11 - 12</v>
      </c>
      <c r="W888" s="23" t="str">
        <f t="shared" si="331"/>
        <v/>
      </c>
      <c r="X888" s="11">
        <f t="shared" si="332"/>
        <v>0</v>
      </c>
      <c r="Y888" s="11">
        <f t="shared" si="333"/>
        <v>0</v>
      </c>
      <c r="Z888" s="24">
        <f t="shared" si="334"/>
        <v>0</v>
      </c>
      <c r="AA888" s="25">
        <f t="shared" si="335"/>
        <v>0</v>
      </c>
      <c r="AB888" s="24">
        <f t="shared" si="336"/>
        <v>0</v>
      </c>
      <c r="AC888" s="24">
        <f t="shared" si="337"/>
        <v>0</v>
      </c>
      <c r="AD888" s="24">
        <f t="shared" si="338"/>
        <v>0</v>
      </c>
      <c r="AE888" s="24">
        <f t="shared" si="339"/>
        <v>0</v>
      </c>
      <c r="AF888" s="119" t="str">
        <f>VLOOKUP(P888*1,Referencias!$G:$H,2,0)</f>
        <v>dom</v>
      </c>
    </row>
    <row r="889" spans="1:32" x14ac:dyDescent="0.25">
      <c r="A889" s="161"/>
      <c r="B889" s="161"/>
      <c r="C889" s="161"/>
      <c r="D889" s="161"/>
      <c r="E889" s="161"/>
      <c r="F889" s="161"/>
      <c r="G889" s="161"/>
      <c r="H889" s="161"/>
      <c r="I889" s="161"/>
      <c r="N889" s="7" t="str">
        <f t="shared" si="324"/>
        <v>#LIJX1LUBX </v>
      </c>
      <c r="O889" s="7">
        <f t="shared" si="325"/>
        <v>0</v>
      </c>
      <c r="P889" s="21">
        <f t="shared" si="326"/>
        <v>43261</v>
      </c>
      <c r="Q889" s="22">
        <f>VLOOKUP(R889,Referencias!$D$1:$E$13,2,0)</f>
        <v>6</v>
      </c>
      <c r="R889" s="7" t="str">
        <f t="shared" si="327"/>
        <v>JUN</v>
      </c>
      <c r="S889" s="7">
        <f t="shared" si="328"/>
        <v>0</v>
      </c>
      <c r="T889" s="11">
        <f t="shared" si="329"/>
        <v>10</v>
      </c>
      <c r="U889" s="11">
        <f t="shared" si="330"/>
        <v>0</v>
      </c>
      <c r="V889" s="11" t="e">
        <f>VLOOKUP(C889,Referencias!$A$2:$B$33,2,1)</f>
        <v>#N/A</v>
      </c>
      <c r="W889" s="23" t="str">
        <f t="shared" si="331"/>
        <v/>
      </c>
      <c r="X889" s="11">
        <f t="shared" si="332"/>
        <v>0</v>
      </c>
      <c r="Y889" s="11">
        <f t="shared" si="333"/>
        <v>0</v>
      </c>
      <c r="Z889" s="24">
        <f t="shared" si="334"/>
        <v>0</v>
      </c>
      <c r="AA889" s="25">
        <f t="shared" si="335"/>
        <v>0</v>
      </c>
      <c r="AB889" s="24">
        <f t="shared" si="336"/>
        <v>0</v>
      </c>
      <c r="AC889" s="24">
        <f t="shared" si="337"/>
        <v>0</v>
      </c>
      <c r="AD889" s="24">
        <f t="shared" si="338"/>
        <v>0</v>
      </c>
      <c r="AE889" s="24">
        <f t="shared" si="339"/>
        <v>0</v>
      </c>
      <c r="AF889" s="119" t="str">
        <f>VLOOKUP(P889*1,Referencias!$G:$H,2,0)</f>
        <v>dom</v>
      </c>
    </row>
    <row r="890" spans="1:32" x14ac:dyDescent="0.25">
      <c r="A890" s="162"/>
      <c r="B890" s="162"/>
      <c r="C890" s="162"/>
      <c r="D890" s="162"/>
      <c r="E890" s="162"/>
      <c r="F890" s="162"/>
      <c r="G890" s="162"/>
      <c r="H890" s="162"/>
      <c r="I890" s="162"/>
      <c r="N890" s="7" t="str">
        <f t="shared" si="324"/>
        <v>#LIJX1LUBX </v>
      </c>
      <c r="O890" s="7">
        <f t="shared" si="325"/>
        <v>0</v>
      </c>
      <c r="P890" s="21">
        <f t="shared" si="326"/>
        <v>43261</v>
      </c>
      <c r="Q890" s="22">
        <f>VLOOKUP(R890,Referencias!$D$1:$E$13,2,0)</f>
        <v>6</v>
      </c>
      <c r="R890" s="7" t="str">
        <f t="shared" si="327"/>
        <v>JUN</v>
      </c>
      <c r="S890" s="7">
        <f t="shared" si="328"/>
        <v>0</v>
      </c>
      <c r="T890" s="11">
        <f t="shared" si="329"/>
        <v>10</v>
      </c>
      <c r="U890" s="11">
        <f t="shared" si="330"/>
        <v>0</v>
      </c>
      <c r="V890" s="11" t="e">
        <f>VLOOKUP(C890,Referencias!$A$2:$B$33,2,1)</f>
        <v>#N/A</v>
      </c>
      <c r="W890" s="23" t="str">
        <f t="shared" si="331"/>
        <v/>
      </c>
      <c r="X890" s="11">
        <f t="shared" si="332"/>
        <v>0</v>
      </c>
      <c r="Y890" s="11">
        <f t="shared" si="333"/>
        <v>0</v>
      </c>
      <c r="Z890" s="24">
        <f t="shared" si="334"/>
        <v>0</v>
      </c>
      <c r="AA890" s="25">
        <f t="shared" si="335"/>
        <v>0</v>
      </c>
      <c r="AB890" s="24">
        <f t="shared" si="336"/>
        <v>0</v>
      </c>
      <c r="AC890" s="24">
        <f t="shared" si="337"/>
        <v>0</v>
      </c>
      <c r="AD890" s="24">
        <f t="shared" si="338"/>
        <v>0</v>
      </c>
      <c r="AE890" s="24">
        <f t="shared" si="339"/>
        <v>0</v>
      </c>
      <c r="AF890" s="119" t="str">
        <f>VLOOKUP(P890*1,Referencias!$G:$H,2,0)</f>
        <v>dom</v>
      </c>
    </row>
    <row r="891" spans="1:32" x14ac:dyDescent="0.25">
      <c r="A891" s="163"/>
      <c r="B891" s="164" t="s">
        <v>469</v>
      </c>
      <c r="C891" s="134">
        <v>0.46875</v>
      </c>
      <c r="D891" s="165">
        <v>5.59</v>
      </c>
      <c r="E891" s="165" t="s">
        <v>230</v>
      </c>
      <c r="F891" s="165"/>
      <c r="G891" s="166">
        <v>4.22</v>
      </c>
      <c r="H891" s="167">
        <v>407.9</v>
      </c>
      <c r="I891" s="147" t="s">
        <v>416</v>
      </c>
      <c r="N891" s="7" t="str">
        <f t="shared" si="324"/>
        <v>#LIJ1RSW4X </v>
      </c>
      <c r="O891" s="7" t="str">
        <f t="shared" si="325"/>
        <v>#LIJ1RSW4X </v>
      </c>
      <c r="P891" s="21">
        <f t="shared" si="326"/>
        <v>43261</v>
      </c>
      <c r="Q891" s="22">
        <f>VLOOKUP(R891,Referencias!$D$1:$E$13,2,0)</f>
        <v>6</v>
      </c>
      <c r="R891" s="7" t="str">
        <f t="shared" si="327"/>
        <v>JUN</v>
      </c>
      <c r="S891" s="7">
        <f t="shared" si="328"/>
        <v>0</v>
      </c>
      <c r="T891" s="11">
        <f t="shared" si="329"/>
        <v>10</v>
      </c>
      <c r="U891" s="11">
        <f t="shared" si="330"/>
        <v>0</v>
      </c>
      <c r="V891" s="11" t="str">
        <f>VLOOKUP(C891,Referencias!$A$2:$B$33,2,1)</f>
        <v>11 - 12</v>
      </c>
      <c r="W891" s="23">
        <f t="shared" si="331"/>
        <v>3.8888888888888862E-2</v>
      </c>
      <c r="X891" s="11">
        <f t="shared" si="332"/>
        <v>5.59</v>
      </c>
      <c r="Y891" s="11">
        <f t="shared" si="333"/>
        <v>9.8715671559834526</v>
      </c>
      <c r="Z891" s="24">
        <f t="shared" si="334"/>
        <v>4.22</v>
      </c>
      <c r="AA891" s="25">
        <f t="shared" si="335"/>
        <v>4.521428571428574</v>
      </c>
      <c r="AB891" s="24">
        <f t="shared" si="336"/>
        <v>1</v>
      </c>
      <c r="AC891" s="24">
        <f t="shared" si="337"/>
        <v>2.764725475914362</v>
      </c>
      <c r="AD891" s="24">
        <f t="shared" si="338"/>
        <v>3.3496741445853102</v>
      </c>
      <c r="AE891" s="24">
        <f t="shared" si="339"/>
        <v>3.9715539563982571</v>
      </c>
      <c r="AF891" s="119" t="str">
        <f>VLOOKUP(P891*1,Referencias!$G:$H,2,0)</f>
        <v>dom</v>
      </c>
    </row>
    <row r="892" spans="1:32" x14ac:dyDescent="0.25">
      <c r="A892" s="163"/>
      <c r="B892" s="164"/>
      <c r="C892" s="134">
        <v>0.50763888888888886</v>
      </c>
      <c r="D892" s="165"/>
      <c r="E892" s="165"/>
      <c r="F892" s="165"/>
      <c r="G892" s="166"/>
      <c r="H892" s="167"/>
      <c r="I892" s="147" t="s">
        <v>416</v>
      </c>
      <c r="N892" s="7" t="str">
        <f t="shared" si="324"/>
        <v>#LIJ1RSW4X </v>
      </c>
      <c r="O892" s="7">
        <f t="shared" si="325"/>
        <v>0</v>
      </c>
      <c r="P892" s="21">
        <f t="shared" si="326"/>
        <v>43261</v>
      </c>
      <c r="Q892" s="22">
        <f>VLOOKUP(R892,Referencias!$D$1:$E$13,2,0)</f>
        <v>6</v>
      </c>
      <c r="R892" s="7" t="str">
        <f t="shared" si="327"/>
        <v>JUN</v>
      </c>
      <c r="S892" s="7">
        <f t="shared" si="328"/>
        <v>0</v>
      </c>
      <c r="T892" s="11">
        <f t="shared" si="329"/>
        <v>10</v>
      </c>
      <c r="U892" s="11">
        <f t="shared" si="330"/>
        <v>0</v>
      </c>
      <c r="V892" s="11" t="str">
        <f>VLOOKUP(C892,Referencias!$A$2:$B$33,2,1)</f>
        <v>12 - 13</v>
      </c>
      <c r="W892" s="23" t="str">
        <f t="shared" si="331"/>
        <v/>
      </c>
      <c r="X892" s="11">
        <f t="shared" si="332"/>
        <v>0</v>
      </c>
      <c r="Y892" s="11">
        <f t="shared" si="333"/>
        <v>0</v>
      </c>
      <c r="Z892" s="24">
        <f t="shared" si="334"/>
        <v>0</v>
      </c>
      <c r="AA892" s="25">
        <f t="shared" si="335"/>
        <v>0</v>
      </c>
      <c r="AB892" s="24">
        <f t="shared" si="336"/>
        <v>0</v>
      </c>
      <c r="AC892" s="24">
        <f t="shared" si="337"/>
        <v>0</v>
      </c>
      <c r="AD892" s="24">
        <f t="shared" si="338"/>
        <v>0</v>
      </c>
      <c r="AE892" s="24">
        <f t="shared" si="339"/>
        <v>0</v>
      </c>
      <c r="AF892" s="119" t="str">
        <f>VLOOKUP(P892*1,Referencias!$G:$H,2,0)</f>
        <v>dom</v>
      </c>
    </row>
    <row r="893" spans="1:32" x14ac:dyDescent="0.25">
      <c r="A893" s="163"/>
      <c r="B893" s="164"/>
      <c r="C893" s="148"/>
      <c r="D893" s="165"/>
      <c r="E893" s="165"/>
      <c r="F893" s="165"/>
      <c r="G893" s="166"/>
      <c r="H893" s="167"/>
      <c r="I893" s="147" t="s">
        <v>470</v>
      </c>
      <c r="N893" s="7" t="str">
        <f t="shared" si="324"/>
        <v>#LIJ1RSW4X </v>
      </c>
      <c r="O893" s="7">
        <f t="shared" si="325"/>
        <v>0</v>
      </c>
      <c r="P893" s="21">
        <f t="shared" si="326"/>
        <v>43261</v>
      </c>
      <c r="Q893" s="22">
        <f>VLOOKUP(R893,Referencias!$D$1:$E$13,2,0)</f>
        <v>6</v>
      </c>
      <c r="R893" s="7" t="str">
        <f t="shared" si="327"/>
        <v>JUN</v>
      </c>
      <c r="S893" s="7">
        <f t="shared" si="328"/>
        <v>0</v>
      </c>
      <c r="T893" s="11">
        <f t="shared" si="329"/>
        <v>10</v>
      </c>
      <c r="U893" s="11">
        <f t="shared" si="330"/>
        <v>0</v>
      </c>
      <c r="V893" s="11" t="e">
        <f>VLOOKUP(C893,Referencias!$A$2:$B$33,2,1)</f>
        <v>#N/A</v>
      </c>
      <c r="W893" s="23" t="str">
        <f t="shared" si="331"/>
        <v/>
      </c>
      <c r="X893" s="11">
        <f t="shared" si="332"/>
        <v>0</v>
      </c>
      <c r="Y893" s="11">
        <f t="shared" si="333"/>
        <v>0</v>
      </c>
      <c r="Z893" s="24">
        <f t="shared" si="334"/>
        <v>0</v>
      </c>
      <c r="AA893" s="25">
        <f t="shared" si="335"/>
        <v>0</v>
      </c>
      <c r="AB893" s="24">
        <f t="shared" si="336"/>
        <v>0</v>
      </c>
      <c r="AC893" s="24">
        <f t="shared" si="337"/>
        <v>0</v>
      </c>
      <c r="AD893" s="24">
        <f t="shared" si="338"/>
        <v>0</v>
      </c>
      <c r="AE893" s="24">
        <f t="shared" si="339"/>
        <v>0</v>
      </c>
      <c r="AF893" s="119" t="str">
        <f>VLOOKUP(P893*1,Referencias!$G:$H,2,0)</f>
        <v>dom</v>
      </c>
    </row>
    <row r="894" spans="1:32" x14ac:dyDescent="0.25">
      <c r="A894" s="161"/>
      <c r="B894" s="161"/>
      <c r="C894" s="161"/>
      <c r="D894" s="161"/>
      <c r="E894" s="161"/>
      <c r="F894" s="161"/>
      <c r="G894" s="161"/>
      <c r="H894" s="161"/>
      <c r="I894" s="161"/>
      <c r="N894" s="7" t="str">
        <f t="shared" si="324"/>
        <v>#LIJ1RSW4X </v>
      </c>
      <c r="O894" s="7">
        <f t="shared" si="325"/>
        <v>0</v>
      </c>
      <c r="P894" s="21">
        <f t="shared" si="326"/>
        <v>43261</v>
      </c>
      <c r="Q894" s="22">
        <f>VLOOKUP(R894,Referencias!$D$1:$E$13,2,0)</f>
        <v>6</v>
      </c>
      <c r="R894" s="7" t="str">
        <f t="shared" si="327"/>
        <v>JUN</v>
      </c>
      <c r="S894" s="7">
        <f t="shared" si="328"/>
        <v>0</v>
      </c>
      <c r="T894" s="11">
        <f t="shared" si="329"/>
        <v>10</v>
      </c>
      <c r="U894" s="11">
        <f t="shared" si="330"/>
        <v>0</v>
      </c>
      <c r="V894" s="11" t="e">
        <f>VLOOKUP(C894,Referencias!$A$2:$B$33,2,1)</f>
        <v>#N/A</v>
      </c>
      <c r="W894" s="23" t="str">
        <f t="shared" si="331"/>
        <v/>
      </c>
      <c r="X894" s="11">
        <f t="shared" si="332"/>
        <v>0</v>
      </c>
      <c r="Y894" s="11">
        <f t="shared" si="333"/>
        <v>0</v>
      </c>
      <c r="Z894" s="24">
        <f t="shared" si="334"/>
        <v>0</v>
      </c>
      <c r="AA894" s="25">
        <f t="shared" si="335"/>
        <v>0</v>
      </c>
      <c r="AB894" s="24">
        <f t="shared" si="336"/>
        <v>0</v>
      </c>
      <c r="AC894" s="24">
        <f t="shared" si="337"/>
        <v>0</v>
      </c>
      <c r="AD894" s="24">
        <f t="shared" si="338"/>
        <v>0</v>
      </c>
      <c r="AE894" s="24">
        <f t="shared" si="339"/>
        <v>0</v>
      </c>
      <c r="AF894" s="119" t="str">
        <f>VLOOKUP(P894*1,Referencias!$G:$H,2,0)</f>
        <v>dom</v>
      </c>
    </row>
    <row r="895" spans="1:32" x14ac:dyDescent="0.25">
      <c r="A895" s="162"/>
      <c r="B895" s="162"/>
      <c r="C895" s="162"/>
      <c r="D895" s="162"/>
      <c r="E895" s="162"/>
      <c r="F895" s="162"/>
      <c r="G895" s="162"/>
      <c r="H895" s="162"/>
      <c r="I895" s="162"/>
      <c r="N895" s="7" t="str">
        <f t="shared" si="324"/>
        <v>#LIJ1RSW4X </v>
      </c>
      <c r="O895" s="7">
        <f t="shared" si="325"/>
        <v>0</v>
      </c>
      <c r="P895" s="21">
        <f t="shared" si="326"/>
        <v>43261</v>
      </c>
      <c r="Q895" s="22">
        <f>VLOOKUP(R895,Referencias!$D$1:$E$13,2,0)</f>
        <v>6</v>
      </c>
      <c r="R895" s="7" t="str">
        <f t="shared" si="327"/>
        <v>JUN</v>
      </c>
      <c r="S895" s="7">
        <f t="shared" si="328"/>
        <v>0</v>
      </c>
      <c r="T895" s="11">
        <f t="shared" si="329"/>
        <v>10</v>
      </c>
      <c r="U895" s="11">
        <f t="shared" si="330"/>
        <v>0</v>
      </c>
      <c r="V895" s="11" t="e">
        <f>VLOOKUP(C895,Referencias!$A$2:$B$33,2,1)</f>
        <v>#N/A</v>
      </c>
      <c r="W895" s="23" t="str">
        <f t="shared" si="331"/>
        <v/>
      </c>
      <c r="X895" s="11">
        <f t="shared" si="332"/>
        <v>0</v>
      </c>
      <c r="Y895" s="11">
        <f t="shared" si="333"/>
        <v>0</v>
      </c>
      <c r="Z895" s="24">
        <f t="shared" si="334"/>
        <v>0</v>
      </c>
      <c r="AA895" s="25">
        <f t="shared" si="335"/>
        <v>0</v>
      </c>
      <c r="AB895" s="24">
        <f t="shared" si="336"/>
        <v>0</v>
      </c>
      <c r="AC895" s="24">
        <f t="shared" si="337"/>
        <v>0</v>
      </c>
      <c r="AD895" s="24">
        <f t="shared" si="338"/>
        <v>0</v>
      </c>
      <c r="AE895" s="24">
        <f t="shared" si="339"/>
        <v>0</v>
      </c>
      <c r="AF895" s="119" t="str">
        <f>VLOOKUP(P895*1,Referencias!$G:$H,2,0)</f>
        <v>dom</v>
      </c>
    </row>
    <row r="896" spans="1:32" x14ac:dyDescent="0.25">
      <c r="A896" s="163"/>
      <c r="B896" s="164" t="s">
        <v>471</v>
      </c>
      <c r="C896" s="134">
        <v>0.50763888888888886</v>
      </c>
      <c r="D896" s="165">
        <v>10.16</v>
      </c>
      <c r="E896" s="165" t="s">
        <v>24</v>
      </c>
      <c r="F896" s="165"/>
      <c r="G896" s="166">
        <v>5.19</v>
      </c>
      <c r="H896" s="167">
        <v>413.09</v>
      </c>
      <c r="I896" s="165"/>
      <c r="N896" s="7" t="str">
        <f t="shared" si="324"/>
        <v>#LINFHGRHR </v>
      </c>
      <c r="O896" s="7" t="str">
        <f t="shared" si="325"/>
        <v>#LINFHGRHR </v>
      </c>
      <c r="P896" s="21">
        <f t="shared" si="326"/>
        <v>43261</v>
      </c>
      <c r="Q896" s="22">
        <f>VLOOKUP(R896,Referencias!$D$1:$E$13,2,0)</f>
        <v>6</v>
      </c>
      <c r="R896" s="7" t="str">
        <f t="shared" si="327"/>
        <v>JUN</v>
      </c>
      <c r="S896" s="7">
        <f t="shared" si="328"/>
        <v>0</v>
      </c>
      <c r="T896" s="11">
        <f t="shared" si="329"/>
        <v>10</v>
      </c>
      <c r="U896" s="11">
        <f t="shared" si="330"/>
        <v>0</v>
      </c>
      <c r="V896" s="11" t="str">
        <f>VLOOKUP(C896,Referencias!$A$2:$B$33,2,1)</f>
        <v>12 - 13</v>
      </c>
      <c r="W896" s="23">
        <f t="shared" si="331"/>
        <v>2.430555555555558E-2</v>
      </c>
      <c r="X896" s="11">
        <f t="shared" si="332"/>
        <v>10.16</v>
      </c>
      <c r="Y896" s="11">
        <f t="shared" si="333"/>
        <v>17.941882344327706</v>
      </c>
      <c r="Z896" s="24">
        <f t="shared" si="334"/>
        <v>5.19</v>
      </c>
      <c r="AA896" s="25">
        <f t="shared" si="335"/>
        <v>8.8971428571428479</v>
      </c>
      <c r="AB896" s="24">
        <f t="shared" si="336"/>
        <v>1</v>
      </c>
      <c r="AC896" s="24">
        <f t="shared" si="337"/>
        <v>3.4002192464444412</v>
      </c>
      <c r="AD896" s="24">
        <f t="shared" si="338"/>
        <v>4.1196229408525502</v>
      </c>
      <c r="AE896" s="24">
        <f t="shared" si="339"/>
        <v>4.8844466904518855</v>
      </c>
      <c r="AF896" s="119" t="str">
        <f>VLOOKUP(P896*1,Referencias!$G:$H,2,0)</f>
        <v>dom</v>
      </c>
    </row>
    <row r="897" spans="1:32" x14ac:dyDescent="0.25">
      <c r="A897" s="163"/>
      <c r="B897" s="164"/>
      <c r="C897" s="134">
        <v>0.53194444444444444</v>
      </c>
      <c r="D897" s="165"/>
      <c r="E897" s="165"/>
      <c r="F897" s="165"/>
      <c r="G897" s="166"/>
      <c r="H897" s="167"/>
      <c r="I897" s="165"/>
      <c r="N897" s="7" t="str">
        <f t="shared" si="324"/>
        <v>#LINFHGRHR </v>
      </c>
      <c r="O897" s="7">
        <f t="shared" si="325"/>
        <v>0</v>
      </c>
      <c r="P897" s="21">
        <f t="shared" si="326"/>
        <v>43261</v>
      </c>
      <c r="Q897" s="22">
        <f>VLOOKUP(R897,Referencias!$D$1:$E$13,2,0)</f>
        <v>6</v>
      </c>
      <c r="R897" s="7" t="str">
        <f t="shared" si="327"/>
        <v>JUN</v>
      </c>
      <c r="S897" s="7">
        <f t="shared" si="328"/>
        <v>0</v>
      </c>
      <c r="T897" s="11">
        <f t="shared" si="329"/>
        <v>10</v>
      </c>
      <c r="U897" s="11">
        <f t="shared" si="330"/>
        <v>0</v>
      </c>
      <c r="V897" s="11" t="str">
        <f>VLOOKUP(C897,Referencias!$A$2:$B$33,2,1)</f>
        <v>12 - 13</v>
      </c>
      <c r="W897" s="23" t="str">
        <f t="shared" si="331"/>
        <v/>
      </c>
      <c r="X897" s="11">
        <f t="shared" si="332"/>
        <v>0</v>
      </c>
      <c r="Y897" s="11">
        <f t="shared" si="333"/>
        <v>0</v>
      </c>
      <c r="Z897" s="24">
        <f t="shared" si="334"/>
        <v>0</v>
      </c>
      <c r="AA897" s="25">
        <f t="shared" si="335"/>
        <v>0</v>
      </c>
      <c r="AB897" s="24">
        <f t="shared" si="336"/>
        <v>0</v>
      </c>
      <c r="AC897" s="24">
        <f t="shared" si="337"/>
        <v>0</v>
      </c>
      <c r="AD897" s="24">
        <f t="shared" si="338"/>
        <v>0</v>
      </c>
      <c r="AE897" s="24">
        <f t="shared" si="339"/>
        <v>0</v>
      </c>
      <c r="AF897" s="119" t="str">
        <f>VLOOKUP(P897*1,Referencias!$G:$H,2,0)</f>
        <v>dom</v>
      </c>
    </row>
    <row r="898" spans="1:32" x14ac:dyDescent="0.25">
      <c r="A898" s="161"/>
      <c r="B898" s="161"/>
      <c r="C898" s="161"/>
      <c r="D898" s="161"/>
      <c r="E898" s="161"/>
      <c r="F898" s="161"/>
      <c r="G898" s="161"/>
      <c r="H898" s="161"/>
      <c r="I898" s="161"/>
      <c r="N898" s="7" t="str">
        <f t="shared" si="324"/>
        <v>#LINFHGRHR </v>
      </c>
      <c r="O898" s="7">
        <f t="shared" si="325"/>
        <v>0</v>
      </c>
      <c r="P898" s="21">
        <f t="shared" si="326"/>
        <v>43261</v>
      </c>
      <c r="Q898" s="22">
        <f>VLOOKUP(R898,Referencias!$D$1:$E$13,2,0)</f>
        <v>6</v>
      </c>
      <c r="R898" s="7" t="str">
        <f t="shared" si="327"/>
        <v>JUN</v>
      </c>
      <c r="S898" s="7">
        <f t="shared" si="328"/>
        <v>0</v>
      </c>
      <c r="T898" s="11">
        <f t="shared" si="329"/>
        <v>10</v>
      </c>
      <c r="U898" s="11">
        <f t="shared" si="330"/>
        <v>0</v>
      </c>
      <c r="V898" s="11" t="e">
        <f>VLOOKUP(C898,Referencias!$A$2:$B$33,2,1)</f>
        <v>#N/A</v>
      </c>
      <c r="W898" s="23" t="str">
        <f t="shared" si="331"/>
        <v/>
      </c>
      <c r="X898" s="11">
        <f t="shared" si="332"/>
        <v>0</v>
      </c>
      <c r="Y898" s="11">
        <f t="shared" si="333"/>
        <v>0</v>
      </c>
      <c r="Z898" s="24">
        <f t="shared" si="334"/>
        <v>0</v>
      </c>
      <c r="AA898" s="25">
        <f t="shared" si="335"/>
        <v>0</v>
      </c>
      <c r="AB898" s="24">
        <f t="shared" si="336"/>
        <v>0</v>
      </c>
      <c r="AC898" s="24">
        <f t="shared" si="337"/>
        <v>0</v>
      </c>
      <c r="AD898" s="24">
        <f t="shared" si="338"/>
        <v>0</v>
      </c>
      <c r="AE898" s="24">
        <f t="shared" si="339"/>
        <v>0</v>
      </c>
      <c r="AF898" s="119" t="str">
        <f>VLOOKUP(P898*1,Referencias!$G:$H,2,0)</f>
        <v>dom</v>
      </c>
    </row>
    <row r="899" spans="1:32" x14ac:dyDescent="0.25">
      <c r="A899" s="162"/>
      <c r="B899" s="162"/>
      <c r="C899" s="162"/>
      <c r="D899" s="162"/>
      <c r="E899" s="162"/>
      <c r="F899" s="162"/>
      <c r="G899" s="162"/>
      <c r="H899" s="162"/>
      <c r="I899" s="162"/>
      <c r="N899" s="7" t="str">
        <f t="shared" si="324"/>
        <v>#LINFHGRHR </v>
      </c>
      <c r="O899" s="7">
        <f t="shared" si="325"/>
        <v>0</v>
      </c>
      <c r="P899" s="21">
        <f t="shared" si="326"/>
        <v>43261</v>
      </c>
      <c r="Q899" s="22">
        <f>VLOOKUP(R899,Referencias!$D$1:$E$13,2,0)</f>
        <v>6</v>
      </c>
      <c r="R899" s="7" t="str">
        <f t="shared" si="327"/>
        <v>JUN</v>
      </c>
      <c r="S899" s="7">
        <f t="shared" si="328"/>
        <v>0</v>
      </c>
      <c r="T899" s="11">
        <f t="shared" si="329"/>
        <v>10</v>
      </c>
      <c r="U899" s="11">
        <f t="shared" si="330"/>
        <v>0</v>
      </c>
      <c r="V899" s="11" t="e">
        <f>VLOOKUP(C899,Referencias!$A$2:$B$33,2,1)</f>
        <v>#N/A</v>
      </c>
      <c r="W899" s="23" t="str">
        <f t="shared" si="331"/>
        <v/>
      </c>
      <c r="X899" s="11">
        <f t="shared" si="332"/>
        <v>0</v>
      </c>
      <c r="Y899" s="11">
        <f t="shared" si="333"/>
        <v>0</v>
      </c>
      <c r="Z899" s="24">
        <f t="shared" si="334"/>
        <v>0</v>
      </c>
      <c r="AA899" s="25">
        <f t="shared" si="335"/>
        <v>0</v>
      </c>
      <c r="AB899" s="24">
        <f t="shared" si="336"/>
        <v>0</v>
      </c>
      <c r="AC899" s="24">
        <f t="shared" si="337"/>
        <v>0</v>
      </c>
      <c r="AD899" s="24">
        <f t="shared" si="338"/>
        <v>0</v>
      </c>
      <c r="AE899" s="24">
        <f t="shared" si="339"/>
        <v>0</v>
      </c>
      <c r="AF899" s="119" t="str">
        <f>VLOOKUP(P899*1,Referencias!$G:$H,2,0)</f>
        <v>dom</v>
      </c>
    </row>
    <row r="900" spans="1:32" x14ac:dyDescent="0.25">
      <c r="A900" s="163"/>
      <c r="B900" s="164" t="s">
        <v>472</v>
      </c>
      <c r="C900" s="134">
        <v>0.54375000000000007</v>
      </c>
      <c r="D900" s="165">
        <v>1.62</v>
      </c>
      <c r="E900" s="165" t="s">
        <v>74</v>
      </c>
      <c r="F900" s="165"/>
      <c r="G900" s="166">
        <v>2.4900000000000002</v>
      </c>
      <c r="H900" s="167">
        <v>415.58</v>
      </c>
      <c r="I900" s="147" t="s">
        <v>473</v>
      </c>
      <c r="N900" s="7" t="str">
        <f t="shared" si="324"/>
        <v>#LI1TRCDNR </v>
      </c>
      <c r="O900" s="7" t="str">
        <f t="shared" si="325"/>
        <v>#LI1TRCDNR </v>
      </c>
      <c r="P900" s="21">
        <f t="shared" si="326"/>
        <v>43261</v>
      </c>
      <c r="Q900" s="22">
        <f>VLOOKUP(R900,Referencias!$D$1:$E$13,2,0)</f>
        <v>6</v>
      </c>
      <c r="R900" s="7" t="str">
        <f t="shared" si="327"/>
        <v>JUN</v>
      </c>
      <c r="S900" s="7">
        <f t="shared" si="328"/>
        <v>0</v>
      </c>
      <c r="T900" s="11">
        <f t="shared" si="329"/>
        <v>10</v>
      </c>
      <c r="U900" s="11">
        <f t="shared" si="330"/>
        <v>0</v>
      </c>
      <c r="V900" s="11" t="str">
        <f>VLOOKUP(C900,Referencias!$A$2:$B$33,2,1)</f>
        <v>13 - 14</v>
      </c>
      <c r="W900" s="23">
        <f t="shared" si="331"/>
        <v>3.5416666666666652E-2</v>
      </c>
      <c r="X900" s="11">
        <f t="shared" si="332"/>
        <v>1.62</v>
      </c>
      <c r="Y900" s="11">
        <f t="shared" si="333"/>
        <v>2.8608119486034336</v>
      </c>
      <c r="Z900" s="24">
        <f t="shared" si="334"/>
        <v>2.4900000000000002</v>
      </c>
      <c r="AA900" s="25">
        <f t="shared" si="335"/>
        <v>2.9294117647058839</v>
      </c>
      <c r="AB900" s="24">
        <f t="shared" si="336"/>
        <v>1</v>
      </c>
      <c r="AC900" s="24">
        <f t="shared" si="337"/>
        <v>1.6313190604328822</v>
      </c>
      <c r="AD900" s="24">
        <f t="shared" si="338"/>
        <v>1.9764664976344606</v>
      </c>
      <c r="AE900" s="24">
        <f t="shared" si="339"/>
        <v>2.3434050595809626</v>
      </c>
      <c r="AF900" s="119" t="str">
        <f>VLOOKUP(P900*1,Referencias!$G:$H,2,0)</f>
        <v>dom</v>
      </c>
    </row>
    <row r="901" spans="1:32" x14ac:dyDescent="0.25">
      <c r="A901" s="163"/>
      <c r="B901" s="164"/>
      <c r="C901" s="134">
        <v>0.57916666666666672</v>
      </c>
      <c r="D901" s="165"/>
      <c r="E901" s="165"/>
      <c r="F901" s="165"/>
      <c r="G901" s="166"/>
      <c r="H901" s="167"/>
      <c r="I901" s="147" t="s">
        <v>474</v>
      </c>
      <c r="N901" s="7" t="str">
        <f t="shared" si="324"/>
        <v>#LI1TRCDNR </v>
      </c>
      <c r="O901" s="7">
        <f t="shared" si="325"/>
        <v>0</v>
      </c>
      <c r="P901" s="21">
        <f t="shared" si="326"/>
        <v>43261</v>
      </c>
      <c r="Q901" s="22">
        <f>VLOOKUP(R901,Referencias!$D$1:$E$13,2,0)</f>
        <v>6</v>
      </c>
      <c r="R901" s="7" t="str">
        <f t="shared" si="327"/>
        <v>JUN</v>
      </c>
      <c r="S901" s="7">
        <f t="shared" si="328"/>
        <v>0</v>
      </c>
      <c r="T901" s="11">
        <f t="shared" si="329"/>
        <v>10</v>
      </c>
      <c r="U901" s="11">
        <f t="shared" si="330"/>
        <v>0</v>
      </c>
      <c r="V901" s="11" t="str">
        <f>VLOOKUP(C901,Referencias!$A$2:$B$33,2,1)</f>
        <v>13 - 14</v>
      </c>
      <c r="W901" s="23" t="str">
        <f t="shared" si="331"/>
        <v/>
      </c>
      <c r="X901" s="11">
        <f t="shared" si="332"/>
        <v>0</v>
      </c>
      <c r="Y901" s="11">
        <f t="shared" si="333"/>
        <v>0</v>
      </c>
      <c r="Z901" s="24">
        <f t="shared" si="334"/>
        <v>0</v>
      </c>
      <c r="AA901" s="25">
        <f t="shared" si="335"/>
        <v>0</v>
      </c>
      <c r="AB901" s="24">
        <f t="shared" si="336"/>
        <v>0</v>
      </c>
      <c r="AC901" s="24">
        <f t="shared" si="337"/>
        <v>0</v>
      </c>
      <c r="AD901" s="24">
        <f t="shared" si="338"/>
        <v>0</v>
      </c>
      <c r="AE901" s="24">
        <f t="shared" si="339"/>
        <v>0</v>
      </c>
      <c r="AF901" s="119" t="str">
        <f>VLOOKUP(P901*1,Referencias!$G:$H,2,0)</f>
        <v>dom</v>
      </c>
    </row>
    <row r="902" spans="1:32" x14ac:dyDescent="0.25">
      <c r="A902" s="161"/>
      <c r="B902" s="161"/>
      <c r="C902" s="161"/>
      <c r="D902" s="161"/>
      <c r="E902" s="161"/>
      <c r="F902" s="161"/>
      <c r="G902" s="161"/>
      <c r="H902" s="161"/>
      <c r="I902" s="161"/>
      <c r="N902" s="7" t="str">
        <f t="shared" si="324"/>
        <v>#LI1TRCDNR </v>
      </c>
      <c r="O902" s="7">
        <f t="shared" si="325"/>
        <v>0</v>
      </c>
      <c r="P902" s="21">
        <f t="shared" si="326"/>
        <v>43261</v>
      </c>
      <c r="Q902" s="22">
        <f>VLOOKUP(R902,Referencias!$D$1:$E$13,2,0)</f>
        <v>6</v>
      </c>
      <c r="R902" s="7" t="str">
        <f t="shared" si="327"/>
        <v>JUN</v>
      </c>
      <c r="S902" s="7">
        <f t="shared" si="328"/>
        <v>0</v>
      </c>
      <c r="T902" s="11">
        <f t="shared" si="329"/>
        <v>10</v>
      </c>
      <c r="U902" s="11">
        <f t="shared" si="330"/>
        <v>0</v>
      </c>
      <c r="V902" s="11" t="e">
        <f>VLOOKUP(C902,Referencias!$A$2:$B$33,2,1)</f>
        <v>#N/A</v>
      </c>
      <c r="W902" s="23" t="str">
        <f t="shared" si="331"/>
        <v/>
      </c>
      <c r="X902" s="11">
        <f t="shared" si="332"/>
        <v>0</v>
      </c>
      <c r="Y902" s="11">
        <f t="shared" si="333"/>
        <v>0</v>
      </c>
      <c r="Z902" s="24">
        <f t="shared" si="334"/>
        <v>0</v>
      </c>
      <c r="AA902" s="25">
        <f t="shared" si="335"/>
        <v>0</v>
      </c>
      <c r="AB902" s="24">
        <f t="shared" si="336"/>
        <v>0</v>
      </c>
      <c r="AC902" s="24">
        <f t="shared" si="337"/>
        <v>0</v>
      </c>
      <c r="AD902" s="24">
        <f t="shared" si="338"/>
        <v>0</v>
      </c>
      <c r="AE902" s="24">
        <f t="shared" si="339"/>
        <v>0</v>
      </c>
      <c r="AF902" s="119" t="str">
        <f>VLOOKUP(P902*1,Referencias!$G:$H,2,0)</f>
        <v>dom</v>
      </c>
    </row>
    <row r="903" spans="1:32" x14ac:dyDescent="0.25">
      <c r="A903" s="162"/>
      <c r="B903" s="162"/>
      <c r="C903" s="162"/>
      <c r="D903" s="162"/>
      <c r="E903" s="162"/>
      <c r="F903" s="162"/>
      <c r="G903" s="162"/>
      <c r="H903" s="162"/>
      <c r="I903" s="162"/>
      <c r="N903" s="7" t="str">
        <f t="shared" si="324"/>
        <v>#LI1TRCDNR </v>
      </c>
      <c r="O903" s="7">
        <f t="shared" si="325"/>
        <v>0</v>
      </c>
      <c r="P903" s="21">
        <f t="shared" si="326"/>
        <v>43261</v>
      </c>
      <c r="Q903" s="22">
        <f>VLOOKUP(R903,Referencias!$D$1:$E$13,2,0)</f>
        <v>6</v>
      </c>
      <c r="R903" s="7" t="str">
        <f t="shared" si="327"/>
        <v>JUN</v>
      </c>
      <c r="S903" s="7">
        <f t="shared" si="328"/>
        <v>0</v>
      </c>
      <c r="T903" s="11">
        <f t="shared" si="329"/>
        <v>10</v>
      </c>
      <c r="U903" s="11">
        <f t="shared" si="330"/>
        <v>0</v>
      </c>
      <c r="V903" s="11" t="e">
        <f>VLOOKUP(C903,Referencias!$A$2:$B$33,2,1)</f>
        <v>#N/A</v>
      </c>
      <c r="W903" s="23" t="str">
        <f t="shared" si="331"/>
        <v/>
      </c>
      <c r="X903" s="11">
        <f t="shared" si="332"/>
        <v>0</v>
      </c>
      <c r="Y903" s="11">
        <f t="shared" si="333"/>
        <v>0</v>
      </c>
      <c r="Z903" s="24">
        <f t="shared" si="334"/>
        <v>0</v>
      </c>
      <c r="AA903" s="25">
        <f t="shared" si="335"/>
        <v>0</v>
      </c>
      <c r="AB903" s="24">
        <f t="shared" si="336"/>
        <v>0</v>
      </c>
      <c r="AC903" s="24">
        <f t="shared" si="337"/>
        <v>0</v>
      </c>
      <c r="AD903" s="24">
        <f t="shared" si="338"/>
        <v>0</v>
      </c>
      <c r="AE903" s="24">
        <f t="shared" si="339"/>
        <v>0</v>
      </c>
      <c r="AF903" s="119" t="str">
        <f>VLOOKUP(P903*1,Referencias!$G:$H,2,0)</f>
        <v>dom</v>
      </c>
    </row>
    <row r="904" spans="1:32" x14ac:dyDescent="0.25">
      <c r="A904" s="163"/>
      <c r="B904" s="164" t="s">
        <v>475</v>
      </c>
      <c r="C904" s="134">
        <v>0.57916666666666672</v>
      </c>
      <c r="D904" s="165">
        <v>6.85</v>
      </c>
      <c r="E904" s="165" t="s">
        <v>17</v>
      </c>
      <c r="F904" s="165"/>
      <c r="G904" s="166">
        <v>3.89</v>
      </c>
      <c r="H904" s="167">
        <v>419.47</v>
      </c>
      <c r="I904" s="165"/>
      <c r="N904" s="7" t="str">
        <f t="shared" si="324"/>
        <v>#LIVBUHBTE </v>
      </c>
      <c r="O904" s="7" t="str">
        <f t="shared" si="325"/>
        <v>#LIVBUHBTE </v>
      </c>
      <c r="P904" s="21">
        <f t="shared" si="326"/>
        <v>43261</v>
      </c>
      <c r="Q904" s="22">
        <f>VLOOKUP(R904,Referencias!$D$1:$E$13,2,0)</f>
        <v>6</v>
      </c>
      <c r="R904" s="7" t="str">
        <f t="shared" si="327"/>
        <v>JUN</v>
      </c>
      <c r="S904" s="7">
        <f t="shared" si="328"/>
        <v>0</v>
      </c>
      <c r="T904" s="11">
        <f t="shared" si="329"/>
        <v>10</v>
      </c>
      <c r="U904" s="11">
        <f t="shared" si="330"/>
        <v>0</v>
      </c>
      <c r="V904" s="11" t="str">
        <f>VLOOKUP(C904,Referencias!$A$2:$B$33,2,1)</f>
        <v>13 - 14</v>
      </c>
      <c r="W904" s="23">
        <f t="shared" si="331"/>
        <v>3.6111111111111094E-2</v>
      </c>
      <c r="X904" s="11">
        <f t="shared" si="332"/>
        <v>6.85</v>
      </c>
      <c r="Y904" s="11">
        <f t="shared" si="333"/>
        <v>12.096643116008345</v>
      </c>
      <c r="Z904" s="24">
        <f t="shared" si="334"/>
        <v>3.89</v>
      </c>
      <c r="AA904" s="25">
        <f t="shared" si="335"/>
        <v>4.4884615384615412</v>
      </c>
      <c r="AB904" s="24">
        <f t="shared" si="336"/>
        <v>1</v>
      </c>
      <c r="AC904" s="24">
        <f t="shared" si="337"/>
        <v>2.5485265642907273</v>
      </c>
      <c r="AD904" s="24">
        <f t="shared" si="338"/>
        <v>3.0877328015253216</v>
      </c>
      <c r="AE904" s="24">
        <f t="shared" si="339"/>
        <v>3.6609822015140336</v>
      </c>
      <c r="AF904" s="119" t="str">
        <f>VLOOKUP(P904*1,Referencias!$G:$H,2,0)</f>
        <v>dom</v>
      </c>
    </row>
    <row r="905" spans="1:32" x14ac:dyDescent="0.25">
      <c r="A905" s="163"/>
      <c r="B905" s="164"/>
      <c r="C905" s="134">
        <v>0.61527777777777781</v>
      </c>
      <c r="D905" s="165"/>
      <c r="E905" s="165"/>
      <c r="F905" s="165"/>
      <c r="G905" s="166"/>
      <c r="H905" s="167"/>
      <c r="I905" s="165"/>
      <c r="N905" s="7" t="str">
        <f t="shared" si="324"/>
        <v>#LIVBUHBTE </v>
      </c>
      <c r="O905" s="7">
        <f t="shared" si="325"/>
        <v>0</v>
      </c>
      <c r="P905" s="21">
        <f t="shared" si="326"/>
        <v>43261</v>
      </c>
      <c r="Q905" s="22">
        <f>VLOOKUP(R905,Referencias!$D$1:$E$13,2,0)</f>
        <v>6</v>
      </c>
      <c r="R905" s="7" t="str">
        <f t="shared" si="327"/>
        <v>JUN</v>
      </c>
      <c r="S905" s="7">
        <f t="shared" si="328"/>
        <v>0</v>
      </c>
      <c r="T905" s="11">
        <f t="shared" si="329"/>
        <v>10</v>
      </c>
      <c r="U905" s="11">
        <f t="shared" si="330"/>
        <v>0</v>
      </c>
      <c r="V905" s="11" t="str">
        <f>VLOOKUP(C905,Referencias!$A$2:$B$33,2,1)</f>
        <v>14 - 15</v>
      </c>
      <c r="W905" s="23" t="str">
        <f t="shared" si="331"/>
        <v/>
      </c>
      <c r="X905" s="11">
        <f t="shared" si="332"/>
        <v>0</v>
      </c>
      <c r="Y905" s="11">
        <f t="shared" si="333"/>
        <v>0</v>
      </c>
      <c r="Z905" s="24">
        <f t="shared" si="334"/>
        <v>0</v>
      </c>
      <c r="AA905" s="25">
        <f t="shared" si="335"/>
        <v>0</v>
      </c>
      <c r="AB905" s="24">
        <f t="shared" si="336"/>
        <v>0</v>
      </c>
      <c r="AC905" s="24">
        <f t="shared" si="337"/>
        <v>0</v>
      </c>
      <c r="AD905" s="24">
        <f t="shared" si="338"/>
        <v>0</v>
      </c>
      <c r="AE905" s="24">
        <f t="shared" si="339"/>
        <v>0</v>
      </c>
      <c r="AF905" s="119" t="str">
        <f>VLOOKUP(P905*1,Referencias!$G:$H,2,0)</f>
        <v>dom</v>
      </c>
    </row>
    <row r="906" spans="1:32" x14ac:dyDescent="0.25">
      <c r="A906" s="161"/>
      <c r="B906" s="161"/>
      <c r="C906" s="161"/>
      <c r="D906" s="161"/>
      <c r="E906" s="161"/>
      <c r="F906" s="161"/>
      <c r="G906" s="161"/>
      <c r="H906" s="161"/>
      <c r="I906" s="161"/>
      <c r="N906" s="7" t="str">
        <f t="shared" si="324"/>
        <v>#LIVBUHBTE </v>
      </c>
      <c r="O906" s="7">
        <f t="shared" si="325"/>
        <v>0</v>
      </c>
      <c r="P906" s="21">
        <f t="shared" si="326"/>
        <v>43261</v>
      </c>
      <c r="Q906" s="22">
        <f>VLOOKUP(R906,Referencias!$D$1:$E$13,2,0)</f>
        <v>6</v>
      </c>
      <c r="R906" s="7" t="str">
        <f t="shared" si="327"/>
        <v>JUN</v>
      </c>
      <c r="S906" s="7">
        <f t="shared" si="328"/>
        <v>0</v>
      </c>
      <c r="T906" s="11">
        <f t="shared" si="329"/>
        <v>10</v>
      </c>
      <c r="U906" s="11">
        <f t="shared" si="330"/>
        <v>0</v>
      </c>
      <c r="V906" s="11" t="e">
        <f>VLOOKUP(C906,Referencias!$A$2:$B$33,2,1)</f>
        <v>#N/A</v>
      </c>
      <c r="W906" s="23" t="str">
        <f t="shared" si="331"/>
        <v/>
      </c>
      <c r="X906" s="11">
        <f t="shared" si="332"/>
        <v>0</v>
      </c>
      <c r="Y906" s="11">
        <f t="shared" si="333"/>
        <v>0</v>
      </c>
      <c r="Z906" s="24">
        <f t="shared" si="334"/>
        <v>0</v>
      </c>
      <c r="AA906" s="25">
        <f t="shared" si="335"/>
        <v>0</v>
      </c>
      <c r="AB906" s="24">
        <f t="shared" si="336"/>
        <v>0</v>
      </c>
      <c r="AC906" s="24">
        <f t="shared" si="337"/>
        <v>0</v>
      </c>
      <c r="AD906" s="24">
        <f t="shared" si="338"/>
        <v>0</v>
      </c>
      <c r="AE906" s="24">
        <f t="shared" si="339"/>
        <v>0</v>
      </c>
      <c r="AF906" s="119" t="str">
        <f>VLOOKUP(P906*1,Referencias!$G:$H,2,0)</f>
        <v>dom</v>
      </c>
    </row>
    <row r="907" spans="1:32" x14ac:dyDescent="0.25">
      <c r="A907" s="162"/>
      <c r="B907" s="162"/>
      <c r="C907" s="162"/>
      <c r="D907" s="162"/>
      <c r="E907" s="162"/>
      <c r="F907" s="162"/>
      <c r="G907" s="162"/>
      <c r="H907" s="162"/>
      <c r="I907" s="162"/>
      <c r="N907" s="7" t="str">
        <f t="shared" si="324"/>
        <v>#LIVBUHBTE </v>
      </c>
      <c r="O907" s="7">
        <f t="shared" si="325"/>
        <v>0</v>
      </c>
      <c r="P907" s="21">
        <f t="shared" si="326"/>
        <v>43261</v>
      </c>
      <c r="Q907" s="22">
        <f>VLOOKUP(R907,Referencias!$D$1:$E$13,2,0)</f>
        <v>6</v>
      </c>
      <c r="R907" s="7" t="str">
        <f t="shared" si="327"/>
        <v>JUN</v>
      </c>
      <c r="S907" s="7">
        <f t="shared" si="328"/>
        <v>0</v>
      </c>
      <c r="T907" s="11">
        <f t="shared" si="329"/>
        <v>10</v>
      </c>
      <c r="U907" s="11">
        <f t="shared" si="330"/>
        <v>0</v>
      </c>
      <c r="V907" s="11" t="e">
        <f>VLOOKUP(C907,Referencias!$A$2:$B$33,2,1)</f>
        <v>#N/A</v>
      </c>
      <c r="W907" s="23" t="str">
        <f t="shared" si="331"/>
        <v/>
      </c>
      <c r="X907" s="11">
        <f t="shared" si="332"/>
        <v>0</v>
      </c>
      <c r="Y907" s="11">
        <f t="shared" si="333"/>
        <v>0</v>
      </c>
      <c r="Z907" s="24">
        <f t="shared" si="334"/>
        <v>0</v>
      </c>
      <c r="AA907" s="25">
        <f t="shared" si="335"/>
        <v>0</v>
      </c>
      <c r="AB907" s="24">
        <f t="shared" si="336"/>
        <v>0</v>
      </c>
      <c r="AC907" s="24">
        <f t="shared" si="337"/>
        <v>0</v>
      </c>
      <c r="AD907" s="24">
        <f t="shared" si="338"/>
        <v>0</v>
      </c>
      <c r="AE907" s="24">
        <f t="shared" si="339"/>
        <v>0</v>
      </c>
      <c r="AF907" s="119" t="str">
        <f>VLOOKUP(P907*1,Referencias!$G:$H,2,0)</f>
        <v>dom</v>
      </c>
    </row>
    <row r="908" spans="1:32" x14ac:dyDescent="0.25">
      <c r="A908" s="163"/>
      <c r="B908" s="164" t="s">
        <v>476</v>
      </c>
      <c r="C908" s="134">
        <v>0.61527777777777781</v>
      </c>
      <c r="D908" s="165">
        <v>9.61</v>
      </c>
      <c r="E908" s="165" t="s">
        <v>85</v>
      </c>
      <c r="F908" s="165"/>
      <c r="G908" s="166">
        <v>5.35</v>
      </c>
      <c r="H908" s="167">
        <v>424.82</v>
      </c>
      <c r="I908" s="165"/>
      <c r="N908" s="7" t="str">
        <f t="shared" si="324"/>
        <v>#LI1WTMGAE </v>
      </c>
      <c r="O908" s="7" t="str">
        <f t="shared" si="325"/>
        <v>#LI1WTMGAE </v>
      </c>
      <c r="P908" s="21">
        <f t="shared" si="326"/>
        <v>43261</v>
      </c>
      <c r="Q908" s="22">
        <f>VLOOKUP(R908,Referencias!$D$1:$E$13,2,0)</f>
        <v>6</v>
      </c>
      <c r="R908" s="7" t="str">
        <f t="shared" si="327"/>
        <v>JUN</v>
      </c>
      <c r="S908" s="7">
        <f t="shared" si="328"/>
        <v>0</v>
      </c>
      <c r="T908" s="11">
        <f t="shared" si="329"/>
        <v>10</v>
      </c>
      <c r="U908" s="11">
        <f t="shared" si="330"/>
        <v>0</v>
      </c>
      <c r="V908" s="11" t="str">
        <f>VLOOKUP(C908,Referencias!$A$2:$B$33,2,1)</f>
        <v>14 - 15</v>
      </c>
      <c r="W908" s="23">
        <f t="shared" si="331"/>
        <v>3.125E-2</v>
      </c>
      <c r="X908" s="11">
        <f t="shared" si="332"/>
        <v>9.61</v>
      </c>
      <c r="Y908" s="11">
        <f t="shared" si="333"/>
        <v>16.970619028443824</v>
      </c>
      <c r="Z908" s="24">
        <f t="shared" si="334"/>
        <v>5.35</v>
      </c>
      <c r="AA908" s="25">
        <f t="shared" si="335"/>
        <v>7.1333333333333329</v>
      </c>
      <c r="AB908" s="24">
        <f t="shared" si="336"/>
        <v>1</v>
      </c>
      <c r="AC908" s="24">
        <f t="shared" si="337"/>
        <v>3.5050429611710516</v>
      </c>
      <c r="AD908" s="24">
        <f t="shared" si="338"/>
        <v>4.2466248041543624</v>
      </c>
      <c r="AE908" s="24">
        <f t="shared" si="339"/>
        <v>5.0350269352442361</v>
      </c>
      <c r="AF908" s="119" t="str">
        <f>VLOOKUP(P908*1,Referencias!$G:$H,2,0)</f>
        <v>dom</v>
      </c>
    </row>
    <row r="909" spans="1:32" x14ac:dyDescent="0.25">
      <c r="A909" s="163"/>
      <c r="B909" s="164"/>
      <c r="C909" s="134">
        <v>0.64652777777777781</v>
      </c>
      <c r="D909" s="165"/>
      <c r="E909" s="165"/>
      <c r="F909" s="165"/>
      <c r="G909" s="166"/>
      <c r="H909" s="167"/>
      <c r="I909" s="165"/>
      <c r="N909" s="7" t="str">
        <f t="shared" si="324"/>
        <v>#LI1WTMGAE </v>
      </c>
      <c r="O909" s="7">
        <f t="shared" si="325"/>
        <v>0</v>
      </c>
      <c r="P909" s="21">
        <f t="shared" si="326"/>
        <v>43261</v>
      </c>
      <c r="Q909" s="22">
        <f>VLOOKUP(R909,Referencias!$D$1:$E$13,2,0)</f>
        <v>6</v>
      </c>
      <c r="R909" s="7" t="str">
        <f t="shared" si="327"/>
        <v>JUN</v>
      </c>
      <c r="S909" s="7">
        <f t="shared" si="328"/>
        <v>0</v>
      </c>
      <c r="T909" s="11">
        <f t="shared" si="329"/>
        <v>10</v>
      </c>
      <c r="U909" s="11">
        <f t="shared" si="330"/>
        <v>0</v>
      </c>
      <c r="V909" s="11" t="str">
        <f>VLOOKUP(C909,Referencias!$A$2:$B$33,2,1)</f>
        <v>15 - 16</v>
      </c>
      <c r="W909" s="23" t="str">
        <f t="shared" si="331"/>
        <v/>
      </c>
      <c r="X909" s="11">
        <f t="shared" si="332"/>
        <v>0</v>
      </c>
      <c r="Y909" s="11">
        <f t="shared" si="333"/>
        <v>0</v>
      </c>
      <c r="Z909" s="24">
        <f t="shared" si="334"/>
        <v>0</v>
      </c>
      <c r="AA909" s="25">
        <f t="shared" si="335"/>
        <v>0</v>
      </c>
      <c r="AB909" s="24">
        <f t="shared" si="336"/>
        <v>0</v>
      </c>
      <c r="AC909" s="24">
        <f t="shared" si="337"/>
        <v>0</v>
      </c>
      <c r="AD909" s="24">
        <f t="shared" si="338"/>
        <v>0</v>
      </c>
      <c r="AE909" s="24">
        <f t="shared" si="339"/>
        <v>0</v>
      </c>
      <c r="AF909" s="119" t="str">
        <f>VLOOKUP(P909*1,Referencias!$G:$H,2,0)</f>
        <v>dom</v>
      </c>
    </row>
    <row r="910" spans="1:32" x14ac:dyDescent="0.25">
      <c r="A910" s="161"/>
      <c r="B910" s="161"/>
      <c r="C910" s="161"/>
      <c r="D910" s="161"/>
      <c r="E910" s="161"/>
      <c r="F910" s="161"/>
      <c r="G910" s="161"/>
      <c r="H910" s="161"/>
      <c r="I910" s="161"/>
      <c r="N910" s="7" t="str">
        <f t="shared" si="324"/>
        <v>#LI1WTMGAE </v>
      </c>
      <c r="O910" s="7">
        <f t="shared" si="325"/>
        <v>0</v>
      </c>
      <c r="P910" s="21">
        <f t="shared" si="326"/>
        <v>43261</v>
      </c>
      <c r="Q910" s="22">
        <f>VLOOKUP(R910,Referencias!$D$1:$E$13,2,0)</f>
        <v>6</v>
      </c>
      <c r="R910" s="7" t="str">
        <f t="shared" si="327"/>
        <v>JUN</v>
      </c>
      <c r="S910" s="7">
        <f t="shared" si="328"/>
        <v>0</v>
      </c>
      <c r="T910" s="11">
        <f t="shared" si="329"/>
        <v>10</v>
      </c>
      <c r="U910" s="11">
        <f t="shared" si="330"/>
        <v>0</v>
      </c>
      <c r="V910" s="11" t="e">
        <f>VLOOKUP(C910,Referencias!$A$2:$B$33,2,1)</f>
        <v>#N/A</v>
      </c>
      <c r="W910" s="23" t="str">
        <f t="shared" si="331"/>
        <v/>
      </c>
      <c r="X910" s="11">
        <f t="shared" si="332"/>
        <v>0</v>
      </c>
      <c r="Y910" s="11">
        <f t="shared" si="333"/>
        <v>0</v>
      </c>
      <c r="Z910" s="24">
        <f t="shared" si="334"/>
        <v>0</v>
      </c>
      <c r="AA910" s="25">
        <f t="shared" si="335"/>
        <v>0</v>
      </c>
      <c r="AB910" s="24">
        <f t="shared" si="336"/>
        <v>0</v>
      </c>
      <c r="AC910" s="24">
        <f t="shared" si="337"/>
        <v>0</v>
      </c>
      <c r="AD910" s="24">
        <f t="shared" si="338"/>
        <v>0</v>
      </c>
      <c r="AE910" s="24">
        <f t="shared" si="339"/>
        <v>0</v>
      </c>
      <c r="AF910" s="119" t="str">
        <f>VLOOKUP(P910*1,Referencias!$G:$H,2,0)</f>
        <v>dom</v>
      </c>
    </row>
    <row r="911" spans="1:32" x14ac:dyDescent="0.25">
      <c r="A911" s="162"/>
      <c r="B911" s="162"/>
      <c r="C911" s="162"/>
      <c r="D911" s="162"/>
      <c r="E911" s="162"/>
      <c r="F911" s="162"/>
      <c r="G911" s="162"/>
      <c r="H911" s="162"/>
      <c r="I911" s="162"/>
      <c r="N911" s="7" t="str">
        <f t="shared" si="324"/>
        <v>#LI1WTMGAE </v>
      </c>
      <c r="O911" s="7">
        <f t="shared" si="325"/>
        <v>0</v>
      </c>
      <c r="P911" s="21">
        <f t="shared" si="326"/>
        <v>43261</v>
      </c>
      <c r="Q911" s="22">
        <f>VLOOKUP(R911,Referencias!$D$1:$E$13,2,0)</f>
        <v>6</v>
      </c>
      <c r="R911" s="7" t="str">
        <f t="shared" si="327"/>
        <v>JUN</v>
      </c>
      <c r="S911" s="7">
        <f t="shared" si="328"/>
        <v>0</v>
      </c>
      <c r="T911" s="11">
        <f t="shared" si="329"/>
        <v>10</v>
      </c>
      <c r="U911" s="11">
        <f t="shared" si="330"/>
        <v>0</v>
      </c>
      <c r="V911" s="11" t="e">
        <f>VLOOKUP(C911,Referencias!$A$2:$B$33,2,1)</f>
        <v>#N/A</v>
      </c>
      <c r="W911" s="23" t="str">
        <f t="shared" si="331"/>
        <v/>
      </c>
      <c r="X911" s="11">
        <f t="shared" si="332"/>
        <v>0</v>
      </c>
      <c r="Y911" s="11">
        <f t="shared" si="333"/>
        <v>0</v>
      </c>
      <c r="Z911" s="24">
        <f t="shared" si="334"/>
        <v>0</v>
      </c>
      <c r="AA911" s="25">
        <f t="shared" si="335"/>
        <v>0</v>
      </c>
      <c r="AB911" s="24">
        <f t="shared" si="336"/>
        <v>0</v>
      </c>
      <c r="AC911" s="24">
        <f t="shared" si="337"/>
        <v>0</v>
      </c>
      <c r="AD911" s="24">
        <f t="shared" si="338"/>
        <v>0</v>
      </c>
      <c r="AE911" s="24">
        <f t="shared" si="339"/>
        <v>0</v>
      </c>
      <c r="AF911" s="119" t="str">
        <f>VLOOKUP(P911*1,Referencias!$G:$H,2,0)</f>
        <v>dom</v>
      </c>
    </row>
    <row r="912" spans="1:32" x14ac:dyDescent="0.25">
      <c r="A912" s="163"/>
      <c r="B912" s="164" t="s">
        <v>477</v>
      </c>
      <c r="C912" s="134">
        <v>0.64166666666666672</v>
      </c>
      <c r="D912" s="165">
        <v>11.67</v>
      </c>
      <c r="E912" s="165" t="s">
        <v>59</v>
      </c>
      <c r="F912" s="165"/>
      <c r="G912" s="166">
        <v>5.97</v>
      </c>
      <c r="H912" s="167">
        <v>430.79</v>
      </c>
      <c r="I912" s="165"/>
      <c r="N912" s="7" t="str">
        <f t="shared" si="324"/>
        <v>#LIBCCVURP </v>
      </c>
      <c r="O912" s="7" t="str">
        <f t="shared" si="325"/>
        <v>#LIBCCVURP </v>
      </c>
      <c r="P912" s="21">
        <f t="shared" si="326"/>
        <v>43261</v>
      </c>
      <c r="Q912" s="22">
        <f>VLOOKUP(R912,Referencias!$D$1:$E$13,2,0)</f>
        <v>6</v>
      </c>
      <c r="R912" s="7" t="str">
        <f t="shared" si="327"/>
        <v>JUN</v>
      </c>
      <c r="S912" s="7">
        <f t="shared" si="328"/>
        <v>0</v>
      </c>
      <c r="T912" s="11">
        <f t="shared" si="329"/>
        <v>10</v>
      </c>
      <c r="U912" s="11">
        <f t="shared" si="330"/>
        <v>0</v>
      </c>
      <c r="V912" s="11" t="str">
        <f>VLOOKUP(C912,Referencias!$A$2:$B$33,2,1)</f>
        <v>15 - 16</v>
      </c>
      <c r="W912" s="23">
        <f t="shared" si="331"/>
        <v>4.0277777777777746E-2</v>
      </c>
      <c r="X912" s="11">
        <f t="shared" si="332"/>
        <v>11.67</v>
      </c>
      <c r="Y912" s="11">
        <f t="shared" si="333"/>
        <v>20.608441629754363</v>
      </c>
      <c r="Z912" s="24">
        <f t="shared" si="334"/>
        <v>5.97</v>
      </c>
      <c r="AA912" s="25">
        <f t="shared" si="335"/>
        <v>6.1758620689655217</v>
      </c>
      <c r="AB912" s="24">
        <f t="shared" si="336"/>
        <v>1</v>
      </c>
      <c r="AC912" s="24">
        <f t="shared" si="337"/>
        <v>3.911234855736669</v>
      </c>
      <c r="AD912" s="24">
        <f t="shared" si="338"/>
        <v>4.738757024448887</v>
      </c>
      <c r="AE912" s="24">
        <f t="shared" si="339"/>
        <v>5.6185253838145961</v>
      </c>
      <c r="AF912" s="119" t="str">
        <f>VLOOKUP(P912*1,Referencias!$G:$H,2,0)</f>
        <v>dom</v>
      </c>
    </row>
    <row r="913" spans="1:32" x14ac:dyDescent="0.25">
      <c r="A913" s="163"/>
      <c r="B913" s="164"/>
      <c r="C913" s="134">
        <v>0.68194444444444446</v>
      </c>
      <c r="D913" s="165"/>
      <c r="E913" s="165"/>
      <c r="F913" s="165"/>
      <c r="G913" s="166"/>
      <c r="H913" s="167"/>
      <c r="I913" s="165"/>
      <c r="N913" s="7" t="str">
        <f t="shared" si="324"/>
        <v>#LIBCCVURP </v>
      </c>
      <c r="O913" s="7">
        <f t="shared" si="325"/>
        <v>0</v>
      </c>
      <c r="P913" s="21">
        <f t="shared" si="326"/>
        <v>43261</v>
      </c>
      <c r="Q913" s="22">
        <f>VLOOKUP(R913,Referencias!$D$1:$E$13,2,0)</f>
        <v>6</v>
      </c>
      <c r="R913" s="7" t="str">
        <f t="shared" si="327"/>
        <v>JUN</v>
      </c>
      <c r="S913" s="7">
        <f t="shared" si="328"/>
        <v>0</v>
      </c>
      <c r="T913" s="11">
        <f t="shared" si="329"/>
        <v>10</v>
      </c>
      <c r="U913" s="11">
        <f t="shared" si="330"/>
        <v>0</v>
      </c>
      <c r="V913" s="11" t="str">
        <f>VLOOKUP(C913,Referencias!$A$2:$B$33,2,1)</f>
        <v>16 - 17</v>
      </c>
      <c r="W913" s="23" t="str">
        <f t="shared" si="331"/>
        <v/>
      </c>
      <c r="X913" s="11">
        <f t="shared" si="332"/>
        <v>0</v>
      </c>
      <c r="Y913" s="11">
        <f t="shared" si="333"/>
        <v>0</v>
      </c>
      <c r="Z913" s="24">
        <f t="shared" si="334"/>
        <v>0</v>
      </c>
      <c r="AA913" s="25">
        <f t="shared" si="335"/>
        <v>0</v>
      </c>
      <c r="AB913" s="24">
        <f t="shared" si="336"/>
        <v>0</v>
      </c>
      <c r="AC913" s="24">
        <f t="shared" si="337"/>
        <v>0</v>
      </c>
      <c r="AD913" s="24">
        <f t="shared" si="338"/>
        <v>0</v>
      </c>
      <c r="AE913" s="24">
        <f t="shared" si="339"/>
        <v>0</v>
      </c>
      <c r="AF913" s="119" t="str">
        <f>VLOOKUP(P913*1,Referencias!$G:$H,2,0)</f>
        <v>dom</v>
      </c>
    </row>
    <row r="914" spans="1:32" x14ac:dyDescent="0.25">
      <c r="A914" s="161"/>
      <c r="B914" s="161"/>
      <c r="C914" s="161"/>
      <c r="D914" s="161"/>
      <c r="E914" s="161"/>
      <c r="F914" s="161"/>
      <c r="G914" s="161"/>
      <c r="H914" s="161"/>
      <c r="I914" s="161"/>
      <c r="N914" s="7" t="str">
        <f t="shared" si="324"/>
        <v>#LIBCCVURP </v>
      </c>
      <c r="O914" s="7">
        <f t="shared" si="325"/>
        <v>0</v>
      </c>
      <c r="P914" s="21">
        <f t="shared" si="326"/>
        <v>43261</v>
      </c>
      <c r="Q914" s="22">
        <f>VLOOKUP(R914,Referencias!$D$1:$E$13,2,0)</f>
        <v>6</v>
      </c>
      <c r="R914" s="7" t="str">
        <f t="shared" si="327"/>
        <v>JUN</v>
      </c>
      <c r="S914" s="7">
        <f t="shared" si="328"/>
        <v>0</v>
      </c>
      <c r="T914" s="11">
        <f t="shared" si="329"/>
        <v>10</v>
      </c>
      <c r="U914" s="11">
        <f t="shared" si="330"/>
        <v>0</v>
      </c>
      <c r="V914" s="11" t="e">
        <f>VLOOKUP(C914,Referencias!$A$2:$B$33,2,1)</f>
        <v>#N/A</v>
      </c>
      <c r="W914" s="23" t="str">
        <f t="shared" si="331"/>
        <v/>
      </c>
      <c r="X914" s="11">
        <f t="shared" si="332"/>
        <v>0</v>
      </c>
      <c r="Y914" s="11">
        <f t="shared" si="333"/>
        <v>0</v>
      </c>
      <c r="Z914" s="24">
        <f t="shared" si="334"/>
        <v>0</v>
      </c>
      <c r="AA914" s="25">
        <f t="shared" si="335"/>
        <v>0</v>
      </c>
      <c r="AB914" s="24">
        <f t="shared" si="336"/>
        <v>0</v>
      </c>
      <c r="AC914" s="24">
        <f t="shared" si="337"/>
        <v>0</v>
      </c>
      <c r="AD914" s="24">
        <f t="shared" si="338"/>
        <v>0</v>
      </c>
      <c r="AE914" s="24">
        <f t="shared" si="339"/>
        <v>0</v>
      </c>
      <c r="AF914" s="119" t="str">
        <f>VLOOKUP(P914*1,Referencias!$G:$H,2,0)</f>
        <v>dom</v>
      </c>
    </row>
    <row r="915" spans="1:32" x14ac:dyDescent="0.25">
      <c r="A915" s="162"/>
      <c r="B915" s="162"/>
      <c r="C915" s="162"/>
      <c r="D915" s="162"/>
      <c r="E915" s="162"/>
      <c r="F915" s="162"/>
      <c r="G915" s="162"/>
      <c r="H915" s="162"/>
      <c r="I915" s="162"/>
      <c r="N915" s="7" t="str">
        <f t="shared" si="324"/>
        <v>#LIBCCVURP </v>
      </c>
      <c r="O915" s="7">
        <f t="shared" si="325"/>
        <v>0</v>
      </c>
      <c r="P915" s="21">
        <f t="shared" si="326"/>
        <v>43261</v>
      </c>
      <c r="Q915" s="22">
        <f>VLOOKUP(R915,Referencias!$D$1:$E$13,2,0)</f>
        <v>6</v>
      </c>
      <c r="R915" s="7" t="str">
        <f t="shared" si="327"/>
        <v>JUN</v>
      </c>
      <c r="S915" s="7">
        <f t="shared" si="328"/>
        <v>0</v>
      </c>
      <c r="T915" s="11">
        <f t="shared" si="329"/>
        <v>10</v>
      </c>
      <c r="U915" s="11">
        <f t="shared" si="330"/>
        <v>0</v>
      </c>
      <c r="V915" s="11" t="e">
        <f>VLOOKUP(C915,Referencias!$A$2:$B$33,2,1)</f>
        <v>#N/A</v>
      </c>
      <c r="W915" s="23" t="str">
        <f t="shared" si="331"/>
        <v/>
      </c>
      <c r="X915" s="11">
        <f t="shared" si="332"/>
        <v>0</v>
      </c>
      <c r="Y915" s="11">
        <f t="shared" si="333"/>
        <v>0</v>
      </c>
      <c r="Z915" s="24">
        <f t="shared" si="334"/>
        <v>0</v>
      </c>
      <c r="AA915" s="25">
        <f t="shared" si="335"/>
        <v>0</v>
      </c>
      <c r="AB915" s="24">
        <f t="shared" si="336"/>
        <v>0</v>
      </c>
      <c r="AC915" s="24">
        <f t="shared" si="337"/>
        <v>0</v>
      </c>
      <c r="AD915" s="24">
        <f t="shared" si="338"/>
        <v>0</v>
      </c>
      <c r="AE915" s="24">
        <f t="shared" si="339"/>
        <v>0</v>
      </c>
      <c r="AF915" s="119" t="str">
        <f>VLOOKUP(P915*1,Referencias!$G:$H,2,0)</f>
        <v>dom</v>
      </c>
    </row>
    <row r="916" spans="1:32" x14ac:dyDescent="0.25">
      <c r="A916" s="163"/>
      <c r="B916" s="164" t="s">
        <v>478</v>
      </c>
      <c r="C916" s="134">
        <v>0.68194444444444446</v>
      </c>
      <c r="D916" s="165">
        <v>10.1</v>
      </c>
      <c r="E916" s="165" t="s">
        <v>48</v>
      </c>
      <c r="F916" s="149">
        <v>1.53</v>
      </c>
      <c r="G916" s="166">
        <v>6.66</v>
      </c>
      <c r="H916" s="167">
        <v>437.45</v>
      </c>
      <c r="I916" s="165"/>
      <c r="N916" s="7" t="str">
        <f t="shared" si="324"/>
        <v>#LIRLNLFEC </v>
      </c>
      <c r="O916" s="7" t="str">
        <f t="shared" si="325"/>
        <v>#LIRLNLFEC </v>
      </c>
      <c r="P916" s="21">
        <f t="shared" si="326"/>
        <v>43261</v>
      </c>
      <c r="Q916" s="22">
        <f>VLOOKUP(R916,Referencias!$D$1:$E$13,2,0)</f>
        <v>6</v>
      </c>
      <c r="R916" s="7" t="str">
        <f t="shared" si="327"/>
        <v>JUN</v>
      </c>
      <c r="S916" s="7">
        <f t="shared" si="328"/>
        <v>0</v>
      </c>
      <c r="T916" s="11">
        <f t="shared" si="329"/>
        <v>10</v>
      </c>
      <c r="U916" s="11">
        <f t="shared" si="330"/>
        <v>0</v>
      </c>
      <c r="V916" s="11" t="str">
        <f>VLOOKUP(C916,Referencias!$A$2:$B$33,2,1)</f>
        <v>16 - 17</v>
      </c>
      <c r="W916" s="23">
        <f t="shared" si="331"/>
        <v>2.2916666666666696E-2</v>
      </c>
      <c r="X916" s="11">
        <f t="shared" si="332"/>
        <v>10.1</v>
      </c>
      <c r="Y916" s="11">
        <f t="shared" si="333"/>
        <v>17.835926346231282</v>
      </c>
      <c r="Z916" s="24">
        <f t="shared" si="334"/>
        <v>6.66</v>
      </c>
      <c r="AA916" s="25">
        <f t="shared" si="335"/>
        <v>12.109090909090893</v>
      </c>
      <c r="AB916" s="24">
        <f t="shared" si="336"/>
        <v>1</v>
      </c>
      <c r="AC916" s="24">
        <f t="shared" si="337"/>
        <v>4.3632871254951784</v>
      </c>
      <c r="AD916" s="24">
        <f t="shared" si="338"/>
        <v>5.2864525599379544</v>
      </c>
      <c r="AE916" s="24">
        <f t="shared" si="339"/>
        <v>6.2679026894816099</v>
      </c>
      <c r="AF916" s="119" t="str">
        <f>VLOOKUP(P916*1,Referencias!$G:$H,2,0)</f>
        <v>dom</v>
      </c>
    </row>
    <row r="917" spans="1:32" x14ac:dyDescent="0.25">
      <c r="A917" s="163"/>
      <c r="B917" s="164"/>
      <c r="C917" s="134">
        <v>0.70486111111111116</v>
      </c>
      <c r="D917" s="165"/>
      <c r="E917" s="165"/>
      <c r="F917" s="145" t="s">
        <v>349</v>
      </c>
      <c r="G917" s="166"/>
      <c r="H917" s="167"/>
      <c r="I917" s="165"/>
      <c r="N917" s="7" t="str">
        <f t="shared" si="324"/>
        <v>#LIRLNLFEC </v>
      </c>
      <c r="O917" s="7">
        <f t="shared" si="325"/>
        <v>0</v>
      </c>
      <c r="P917" s="21">
        <f t="shared" si="326"/>
        <v>43261</v>
      </c>
      <c r="Q917" s="22">
        <f>VLOOKUP(R917,Referencias!$D$1:$E$13,2,0)</f>
        <v>6</v>
      </c>
      <c r="R917" s="7" t="str">
        <f t="shared" si="327"/>
        <v>JUN</v>
      </c>
      <c r="S917" s="7">
        <f t="shared" si="328"/>
        <v>0</v>
      </c>
      <c r="T917" s="11">
        <f t="shared" si="329"/>
        <v>10</v>
      </c>
      <c r="U917" s="11">
        <f t="shared" si="330"/>
        <v>0</v>
      </c>
      <c r="V917" s="11" t="str">
        <f>VLOOKUP(C917,Referencias!$A$2:$B$33,2,1)</f>
        <v>16 - 17</v>
      </c>
      <c r="W917" s="23" t="str">
        <f t="shared" si="331"/>
        <v/>
      </c>
      <c r="X917" s="11">
        <f t="shared" si="332"/>
        <v>0</v>
      </c>
      <c r="Y917" s="11">
        <f t="shared" si="333"/>
        <v>0</v>
      </c>
      <c r="Z917" s="24">
        <f t="shared" si="334"/>
        <v>0</v>
      </c>
      <c r="AA917" s="25">
        <f t="shared" si="335"/>
        <v>0</v>
      </c>
      <c r="AB917" s="24">
        <f t="shared" si="336"/>
        <v>0</v>
      </c>
      <c r="AC917" s="24">
        <f t="shared" si="337"/>
        <v>0</v>
      </c>
      <c r="AD917" s="24">
        <f t="shared" si="338"/>
        <v>0</v>
      </c>
      <c r="AE917" s="24">
        <f t="shared" si="339"/>
        <v>0</v>
      </c>
      <c r="AF917" s="119" t="str">
        <f>VLOOKUP(P917*1,Referencias!$G:$H,2,0)</f>
        <v>dom</v>
      </c>
    </row>
    <row r="918" spans="1:32" x14ac:dyDescent="0.25">
      <c r="A918" s="161"/>
      <c r="B918" s="161"/>
      <c r="C918" s="161"/>
      <c r="D918" s="161"/>
      <c r="E918" s="161"/>
      <c r="F918" s="161"/>
      <c r="G918" s="161"/>
      <c r="H918" s="161"/>
      <c r="I918" s="161"/>
      <c r="N918" s="7" t="str">
        <f t="shared" si="324"/>
        <v>#LIRLNLFEC </v>
      </c>
      <c r="O918" s="7">
        <f t="shared" si="325"/>
        <v>0</v>
      </c>
      <c r="P918" s="21">
        <f t="shared" si="326"/>
        <v>43261</v>
      </c>
      <c r="Q918" s="22">
        <f>VLOOKUP(R918,Referencias!$D$1:$E$13,2,0)</f>
        <v>6</v>
      </c>
      <c r="R918" s="7" t="str">
        <f t="shared" si="327"/>
        <v>JUN</v>
      </c>
      <c r="S918" s="7">
        <f t="shared" si="328"/>
        <v>0</v>
      </c>
      <c r="T918" s="11">
        <f t="shared" si="329"/>
        <v>10</v>
      </c>
      <c r="U918" s="11">
        <f t="shared" si="330"/>
        <v>0</v>
      </c>
      <c r="V918" s="11" t="e">
        <f>VLOOKUP(C918,Referencias!$A$2:$B$33,2,1)</f>
        <v>#N/A</v>
      </c>
      <c r="W918" s="23" t="str">
        <f t="shared" si="331"/>
        <v/>
      </c>
      <c r="X918" s="11">
        <f t="shared" si="332"/>
        <v>0</v>
      </c>
      <c r="Y918" s="11">
        <f t="shared" si="333"/>
        <v>0</v>
      </c>
      <c r="Z918" s="24">
        <f t="shared" si="334"/>
        <v>0</v>
      </c>
      <c r="AA918" s="25">
        <f t="shared" si="335"/>
        <v>0</v>
      </c>
      <c r="AB918" s="24">
        <f t="shared" si="336"/>
        <v>0</v>
      </c>
      <c r="AC918" s="24">
        <f t="shared" si="337"/>
        <v>0</v>
      </c>
      <c r="AD918" s="24">
        <f t="shared" si="338"/>
        <v>0</v>
      </c>
      <c r="AE918" s="24">
        <f t="shared" si="339"/>
        <v>0</v>
      </c>
      <c r="AF918" s="119" t="str">
        <f>VLOOKUP(P918*1,Referencias!$G:$H,2,0)</f>
        <v>dom</v>
      </c>
    </row>
    <row r="919" spans="1:32" x14ac:dyDescent="0.25">
      <c r="A919" s="162"/>
      <c r="B919" s="162"/>
      <c r="C919" s="162"/>
      <c r="D919" s="162"/>
      <c r="E919" s="162"/>
      <c r="F919" s="162"/>
      <c r="G919" s="162"/>
      <c r="H919" s="162"/>
      <c r="I919" s="162"/>
      <c r="N919" s="7" t="str">
        <f t="shared" si="324"/>
        <v>#LIRLNLFEC </v>
      </c>
      <c r="O919" s="7">
        <f t="shared" si="325"/>
        <v>0</v>
      </c>
      <c r="P919" s="21">
        <f t="shared" si="326"/>
        <v>43261</v>
      </c>
      <c r="Q919" s="22">
        <f>VLOOKUP(R919,Referencias!$D$1:$E$13,2,0)</f>
        <v>6</v>
      </c>
      <c r="R919" s="7" t="str">
        <f t="shared" si="327"/>
        <v>JUN</v>
      </c>
      <c r="S919" s="7">
        <f t="shared" si="328"/>
        <v>0</v>
      </c>
      <c r="T919" s="11">
        <f t="shared" si="329"/>
        <v>10</v>
      </c>
      <c r="U919" s="11">
        <f t="shared" si="330"/>
        <v>0</v>
      </c>
      <c r="V919" s="11" t="e">
        <f>VLOOKUP(C919,Referencias!$A$2:$B$33,2,1)</f>
        <v>#N/A</v>
      </c>
      <c r="W919" s="23" t="str">
        <f t="shared" si="331"/>
        <v/>
      </c>
      <c r="X919" s="11">
        <f t="shared" si="332"/>
        <v>0</v>
      </c>
      <c r="Y919" s="11">
        <f t="shared" si="333"/>
        <v>0</v>
      </c>
      <c r="Z919" s="24">
        <f t="shared" si="334"/>
        <v>0</v>
      </c>
      <c r="AA919" s="25">
        <f t="shared" si="335"/>
        <v>0</v>
      </c>
      <c r="AB919" s="24">
        <f t="shared" si="336"/>
        <v>0</v>
      </c>
      <c r="AC919" s="24">
        <f t="shared" si="337"/>
        <v>0</v>
      </c>
      <c r="AD919" s="24">
        <f t="shared" si="338"/>
        <v>0</v>
      </c>
      <c r="AE919" s="24">
        <f t="shared" si="339"/>
        <v>0</v>
      </c>
      <c r="AF919" s="119" t="str">
        <f>VLOOKUP(P919*1,Referencias!$G:$H,2,0)</f>
        <v>dom</v>
      </c>
    </row>
    <row r="920" spans="1:32" x14ac:dyDescent="0.25">
      <c r="A920" s="163"/>
      <c r="B920" s="164" t="s">
        <v>479</v>
      </c>
      <c r="C920" s="134">
        <v>0.71805555555555556</v>
      </c>
      <c r="D920" s="165">
        <v>13.24</v>
      </c>
      <c r="E920" s="165" t="s">
        <v>29</v>
      </c>
      <c r="F920" s="165"/>
      <c r="G920" s="166">
        <v>6.13</v>
      </c>
      <c r="H920" s="167">
        <v>443.58</v>
      </c>
      <c r="I920" s="165"/>
      <c r="N920" s="7" t="str">
        <f t="shared" si="324"/>
        <v>#LIYEMWUGX </v>
      </c>
      <c r="O920" s="7" t="str">
        <f t="shared" si="325"/>
        <v>#LIYEMWUGX </v>
      </c>
      <c r="P920" s="21">
        <f t="shared" si="326"/>
        <v>43261</v>
      </c>
      <c r="Q920" s="22">
        <f>VLOOKUP(R920,Referencias!$D$1:$E$13,2,0)</f>
        <v>6</v>
      </c>
      <c r="R920" s="7" t="str">
        <f t="shared" si="327"/>
        <v>JUN</v>
      </c>
      <c r="S920" s="7">
        <f t="shared" si="328"/>
        <v>0</v>
      </c>
      <c r="T920" s="11">
        <f t="shared" si="329"/>
        <v>10</v>
      </c>
      <c r="U920" s="11">
        <f t="shared" si="330"/>
        <v>0</v>
      </c>
      <c r="V920" s="11" t="str">
        <f>VLOOKUP(C920,Referencias!$A$2:$B$33,2,1)</f>
        <v>17 - 18</v>
      </c>
      <c r="W920" s="23">
        <f t="shared" si="331"/>
        <v>5.1388888888888817E-2</v>
      </c>
      <c r="X920" s="11">
        <f t="shared" si="332"/>
        <v>13.24</v>
      </c>
      <c r="Y920" s="11">
        <f t="shared" si="333"/>
        <v>23.380956913277444</v>
      </c>
      <c r="Z920" s="24">
        <f t="shared" si="334"/>
        <v>6.13</v>
      </c>
      <c r="AA920" s="25">
        <f t="shared" si="335"/>
        <v>4.9702702702702775</v>
      </c>
      <c r="AB920" s="24">
        <f t="shared" si="336"/>
        <v>1</v>
      </c>
      <c r="AC920" s="24">
        <f t="shared" si="337"/>
        <v>4.0160585704632794</v>
      </c>
      <c r="AD920" s="24">
        <f t="shared" si="338"/>
        <v>4.8657588877506992</v>
      </c>
      <c r="AE920" s="24">
        <f t="shared" si="339"/>
        <v>5.7691056286069475</v>
      </c>
      <c r="AF920" s="119" t="str">
        <f>VLOOKUP(P920*1,Referencias!$G:$H,2,0)</f>
        <v>dom</v>
      </c>
    </row>
    <row r="921" spans="1:32" x14ac:dyDescent="0.25">
      <c r="A921" s="163"/>
      <c r="B921" s="164"/>
      <c r="C921" s="134">
        <v>0.76944444444444438</v>
      </c>
      <c r="D921" s="165"/>
      <c r="E921" s="165"/>
      <c r="F921" s="165"/>
      <c r="G921" s="166"/>
      <c r="H921" s="167"/>
      <c r="I921" s="165"/>
      <c r="N921" s="7" t="str">
        <f t="shared" si="324"/>
        <v>#LIYEMWUGX </v>
      </c>
      <c r="O921" s="7">
        <f t="shared" si="325"/>
        <v>0</v>
      </c>
      <c r="P921" s="21">
        <f t="shared" si="326"/>
        <v>43261</v>
      </c>
      <c r="Q921" s="22">
        <f>VLOOKUP(R921,Referencias!$D$1:$E$13,2,0)</f>
        <v>6</v>
      </c>
      <c r="R921" s="7" t="str">
        <f t="shared" si="327"/>
        <v>JUN</v>
      </c>
      <c r="S921" s="7">
        <f t="shared" si="328"/>
        <v>0</v>
      </c>
      <c r="T921" s="11">
        <f t="shared" si="329"/>
        <v>10</v>
      </c>
      <c r="U921" s="11">
        <f t="shared" si="330"/>
        <v>0</v>
      </c>
      <c r="V921" s="11" t="str">
        <f>VLOOKUP(C921,Referencias!$A$2:$B$33,2,1)</f>
        <v>18 - 19</v>
      </c>
      <c r="W921" s="23" t="str">
        <f t="shared" si="331"/>
        <v/>
      </c>
      <c r="X921" s="11">
        <f t="shared" si="332"/>
        <v>0</v>
      </c>
      <c r="Y921" s="11">
        <f t="shared" si="333"/>
        <v>0</v>
      </c>
      <c r="Z921" s="24">
        <f t="shared" si="334"/>
        <v>0</v>
      </c>
      <c r="AA921" s="25">
        <f t="shared" si="335"/>
        <v>0</v>
      </c>
      <c r="AB921" s="24">
        <f t="shared" si="336"/>
        <v>0</v>
      </c>
      <c r="AC921" s="24">
        <f t="shared" si="337"/>
        <v>0</v>
      </c>
      <c r="AD921" s="24">
        <f t="shared" si="338"/>
        <v>0</v>
      </c>
      <c r="AE921" s="24">
        <f t="shared" si="339"/>
        <v>0</v>
      </c>
      <c r="AF921" s="119" t="str">
        <f>VLOOKUP(P921*1,Referencias!$G:$H,2,0)</f>
        <v>dom</v>
      </c>
    </row>
    <row r="922" spans="1:32" x14ac:dyDescent="0.25">
      <c r="A922" s="161"/>
      <c r="B922" s="161"/>
      <c r="C922" s="161"/>
      <c r="D922" s="161"/>
      <c r="E922" s="161"/>
      <c r="F922" s="161"/>
      <c r="G922" s="161"/>
      <c r="H922" s="161"/>
      <c r="I922" s="161"/>
      <c r="N922" s="7" t="str">
        <f t="shared" si="324"/>
        <v>#LIYEMWUGX </v>
      </c>
      <c r="O922" s="7">
        <f t="shared" si="325"/>
        <v>0</v>
      </c>
      <c r="P922" s="21">
        <f t="shared" si="326"/>
        <v>43261</v>
      </c>
      <c r="Q922" s="22">
        <f>VLOOKUP(R922,Referencias!$D$1:$E$13,2,0)</f>
        <v>6</v>
      </c>
      <c r="R922" s="7" t="str">
        <f t="shared" si="327"/>
        <v>JUN</v>
      </c>
      <c r="S922" s="7">
        <f t="shared" si="328"/>
        <v>0</v>
      </c>
      <c r="T922" s="11">
        <f t="shared" si="329"/>
        <v>10</v>
      </c>
      <c r="U922" s="11">
        <f t="shared" si="330"/>
        <v>0</v>
      </c>
      <c r="V922" s="11" t="e">
        <f>VLOOKUP(C922,Referencias!$A$2:$B$33,2,1)</f>
        <v>#N/A</v>
      </c>
      <c r="W922" s="23" t="str">
        <f t="shared" si="331"/>
        <v/>
      </c>
      <c r="X922" s="11">
        <f t="shared" si="332"/>
        <v>0</v>
      </c>
      <c r="Y922" s="11">
        <f t="shared" si="333"/>
        <v>0</v>
      </c>
      <c r="Z922" s="24">
        <f t="shared" si="334"/>
        <v>0</v>
      </c>
      <c r="AA922" s="25">
        <f t="shared" si="335"/>
        <v>0</v>
      </c>
      <c r="AB922" s="24">
        <f t="shared" si="336"/>
        <v>0</v>
      </c>
      <c r="AC922" s="24">
        <f t="shared" si="337"/>
        <v>0</v>
      </c>
      <c r="AD922" s="24">
        <f t="shared" si="338"/>
        <v>0</v>
      </c>
      <c r="AE922" s="24">
        <f t="shared" si="339"/>
        <v>0</v>
      </c>
      <c r="AF922" s="119" t="str">
        <f>VLOOKUP(P922*1,Referencias!$G:$H,2,0)</f>
        <v>dom</v>
      </c>
    </row>
    <row r="923" spans="1:32" x14ac:dyDescent="0.25">
      <c r="A923" s="162"/>
      <c r="B923" s="162"/>
      <c r="C923" s="162"/>
      <c r="D923" s="162"/>
      <c r="E923" s="162"/>
      <c r="F923" s="162"/>
      <c r="G923" s="162"/>
      <c r="H923" s="162"/>
      <c r="I923" s="162"/>
      <c r="N923" s="7" t="str">
        <f t="shared" ref="N923:N941" si="340">IF(O923&lt;&gt;0,O923,N922)</f>
        <v>#LIYEMWUGX </v>
      </c>
      <c r="O923" s="7">
        <f t="shared" ref="O923:O941" si="341">IF(X923&gt;0,B923,0)</f>
        <v>0</v>
      </c>
      <c r="P923" s="21">
        <f t="shared" ref="P923:P941" si="342">(T923&amp;"/"&amp;Q923&amp;"/2018")*1</f>
        <v>43261</v>
      </c>
      <c r="Q923" s="22">
        <f>VLOOKUP(R923,Referencias!$D$1:$E$13,2,0)</f>
        <v>6</v>
      </c>
      <c r="R923" s="7" t="str">
        <f t="shared" ref="R923:R941" si="343">IF(S923="ganhos garantidos",R922,IF(S923&lt;&gt;0,S923,R922))</f>
        <v>JUN</v>
      </c>
      <c r="S923" s="7">
        <f t="shared" ref="S923:S941" si="344">IF(X923&gt;0,A924,0)</f>
        <v>0</v>
      </c>
      <c r="T923" s="11">
        <f t="shared" ref="T923:T941" si="345">IF(U923&lt;&gt;0,U923,T922)</f>
        <v>10</v>
      </c>
      <c r="U923" s="11">
        <f t="shared" ref="U923:U941" si="346">IF(X923&gt;0,A923,0)</f>
        <v>0</v>
      </c>
      <c r="V923" s="11" t="e">
        <f>VLOOKUP(C923,Referencias!$A$2:$B$33,2,1)</f>
        <v>#N/A</v>
      </c>
      <c r="W923" s="23" t="str">
        <f t="shared" ref="W923:W941" si="347">IF(X923&gt;0,C924-C923,"")</f>
        <v/>
      </c>
      <c r="X923" s="11">
        <f t="shared" ref="X923:X941" si="348">D923*1</f>
        <v>0</v>
      </c>
      <c r="Y923" s="11">
        <f t="shared" ref="Y923:Y941" si="349">X923*$AK$2</f>
        <v>0</v>
      </c>
      <c r="Z923" s="24">
        <f t="shared" ref="Z923:Z941" si="350">IF(A923="Ganhos Garantidos",G923,IF(X923&gt;0,G923*1,0))</f>
        <v>0</v>
      </c>
      <c r="AA923" s="25">
        <f t="shared" ref="AA923:AA941" si="351">IFERROR(Z923/(86400*(W923)/360/10),0)</f>
        <v>0</v>
      </c>
      <c r="AB923" s="24">
        <f t="shared" ref="AB923:AB941" si="352">IF(O923&gt;0,1,0)</f>
        <v>0</v>
      </c>
      <c r="AC923" s="24">
        <f t="shared" ref="AC923:AC941" si="353">Z923*$AL$14</f>
        <v>0</v>
      </c>
      <c r="AD923" s="24">
        <f t="shared" ref="AD923:AD941" si="354">Z923*$AN$14</f>
        <v>0</v>
      </c>
      <c r="AE923" s="24">
        <f t="shared" ref="AE923:AE941" si="355">Z923*$AL$26</f>
        <v>0</v>
      </c>
      <c r="AF923" s="119" t="str">
        <f>VLOOKUP(P923*1,Referencias!$G:$H,2,0)</f>
        <v>dom</v>
      </c>
    </row>
    <row r="924" spans="1:32" x14ac:dyDescent="0.25">
      <c r="A924" s="163"/>
      <c r="B924" s="164" t="s">
        <v>480</v>
      </c>
      <c r="C924" s="134">
        <v>0.8222222222222223</v>
      </c>
      <c r="D924" s="165">
        <v>6.44</v>
      </c>
      <c r="E924" s="165" t="s">
        <v>86</v>
      </c>
      <c r="F924" s="165"/>
      <c r="G924" s="166">
        <v>3.96</v>
      </c>
      <c r="H924" s="167">
        <v>447.54</v>
      </c>
      <c r="I924" s="165"/>
      <c r="N924" s="7" t="str">
        <f t="shared" si="340"/>
        <v>#LIGPNJ2LK </v>
      </c>
      <c r="O924" s="7" t="str">
        <f t="shared" si="341"/>
        <v>#LIGPNJ2LK </v>
      </c>
      <c r="P924" s="21">
        <f t="shared" si="342"/>
        <v>43261</v>
      </c>
      <c r="Q924" s="22">
        <f>VLOOKUP(R924,Referencias!$D$1:$E$13,2,0)</f>
        <v>6</v>
      </c>
      <c r="R924" s="7" t="str">
        <f t="shared" si="343"/>
        <v>JUN</v>
      </c>
      <c r="S924" s="7">
        <f t="shared" si="344"/>
        <v>0</v>
      </c>
      <c r="T924" s="11">
        <f t="shared" si="345"/>
        <v>10</v>
      </c>
      <c r="U924" s="11">
        <f t="shared" si="346"/>
        <v>0</v>
      </c>
      <c r="V924" s="11" t="str">
        <f>VLOOKUP(C924,Referencias!$A$2:$B$33,2,1)</f>
        <v>19 - 20</v>
      </c>
      <c r="W924" s="23">
        <f t="shared" si="347"/>
        <v>3.7499999999999867E-2</v>
      </c>
      <c r="X924" s="11">
        <f t="shared" si="348"/>
        <v>6.44</v>
      </c>
      <c r="Y924" s="11">
        <f t="shared" si="349"/>
        <v>11.372610462349453</v>
      </c>
      <c r="Z924" s="24">
        <f t="shared" si="350"/>
        <v>3.96</v>
      </c>
      <c r="AA924" s="25">
        <f t="shared" si="351"/>
        <v>4.4000000000000155</v>
      </c>
      <c r="AB924" s="24">
        <f t="shared" si="352"/>
        <v>1</v>
      </c>
      <c r="AC924" s="24">
        <f t="shared" si="353"/>
        <v>2.5943869394836194</v>
      </c>
      <c r="AD924" s="24">
        <f t="shared" si="354"/>
        <v>3.1432961167198648</v>
      </c>
      <c r="AE924" s="24">
        <f t="shared" si="355"/>
        <v>3.7268610586106869</v>
      </c>
      <c r="AF924" s="119" t="str">
        <f>VLOOKUP(P924*1,Referencias!$G:$H,2,0)</f>
        <v>dom</v>
      </c>
    </row>
    <row r="925" spans="1:32" x14ac:dyDescent="0.25">
      <c r="A925" s="163"/>
      <c r="B925" s="164"/>
      <c r="C925" s="134">
        <v>0.85972222222222217</v>
      </c>
      <c r="D925" s="165"/>
      <c r="E925" s="165"/>
      <c r="F925" s="165"/>
      <c r="G925" s="166"/>
      <c r="H925" s="167"/>
      <c r="I925" s="165"/>
      <c r="N925" s="7" t="str">
        <f t="shared" si="340"/>
        <v>#LIGPNJ2LK </v>
      </c>
      <c r="O925" s="7">
        <f t="shared" si="341"/>
        <v>0</v>
      </c>
      <c r="P925" s="21">
        <f t="shared" si="342"/>
        <v>43261</v>
      </c>
      <c r="Q925" s="22">
        <f>VLOOKUP(R925,Referencias!$D$1:$E$13,2,0)</f>
        <v>6</v>
      </c>
      <c r="R925" s="7" t="str">
        <f t="shared" si="343"/>
        <v>JUN</v>
      </c>
      <c r="S925" s="7">
        <f t="shared" si="344"/>
        <v>0</v>
      </c>
      <c r="T925" s="11">
        <f t="shared" si="345"/>
        <v>10</v>
      </c>
      <c r="U925" s="11">
        <f t="shared" si="346"/>
        <v>0</v>
      </c>
      <c r="V925" s="11" t="str">
        <f>VLOOKUP(C925,Referencias!$A$2:$B$33,2,1)</f>
        <v>20 - 21</v>
      </c>
      <c r="W925" s="23" t="str">
        <f t="shared" si="347"/>
        <v/>
      </c>
      <c r="X925" s="11">
        <f t="shared" si="348"/>
        <v>0</v>
      </c>
      <c r="Y925" s="11">
        <f t="shared" si="349"/>
        <v>0</v>
      </c>
      <c r="Z925" s="24">
        <f t="shared" si="350"/>
        <v>0</v>
      </c>
      <c r="AA925" s="25">
        <f t="shared" si="351"/>
        <v>0</v>
      </c>
      <c r="AB925" s="24">
        <f t="shared" si="352"/>
        <v>0</v>
      </c>
      <c r="AC925" s="24">
        <f t="shared" si="353"/>
        <v>0</v>
      </c>
      <c r="AD925" s="24">
        <f t="shared" si="354"/>
        <v>0</v>
      </c>
      <c r="AE925" s="24">
        <f t="shared" si="355"/>
        <v>0</v>
      </c>
      <c r="AF925" s="119" t="str">
        <f>VLOOKUP(P925*1,Referencias!$G:$H,2,0)</f>
        <v>dom</v>
      </c>
    </row>
    <row r="926" spans="1:32" x14ac:dyDescent="0.25">
      <c r="A926" s="161"/>
      <c r="B926" s="161"/>
      <c r="C926" s="161"/>
      <c r="D926" s="161"/>
      <c r="E926" s="161"/>
      <c r="F926" s="161"/>
      <c r="G926" s="161"/>
      <c r="H926" s="161"/>
      <c r="I926" s="161"/>
      <c r="N926" s="7" t="str">
        <f t="shared" si="340"/>
        <v>#LIGPNJ2LK </v>
      </c>
      <c r="O926" s="7">
        <f t="shared" si="341"/>
        <v>0</v>
      </c>
      <c r="P926" s="21">
        <f t="shared" si="342"/>
        <v>43261</v>
      </c>
      <c r="Q926" s="22">
        <f>VLOOKUP(R926,Referencias!$D$1:$E$13,2,0)</f>
        <v>6</v>
      </c>
      <c r="R926" s="7" t="str">
        <f t="shared" si="343"/>
        <v>JUN</v>
      </c>
      <c r="S926" s="7">
        <f t="shared" si="344"/>
        <v>0</v>
      </c>
      <c r="T926" s="11">
        <f t="shared" si="345"/>
        <v>10</v>
      </c>
      <c r="U926" s="11">
        <f t="shared" si="346"/>
        <v>0</v>
      </c>
      <c r="V926" s="11" t="e">
        <f>VLOOKUP(C926,Referencias!$A$2:$B$33,2,1)</f>
        <v>#N/A</v>
      </c>
      <c r="W926" s="23" t="str">
        <f t="shared" si="347"/>
        <v/>
      </c>
      <c r="X926" s="11">
        <f t="shared" si="348"/>
        <v>0</v>
      </c>
      <c r="Y926" s="11">
        <f t="shared" si="349"/>
        <v>0</v>
      </c>
      <c r="Z926" s="24">
        <f t="shared" si="350"/>
        <v>0</v>
      </c>
      <c r="AA926" s="25">
        <f t="shared" si="351"/>
        <v>0</v>
      </c>
      <c r="AB926" s="24">
        <f t="shared" si="352"/>
        <v>0</v>
      </c>
      <c r="AC926" s="24">
        <f t="shared" si="353"/>
        <v>0</v>
      </c>
      <c r="AD926" s="24">
        <f t="shared" si="354"/>
        <v>0</v>
      </c>
      <c r="AE926" s="24">
        <f t="shared" si="355"/>
        <v>0</v>
      </c>
      <c r="AF926" s="119" t="str">
        <f>VLOOKUP(P926*1,Referencias!$G:$H,2,0)</f>
        <v>dom</v>
      </c>
    </row>
    <row r="927" spans="1:32" x14ac:dyDescent="0.25">
      <c r="A927" s="162"/>
      <c r="B927" s="162"/>
      <c r="C927" s="162"/>
      <c r="D927" s="162"/>
      <c r="E927" s="162"/>
      <c r="F927" s="162"/>
      <c r="G927" s="162"/>
      <c r="H927" s="162"/>
      <c r="I927" s="162"/>
      <c r="N927" s="7" t="str">
        <f t="shared" si="340"/>
        <v>#LIGPNJ2LK </v>
      </c>
      <c r="O927" s="7">
        <f t="shared" si="341"/>
        <v>0</v>
      </c>
      <c r="P927" s="21">
        <f t="shared" si="342"/>
        <v>43261</v>
      </c>
      <c r="Q927" s="22">
        <f>VLOOKUP(R927,Referencias!$D$1:$E$13,2,0)</f>
        <v>6</v>
      </c>
      <c r="R927" s="7" t="str">
        <f t="shared" si="343"/>
        <v>JUN</v>
      </c>
      <c r="S927" s="7">
        <f t="shared" si="344"/>
        <v>0</v>
      </c>
      <c r="T927" s="11">
        <f t="shared" si="345"/>
        <v>10</v>
      </c>
      <c r="U927" s="11">
        <f t="shared" si="346"/>
        <v>0</v>
      </c>
      <c r="V927" s="11" t="e">
        <f>VLOOKUP(C927,Referencias!$A$2:$B$33,2,1)</f>
        <v>#N/A</v>
      </c>
      <c r="W927" s="23" t="str">
        <f t="shared" si="347"/>
        <v/>
      </c>
      <c r="X927" s="11">
        <f t="shared" si="348"/>
        <v>0</v>
      </c>
      <c r="Y927" s="11">
        <f t="shared" si="349"/>
        <v>0</v>
      </c>
      <c r="Z927" s="24">
        <f t="shared" si="350"/>
        <v>0</v>
      </c>
      <c r="AA927" s="25">
        <f t="shared" si="351"/>
        <v>0</v>
      </c>
      <c r="AB927" s="24">
        <f t="shared" si="352"/>
        <v>0</v>
      </c>
      <c r="AC927" s="24">
        <f t="shared" si="353"/>
        <v>0</v>
      </c>
      <c r="AD927" s="24">
        <f t="shared" si="354"/>
        <v>0</v>
      </c>
      <c r="AE927" s="24">
        <f t="shared" si="355"/>
        <v>0</v>
      </c>
      <c r="AF927" s="119" t="str">
        <f>VLOOKUP(P927*1,Referencias!$G:$H,2,0)</f>
        <v>dom</v>
      </c>
    </row>
    <row r="928" spans="1:32" x14ac:dyDescent="0.25">
      <c r="A928" s="163"/>
      <c r="B928" s="164" t="s">
        <v>481</v>
      </c>
      <c r="C928" s="134">
        <v>0.85972222222222217</v>
      </c>
      <c r="D928" s="165">
        <v>7.73</v>
      </c>
      <c r="E928" s="165" t="s">
        <v>36</v>
      </c>
      <c r="F928" s="149">
        <v>0.84</v>
      </c>
      <c r="G928" s="166">
        <v>5.04</v>
      </c>
      <c r="H928" s="167">
        <v>452.58</v>
      </c>
      <c r="I928" s="165"/>
      <c r="N928" s="7" t="str">
        <f t="shared" si="340"/>
        <v>#LIE1PML1X </v>
      </c>
      <c r="O928" s="7" t="str">
        <f t="shared" si="341"/>
        <v>#LIE1PML1X </v>
      </c>
      <c r="P928" s="21">
        <f t="shared" si="342"/>
        <v>43261</v>
      </c>
      <c r="Q928" s="22">
        <f>VLOOKUP(R928,Referencias!$D$1:$E$13,2,0)</f>
        <v>6</v>
      </c>
      <c r="R928" s="7" t="str">
        <f t="shared" si="343"/>
        <v>JUN</v>
      </c>
      <c r="S928" s="7">
        <f t="shared" si="344"/>
        <v>0</v>
      </c>
      <c r="T928" s="11">
        <f t="shared" si="345"/>
        <v>10</v>
      </c>
      <c r="U928" s="11">
        <f t="shared" si="346"/>
        <v>0</v>
      </c>
      <c r="V928" s="11" t="str">
        <f>VLOOKUP(C928,Referencias!$A$2:$B$33,2,1)</f>
        <v>20 - 21</v>
      </c>
      <c r="W928" s="23">
        <f t="shared" si="347"/>
        <v>1.8055555555555602E-2</v>
      </c>
      <c r="X928" s="11">
        <f t="shared" si="348"/>
        <v>7.73</v>
      </c>
      <c r="Y928" s="11">
        <f t="shared" si="349"/>
        <v>13.650664421422556</v>
      </c>
      <c r="Z928" s="24">
        <f t="shared" si="350"/>
        <v>5.04</v>
      </c>
      <c r="AA928" s="25">
        <f t="shared" si="351"/>
        <v>11.6307692307692</v>
      </c>
      <c r="AB928" s="24">
        <f t="shared" si="352"/>
        <v>1</v>
      </c>
      <c r="AC928" s="24">
        <f t="shared" si="353"/>
        <v>3.3019470138882432</v>
      </c>
      <c r="AD928" s="24">
        <f t="shared" si="354"/>
        <v>4.0005586940071005</v>
      </c>
      <c r="AE928" s="24">
        <f t="shared" si="355"/>
        <v>4.743277710959056</v>
      </c>
      <c r="AF928" s="119" t="str">
        <f>VLOOKUP(P928*1,Referencias!$G:$H,2,0)</f>
        <v>dom</v>
      </c>
    </row>
    <row r="929" spans="1:32" x14ac:dyDescent="0.25">
      <c r="A929" s="163"/>
      <c r="B929" s="164"/>
      <c r="C929" s="134">
        <v>0.87777777777777777</v>
      </c>
      <c r="D929" s="165"/>
      <c r="E929" s="165"/>
      <c r="F929" s="145" t="s">
        <v>377</v>
      </c>
      <c r="G929" s="166"/>
      <c r="H929" s="167"/>
      <c r="I929" s="165"/>
      <c r="N929" s="7" t="str">
        <f t="shared" si="340"/>
        <v>#LIE1PML1X </v>
      </c>
      <c r="O929" s="7">
        <f t="shared" si="341"/>
        <v>0</v>
      </c>
      <c r="P929" s="21">
        <f t="shared" si="342"/>
        <v>43261</v>
      </c>
      <c r="Q929" s="22">
        <f>VLOOKUP(R929,Referencias!$D$1:$E$13,2,0)</f>
        <v>6</v>
      </c>
      <c r="R929" s="7" t="str">
        <f t="shared" si="343"/>
        <v>JUN</v>
      </c>
      <c r="S929" s="7">
        <f t="shared" si="344"/>
        <v>0</v>
      </c>
      <c r="T929" s="11">
        <f t="shared" si="345"/>
        <v>10</v>
      </c>
      <c r="U929" s="11">
        <f t="shared" si="346"/>
        <v>0</v>
      </c>
      <c r="V929" s="11" t="str">
        <f>VLOOKUP(C929,Referencias!$A$2:$B$33,2,1)</f>
        <v>21 - 22</v>
      </c>
      <c r="W929" s="23" t="str">
        <f t="shared" si="347"/>
        <v/>
      </c>
      <c r="X929" s="11">
        <f t="shared" si="348"/>
        <v>0</v>
      </c>
      <c r="Y929" s="11">
        <f t="shared" si="349"/>
        <v>0</v>
      </c>
      <c r="Z929" s="24">
        <f t="shared" si="350"/>
        <v>0</v>
      </c>
      <c r="AA929" s="25">
        <f t="shared" si="351"/>
        <v>0</v>
      </c>
      <c r="AB929" s="24">
        <f t="shared" si="352"/>
        <v>0</v>
      </c>
      <c r="AC929" s="24">
        <f t="shared" si="353"/>
        <v>0</v>
      </c>
      <c r="AD929" s="24">
        <f t="shared" si="354"/>
        <v>0</v>
      </c>
      <c r="AE929" s="24">
        <f t="shared" si="355"/>
        <v>0</v>
      </c>
      <c r="AF929" s="119" t="str">
        <f>VLOOKUP(P929*1,Referencias!$G:$H,2,0)</f>
        <v>dom</v>
      </c>
    </row>
    <row r="930" spans="1:32" x14ac:dyDescent="0.25">
      <c r="A930" s="161"/>
      <c r="B930" s="161"/>
      <c r="C930" s="161"/>
      <c r="D930" s="161"/>
      <c r="E930" s="161"/>
      <c r="F930" s="161"/>
      <c r="G930" s="161"/>
      <c r="H930" s="161"/>
      <c r="I930" s="161"/>
      <c r="N930" s="7" t="str">
        <f t="shared" si="340"/>
        <v>#LIE1PML1X </v>
      </c>
      <c r="O930" s="7">
        <f t="shared" si="341"/>
        <v>0</v>
      </c>
      <c r="P930" s="21">
        <f t="shared" si="342"/>
        <v>43261</v>
      </c>
      <c r="Q930" s="22">
        <f>VLOOKUP(R930,Referencias!$D$1:$E$13,2,0)</f>
        <v>6</v>
      </c>
      <c r="R930" s="7" t="str">
        <f t="shared" si="343"/>
        <v>JUN</v>
      </c>
      <c r="S930" s="7">
        <f t="shared" si="344"/>
        <v>0</v>
      </c>
      <c r="T930" s="11">
        <f t="shared" si="345"/>
        <v>10</v>
      </c>
      <c r="U930" s="11">
        <f t="shared" si="346"/>
        <v>0</v>
      </c>
      <c r="V930" s="11" t="e">
        <f>VLOOKUP(C930,Referencias!$A$2:$B$33,2,1)</f>
        <v>#N/A</v>
      </c>
      <c r="W930" s="23" t="str">
        <f t="shared" si="347"/>
        <v/>
      </c>
      <c r="X930" s="11">
        <f t="shared" si="348"/>
        <v>0</v>
      </c>
      <c r="Y930" s="11">
        <f t="shared" si="349"/>
        <v>0</v>
      </c>
      <c r="Z930" s="24">
        <f t="shared" si="350"/>
        <v>0</v>
      </c>
      <c r="AA930" s="25">
        <f t="shared" si="351"/>
        <v>0</v>
      </c>
      <c r="AB930" s="24">
        <f t="shared" si="352"/>
        <v>0</v>
      </c>
      <c r="AC930" s="24">
        <f t="shared" si="353"/>
        <v>0</v>
      </c>
      <c r="AD930" s="24">
        <f t="shared" si="354"/>
        <v>0</v>
      </c>
      <c r="AE930" s="24">
        <f t="shared" si="355"/>
        <v>0</v>
      </c>
      <c r="AF930" s="119" t="str">
        <f>VLOOKUP(P930*1,Referencias!$G:$H,2,0)</f>
        <v>dom</v>
      </c>
    </row>
    <row r="931" spans="1:32" x14ac:dyDescent="0.25">
      <c r="A931" s="162"/>
      <c r="B931" s="162"/>
      <c r="C931" s="162"/>
      <c r="D931" s="162"/>
      <c r="E931" s="162"/>
      <c r="F931" s="162"/>
      <c r="G931" s="162"/>
      <c r="H931" s="162"/>
      <c r="I931" s="162"/>
      <c r="N931" s="7" t="str">
        <f t="shared" si="340"/>
        <v>#LIE1PML1X </v>
      </c>
      <c r="O931" s="7">
        <f t="shared" si="341"/>
        <v>0</v>
      </c>
      <c r="P931" s="21">
        <f t="shared" si="342"/>
        <v>43261</v>
      </c>
      <c r="Q931" s="22">
        <f>VLOOKUP(R931,Referencias!$D$1:$E$13,2,0)</f>
        <v>6</v>
      </c>
      <c r="R931" s="7" t="str">
        <f t="shared" si="343"/>
        <v>JUN</v>
      </c>
      <c r="S931" s="7">
        <f t="shared" si="344"/>
        <v>0</v>
      </c>
      <c r="T931" s="11">
        <f t="shared" si="345"/>
        <v>10</v>
      </c>
      <c r="U931" s="11">
        <f t="shared" si="346"/>
        <v>0</v>
      </c>
      <c r="V931" s="11" t="e">
        <f>VLOOKUP(C931,Referencias!$A$2:$B$33,2,1)</f>
        <v>#N/A</v>
      </c>
      <c r="W931" s="23" t="str">
        <f t="shared" si="347"/>
        <v/>
      </c>
      <c r="X931" s="11">
        <f t="shared" si="348"/>
        <v>0</v>
      </c>
      <c r="Y931" s="11">
        <f t="shared" si="349"/>
        <v>0</v>
      </c>
      <c r="Z931" s="24">
        <f t="shared" si="350"/>
        <v>0</v>
      </c>
      <c r="AA931" s="25">
        <f t="shared" si="351"/>
        <v>0</v>
      </c>
      <c r="AB931" s="24">
        <f t="shared" si="352"/>
        <v>0</v>
      </c>
      <c r="AC931" s="24">
        <f t="shared" si="353"/>
        <v>0</v>
      </c>
      <c r="AD931" s="24">
        <f t="shared" si="354"/>
        <v>0</v>
      </c>
      <c r="AE931" s="24">
        <f t="shared" si="355"/>
        <v>0</v>
      </c>
      <c r="AF931" s="119" t="str">
        <f>VLOOKUP(P931*1,Referencias!$G:$H,2,0)</f>
        <v>dom</v>
      </c>
    </row>
    <row r="932" spans="1:32" x14ac:dyDescent="0.25">
      <c r="A932" s="163"/>
      <c r="B932" s="164" t="s">
        <v>482</v>
      </c>
      <c r="C932" s="134">
        <v>0.87777777777777777</v>
      </c>
      <c r="D932" s="165">
        <v>4.92</v>
      </c>
      <c r="E932" s="165" t="s">
        <v>48</v>
      </c>
      <c r="F932" s="165"/>
      <c r="G932" s="166">
        <v>3.34</v>
      </c>
      <c r="H932" s="167">
        <v>455.92</v>
      </c>
      <c r="I932" s="165"/>
      <c r="N932" s="7" t="str">
        <f t="shared" si="340"/>
        <v>#LIR8GYC3F </v>
      </c>
      <c r="O932" s="7" t="str">
        <f t="shared" si="341"/>
        <v>#LIR8GYC3F </v>
      </c>
      <c r="P932" s="21">
        <f t="shared" si="342"/>
        <v>43261</v>
      </c>
      <c r="Q932" s="22">
        <f>VLOOKUP(R932,Referencias!$D$1:$E$13,2,0)</f>
        <v>6</v>
      </c>
      <c r="R932" s="7" t="str">
        <f t="shared" si="343"/>
        <v>JUN</v>
      </c>
      <c r="S932" s="7">
        <f t="shared" si="344"/>
        <v>0</v>
      </c>
      <c r="T932" s="11">
        <f t="shared" si="345"/>
        <v>10</v>
      </c>
      <c r="U932" s="11">
        <f t="shared" si="346"/>
        <v>0</v>
      </c>
      <c r="V932" s="11" t="str">
        <f>VLOOKUP(C932,Referencias!$A$2:$B$33,2,1)</f>
        <v>21 - 22</v>
      </c>
      <c r="W932" s="23">
        <f t="shared" si="347"/>
        <v>2.6388888888888906E-2</v>
      </c>
      <c r="X932" s="11">
        <f t="shared" si="348"/>
        <v>4.92</v>
      </c>
      <c r="Y932" s="11">
        <f t="shared" si="349"/>
        <v>8.6883918439067234</v>
      </c>
      <c r="Z932" s="24">
        <f t="shared" si="350"/>
        <v>3.34</v>
      </c>
      <c r="AA932" s="25">
        <f t="shared" si="351"/>
        <v>5.2736842105263122</v>
      </c>
      <c r="AB932" s="24">
        <f t="shared" si="352"/>
        <v>1</v>
      </c>
      <c r="AC932" s="24">
        <f t="shared" si="353"/>
        <v>2.1881950449180025</v>
      </c>
      <c r="AD932" s="24">
        <f t="shared" si="354"/>
        <v>2.6511638964253401</v>
      </c>
      <c r="AE932" s="24">
        <f t="shared" si="355"/>
        <v>3.1433626100403269</v>
      </c>
      <c r="AF932" s="119" t="str">
        <f>VLOOKUP(P932*1,Referencias!$G:$H,2,0)</f>
        <v>dom</v>
      </c>
    </row>
    <row r="933" spans="1:32" x14ac:dyDescent="0.25">
      <c r="A933" s="163"/>
      <c r="B933" s="164"/>
      <c r="C933" s="134">
        <v>0.90416666666666667</v>
      </c>
      <c r="D933" s="165"/>
      <c r="E933" s="165"/>
      <c r="F933" s="165"/>
      <c r="G933" s="166"/>
      <c r="H933" s="167"/>
      <c r="I933" s="165"/>
      <c r="N933" s="7" t="str">
        <f t="shared" si="340"/>
        <v>#LIR8GYC3F </v>
      </c>
      <c r="O933" s="7">
        <f t="shared" si="341"/>
        <v>0</v>
      </c>
      <c r="P933" s="21">
        <f t="shared" si="342"/>
        <v>43261</v>
      </c>
      <c r="Q933" s="22">
        <f>VLOOKUP(R933,Referencias!$D$1:$E$13,2,0)</f>
        <v>6</v>
      </c>
      <c r="R933" s="7" t="str">
        <f t="shared" si="343"/>
        <v>JUN</v>
      </c>
      <c r="S933" s="7">
        <f t="shared" si="344"/>
        <v>0</v>
      </c>
      <c r="T933" s="11">
        <f t="shared" si="345"/>
        <v>10</v>
      </c>
      <c r="U933" s="11">
        <f t="shared" si="346"/>
        <v>0</v>
      </c>
      <c r="V933" s="11" t="str">
        <f>VLOOKUP(C933,Referencias!$A$2:$B$33,2,1)</f>
        <v>21 - 22</v>
      </c>
      <c r="W933" s="23" t="str">
        <f t="shared" si="347"/>
        <v/>
      </c>
      <c r="X933" s="11">
        <f t="shared" si="348"/>
        <v>0</v>
      </c>
      <c r="Y933" s="11">
        <f t="shared" si="349"/>
        <v>0</v>
      </c>
      <c r="Z933" s="24">
        <f t="shared" si="350"/>
        <v>0</v>
      </c>
      <c r="AA933" s="25">
        <f t="shared" si="351"/>
        <v>0</v>
      </c>
      <c r="AB933" s="24">
        <f t="shared" si="352"/>
        <v>0</v>
      </c>
      <c r="AC933" s="24">
        <f t="shared" si="353"/>
        <v>0</v>
      </c>
      <c r="AD933" s="24">
        <f t="shared" si="354"/>
        <v>0</v>
      </c>
      <c r="AE933" s="24">
        <f t="shared" si="355"/>
        <v>0</v>
      </c>
      <c r="AF933" s="119" t="str">
        <f>VLOOKUP(P933*1,Referencias!$G:$H,2,0)</f>
        <v>dom</v>
      </c>
    </row>
    <row r="934" spans="1:32" x14ac:dyDescent="0.25">
      <c r="A934" s="161"/>
      <c r="B934" s="161"/>
      <c r="C934" s="161"/>
      <c r="D934" s="161"/>
      <c r="E934" s="161"/>
      <c r="F934" s="161"/>
      <c r="G934" s="161"/>
      <c r="H934" s="161"/>
      <c r="I934" s="161"/>
      <c r="N934" s="7" t="str">
        <f t="shared" si="340"/>
        <v>#LIR8GYC3F </v>
      </c>
      <c r="O934" s="7">
        <f t="shared" si="341"/>
        <v>0</v>
      </c>
      <c r="P934" s="21">
        <f t="shared" si="342"/>
        <v>43261</v>
      </c>
      <c r="Q934" s="22">
        <f>VLOOKUP(R934,Referencias!$D$1:$E$13,2,0)</f>
        <v>6</v>
      </c>
      <c r="R934" s="7" t="str">
        <f t="shared" si="343"/>
        <v>JUN</v>
      </c>
      <c r="S934" s="7">
        <f t="shared" si="344"/>
        <v>0</v>
      </c>
      <c r="T934" s="11">
        <f t="shared" si="345"/>
        <v>10</v>
      </c>
      <c r="U934" s="11">
        <f t="shared" si="346"/>
        <v>0</v>
      </c>
      <c r="V934" s="11" t="e">
        <f>VLOOKUP(C934,Referencias!$A$2:$B$33,2,1)</f>
        <v>#N/A</v>
      </c>
      <c r="W934" s="23" t="str">
        <f t="shared" si="347"/>
        <v/>
      </c>
      <c r="X934" s="11">
        <f t="shared" si="348"/>
        <v>0</v>
      </c>
      <c r="Y934" s="11">
        <f t="shared" si="349"/>
        <v>0</v>
      </c>
      <c r="Z934" s="24">
        <f t="shared" si="350"/>
        <v>0</v>
      </c>
      <c r="AA934" s="25">
        <f t="shared" si="351"/>
        <v>0</v>
      </c>
      <c r="AB934" s="24">
        <f t="shared" si="352"/>
        <v>0</v>
      </c>
      <c r="AC934" s="24">
        <f t="shared" si="353"/>
        <v>0</v>
      </c>
      <c r="AD934" s="24">
        <f t="shared" si="354"/>
        <v>0</v>
      </c>
      <c r="AE934" s="24">
        <f t="shared" si="355"/>
        <v>0</v>
      </c>
      <c r="AF934" s="119" t="str">
        <f>VLOOKUP(P934*1,Referencias!$G:$H,2,0)</f>
        <v>dom</v>
      </c>
    </row>
    <row r="935" spans="1:32" x14ac:dyDescent="0.25">
      <c r="A935" s="162"/>
      <c r="B935" s="162"/>
      <c r="C935" s="162"/>
      <c r="D935" s="162"/>
      <c r="E935" s="162"/>
      <c r="F935" s="162"/>
      <c r="G935" s="162"/>
      <c r="H935" s="162"/>
      <c r="I935" s="162"/>
      <c r="N935" s="7" t="str">
        <f t="shared" si="340"/>
        <v>#LIR8GYC3F </v>
      </c>
      <c r="O935" s="7">
        <f t="shared" si="341"/>
        <v>0</v>
      </c>
      <c r="P935" s="21">
        <f t="shared" si="342"/>
        <v>43261</v>
      </c>
      <c r="Q935" s="22">
        <f>VLOOKUP(R935,Referencias!$D$1:$E$13,2,0)</f>
        <v>6</v>
      </c>
      <c r="R935" s="7" t="str">
        <f t="shared" si="343"/>
        <v>JUN</v>
      </c>
      <c r="S935" s="7">
        <f t="shared" si="344"/>
        <v>0</v>
      </c>
      <c r="T935" s="11">
        <f t="shared" si="345"/>
        <v>10</v>
      </c>
      <c r="U935" s="11">
        <f t="shared" si="346"/>
        <v>0</v>
      </c>
      <c r="V935" s="11" t="e">
        <f>VLOOKUP(C935,Referencias!$A$2:$B$33,2,1)</f>
        <v>#N/A</v>
      </c>
      <c r="W935" s="23" t="str">
        <f t="shared" si="347"/>
        <v/>
      </c>
      <c r="X935" s="11">
        <f t="shared" si="348"/>
        <v>0</v>
      </c>
      <c r="Y935" s="11">
        <f t="shared" si="349"/>
        <v>0</v>
      </c>
      <c r="Z935" s="24">
        <f t="shared" si="350"/>
        <v>0</v>
      </c>
      <c r="AA935" s="25">
        <f t="shared" si="351"/>
        <v>0</v>
      </c>
      <c r="AB935" s="24">
        <f t="shared" si="352"/>
        <v>0</v>
      </c>
      <c r="AC935" s="24">
        <f t="shared" si="353"/>
        <v>0</v>
      </c>
      <c r="AD935" s="24">
        <f t="shared" si="354"/>
        <v>0</v>
      </c>
      <c r="AE935" s="24">
        <f t="shared" si="355"/>
        <v>0</v>
      </c>
      <c r="AF935" s="119" t="str">
        <f>VLOOKUP(P935*1,Referencias!$G:$H,2,0)</f>
        <v>dom</v>
      </c>
    </row>
    <row r="936" spans="1:32" x14ac:dyDescent="0.25">
      <c r="A936" s="163"/>
      <c r="B936" s="164" t="s">
        <v>483</v>
      </c>
      <c r="C936" s="134">
        <v>0.90416666666666667</v>
      </c>
      <c r="D936" s="165">
        <v>6.03</v>
      </c>
      <c r="E936" s="165" t="s">
        <v>62</v>
      </c>
      <c r="F936" s="165"/>
      <c r="G936" s="166">
        <v>3.67</v>
      </c>
      <c r="H936" s="167">
        <v>459.59</v>
      </c>
      <c r="I936" s="165"/>
      <c r="N936" s="7" t="str">
        <f t="shared" si="340"/>
        <v>#LI4DPSDXD </v>
      </c>
      <c r="O936" s="7" t="str">
        <f t="shared" si="341"/>
        <v>#LI4DPSDXD </v>
      </c>
      <c r="P936" s="21">
        <f t="shared" si="342"/>
        <v>43261</v>
      </c>
      <c r="Q936" s="22">
        <f>VLOOKUP(R936,Referencias!$D$1:$E$13,2,0)</f>
        <v>6</v>
      </c>
      <c r="R936" s="7" t="str">
        <f t="shared" si="343"/>
        <v>JUN</v>
      </c>
      <c r="S936" s="7">
        <f t="shared" si="344"/>
        <v>0</v>
      </c>
      <c r="T936" s="11">
        <f t="shared" si="345"/>
        <v>10</v>
      </c>
      <c r="U936" s="11">
        <f t="shared" si="346"/>
        <v>0</v>
      </c>
      <c r="V936" s="11" t="str">
        <f>VLOOKUP(C936,Referencias!$A$2:$B$33,2,1)</f>
        <v>21 - 22</v>
      </c>
      <c r="W936" s="23">
        <f t="shared" si="347"/>
        <v>2.1527777777777701E-2</v>
      </c>
      <c r="X936" s="11">
        <f t="shared" si="348"/>
        <v>6.03</v>
      </c>
      <c r="Y936" s="11">
        <f t="shared" si="349"/>
        <v>10.648577808690559</v>
      </c>
      <c r="Z936" s="24">
        <f t="shared" si="350"/>
        <v>3.67</v>
      </c>
      <c r="AA936" s="25">
        <f t="shared" si="351"/>
        <v>7.103225806451638</v>
      </c>
      <c r="AB936" s="24">
        <f t="shared" si="352"/>
        <v>1</v>
      </c>
      <c r="AC936" s="24">
        <f t="shared" si="353"/>
        <v>2.4043939565416372</v>
      </c>
      <c r="AD936" s="24">
        <f t="shared" si="354"/>
        <v>2.9131052394853292</v>
      </c>
      <c r="AE936" s="24">
        <f t="shared" si="355"/>
        <v>3.4539343649245509</v>
      </c>
      <c r="AF936" s="119" t="str">
        <f>VLOOKUP(P936*1,Referencias!$G:$H,2,0)</f>
        <v>dom</v>
      </c>
    </row>
    <row r="937" spans="1:32" x14ac:dyDescent="0.25">
      <c r="A937" s="163"/>
      <c r="B937" s="164"/>
      <c r="C937" s="134">
        <v>0.92569444444444438</v>
      </c>
      <c r="D937" s="165"/>
      <c r="E937" s="165"/>
      <c r="F937" s="165"/>
      <c r="G937" s="166"/>
      <c r="H937" s="167"/>
      <c r="I937" s="165"/>
      <c r="N937" s="7" t="str">
        <f t="shared" si="340"/>
        <v>#LI4DPSDXD </v>
      </c>
      <c r="O937" s="7">
        <f t="shared" si="341"/>
        <v>0</v>
      </c>
      <c r="P937" s="21">
        <f t="shared" si="342"/>
        <v>43261</v>
      </c>
      <c r="Q937" s="22">
        <f>VLOOKUP(R937,Referencias!$D$1:$E$13,2,0)</f>
        <v>6</v>
      </c>
      <c r="R937" s="7" t="str">
        <f t="shared" si="343"/>
        <v>JUN</v>
      </c>
      <c r="S937" s="7">
        <f t="shared" si="344"/>
        <v>0</v>
      </c>
      <c r="T937" s="11">
        <f t="shared" si="345"/>
        <v>10</v>
      </c>
      <c r="U937" s="11">
        <f t="shared" si="346"/>
        <v>0</v>
      </c>
      <c r="V937" s="11" t="str">
        <f>VLOOKUP(C937,Referencias!$A$2:$B$33,2,1)</f>
        <v>22 - 23</v>
      </c>
      <c r="W937" s="23" t="str">
        <f t="shared" si="347"/>
        <v/>
      </c>
      <c r="X937" s="11">
        <f t="shared" si="348"/>
        <v>0</v>
      </c>
      <c r="Y937" s="11">
        <f t="shared" si="349"/>
        <v>0</v>
      </c>
      <c r="Z937" s="24">
        <f t="shared" si="350"/>
        <v>0</v>
      </c>
      <c r="AA937" s="25">
        <f t="shared" si="351"/>
        <v>0</v>
      </c>
      <c r="AB937" s="24">
        <f t="shared" si="352"/>
        <v>0</v>
      </c>
      <c r="AC937" s="24">
        <f t="shared" si="353"/>
        <v>0</v>
      </c>
      <c r="AD937" s="24">
        <f t="shared" si="354"/>
        <v>0</v>
      </c>
      <c r="AE937" s="24">
        <f t="shared" si="355"/>
        <v>0</v>
      </c>
      <c r="AF937" s="119" t="str">
        <f>VLOOKUP(P937*1,Referencias!$G:$H,2,0)</f>
        <v>dom</v>
      </c>
    </row>
    <row r="938" spans="1:32" x14ac:dyDescent="0.25">
      <c r="A938" s="161"/>
      <c r="B938" s="161"/>
      <c r="C938" s="161"/>
      <c r="D938" s="161"/>
      <c r="E938" s="161"/>
      <c r="F938" s="161"/>
      <c r="G938" s="161"/>
      <c r="H938" s="161"/>
      <c r="I938" s="161"/>
      <c r="N938" s="7" t="str">
        <f t="shared" si="340"/>
        <v>#LI4DPSDXD </v>
      </c>
      <c r="O938" s="7">
        <f t="shared" si="341"/>
        <v>0</v>
      </c>
      <c r="P938" s="21">
        <f t="shared" si="342"/>
        <v>43261</v>
      </c>
      <c r="Q938" s="22">
        <f>VLOOKUP(R938,Referencias!$D$1:$E$13,2,0)</f>
        <v>6</v>
      </c>
      <c r="R938" s="7" t="str">
        <f t="shared" si="343"/>
        <v>JUN</v>
      </c>
      <c r="S938" s="7">
        <f t="shared" si="344"/>
        <v>0</v>
      </c>
      <c r="T938" s="11">
        <f t="shared" si="345"/>
        <v>10</v>
      </c>
      <c r="U938" s="11">
        <f t="shared" si="346"/>
        <v>0</v>
      </c>
      <c r="V938" s="11" t="e">
        <f>VLOOKUP(C938,Referencias!$A$2:$B$33,2,1)</f>
        <v>#N/A</v>
      </c>
      <c r="W938" s="23" t="str">
        <f t="shared" si="347"/>
        <v/>
      </c>
      <c r="X938" s="11">
        <f t="shared" si="348"/>
        <v>0</v>
      </c>
      <c r="Y938" s="11">
        <f t="shared" si="349"/>
        <v>0</v>
      </c>
      <c r="Z938" s="24">
        <f t="shared" si="350"/>
        <v>0</v>
      </c>
      <c r="AA938" s="25">
        <f t="shared" si="351"/>
        <v>0</v>
      </c>
      <c r="AB938" s="24">
        <f t="shared" si="352"/>
        <v>0</v>
      </c>
      <c r="AC938" s="24">
        <f t="shared" si="353"/>
        <v>0</v>
      </c>
      <c r="AD938" s="24">
        <f t="shared" si="354"/>
        <v>0</v>
      </c>
      <c r="AE938" s="24">
        <f t="shared" si="355"/>
        <v>0</v>
      </c>
      <c r="AF938" s="119" t="str">
        <f>VLOOKUP(P938*1,Referencias!$G:$H,2,0)</f>
        <v>dom</v>
      </c>
    </row>
    <row r="939" spans="1:32" x14ac:dyDescent="0.25">
      <c r="A939" s="162"/>
      <c r="B939" s="162"/>
      <c r="C939" s="162"/>
      <c r="D939" s="162"/>
      <c r="E939" s="162"/>
      <c r="F939" s="162"/>
      <c r="G939" s="162"/>
      <c r="H939" s="162"/>
      <c r="I939" s="162"/>
      <c r="N939" s="7" t="str">
        <f t="shared" si="340"/>
        <v>#LI4DPSDXD </v>
      </c>
      <c r="O939" s="7">
        <f t="shared" si="341"/>
        <v>0</v>
      </c>
      <c r="P939" s="21">
        <f t="shared" si="342"/>
        <v>43261</v>
      </c>
      <c r="Q939" s="22">
        <f>VLOOKUP(R939,Referencias!$D$1:$E$13,2,0)</f>
        <v>6</v>
      </c>
      <c r="R939" s="7" t="str">
        <f t="shared" si="343"/>
        <v>JUN</v>
      </c>
      <c r="S939" s="7">
        <f t="shared" si="344"/>
        <v>0</v>
      </c>
      <c r="T939" s="11">
        <f t="shared" si="345"/>
        <v>10</v>
      </c>
      <c r="U939" s="11">
        <f t="shared" si="346"/>
        <v>0</v>
      </c>
      <c r="V939" s="11" t="e">
        <f>VLOOKUP(C939,Referencias!$A$2:$B$33,2,1)</f>
        <v>#N/A</v>
      </c>
      <c r="W939" s="23" t="str">
        <f t="shared" si="347"/>
        <v/>
      </c>
      <c r="X939" s="11">
        <f t="shared" si="348"/>
        <v>0</v>
      </c>
      <c r="Y939" s="11">
        <f t="shared" si="349"/>
        <v>0</v>
      </c>
      <c r="Z939" s="24">
        <f t="shared" si="350"/>
        <v>0</v>
      </c>
      <c r="AA939" s="25">
        <f t="shared" si="351"/>
        <v>0</v>
      </c>
      <c r="AB939" s="24">
        <f t="shared" si="352"/>
        <v>0</v>
      </c>
      <c r="AC939" s="24">
        <f t="shared" si="353"/>
        <v>0</v>
      </c>
      <c r="AD939" s="24">
        <f t="shared" si="354"/>
        <v>0</v>
      </c>
      <c r="AE939" s="24">
        <f t="shared" si="355"/>
        <v>0</v>
      </c>
      <c r="AF939" s="119" t="str">
        <f>VLOOKUP(P939*1,Referencias!$G:$H,2,0)</f>
        <v>dom</v>
      </c>
    </row>
    <row r="940" spans="1:32" ht="14.4" x14ac:dyDescent="0.3">
      <c r="A940" s="163"/>
      <c r="B940" s="164" t="s">
        <v>484</v>
      </c>
      <c r="C940" s="134">
        <v>0.92569444444444438</v>
      </c>
      <c r="D940" s="165">
        <v>5.48</v>
      </c>
      <c r="E940" s="165" t="s">
        <v>36</v>
      </c>
      <c r="F940" s="149">
        <v>0.68</v>
      </c>
      <c r="G940" s="166">
        <v>4.09</v>
      </c>
      <c r="H940" s="167">
        <v>463.68</v>
      </c>
      <c r="I940"/>
      <c r="N940" s="7" t="str">
        <f t="shared" si="340"/>
        <v>#LIJHKCDZC </v>
      </c>
      <c r="O940" s="7" t="str">
        <f t="shared" si="341"/>
        <v>#LIJHKCDZC </v>
      </c>
      <c r="P940" s="21">
        <f t="shared" si="342"/>
        <v>43261</v>
      </c>
      <c r="Q940" s="22">
        <f>VLOOKUP(R940,Referencias!$D$1:$E$13,2,0)</f>
        <v>6</v>
      </c>
      <c r="R940" s="7" t="str">
        <f t="shared" si="343"/>
        <v>JUN</v>
      </c>
      <c r="S940" s="7">
        <f t="shared" si="344"/>
        <v>0</v>
      </c>
      <c r="T940" s="11">
        <f t="shared" si="345"/>
        <v>10</v>
      </c>
      <c r="U940" s="11">
        <f t="shared" si="346"/>
        <v>0</v>
      </c>
      <c r="V940" s="11" t="str">
        <f>VLOOKUP(C940,Referencias!$A$2:$B$33,2,1)</f>
        <v>22 - 23</v>
      </c>
      <c r="W940" s="23">
        <f t="shared" si="347"/>
        <v>2.083333333333337E-2</v>
      </c>
      <c r="X940" s="11">
        <f t="shared" si="348"/>
        <v>5.48</v>
      </c>
      <c r="Y940" s="11">
        <f t="shared" si="349"/>
        <v>9.6773144928066763</v>
      </c>
      <c r="Z940" s="24">
        <f t="shared" si="350"/>
        <v>4.09</v>
      </c>
      <c r="AA940" s="25">
        <f t="shared" si="351"/>
        <v>8.1799999999999855</v>
      </c>
      <c r="AB940" s="24">
        <f t="shared" si="352"/>
        <v>1</v>
      </c>
      <c r="AC940" s="24">
        <f t="shared" si="353"/>
        <v>2.6795562076989907</v>
      </c>
      <c r="AD940" s="24">
        <f t="shared" si="354"/>
        <v>3.2464851306525873</v>
      </c>
      <c r="AE940" s="24">
        <f t="shared" si="355"/>
        <v>3.849207507504472</v>
      </c>
      <c r="AF940" s="119" t="str">
        <f>VLOOKUP(P940*1,Referencias!$G:$H,2,0)</f>
        <v>dom</v>
      </c>
    </row>
    <row r="941" spans="1:32" ht="14.4" x14ac:dyDescent="0.3">
      <c r="A941" s="163"/>
      <c r="B941" s="164"/>
      <c r="C941" s="134">
        <v>0.94652777777777775</v>
      </c>
      <c r="D941" s="165"/>
      <c r="E941" s="165"/>
      <c r="F941" s="145" t="s">
        <v>377</v>
      </c>
      <c r="G941" s="166"/>
      <c r="H941" s="167"/>
      <c r="I941"/>
      <c r="N941" s="7" t="str">
        <f t="shared" si="340"/>
        <v>#LIJHKCDZC </v>
      </c>
      <c r="O941" s="7">
        <f t="shared" si="341"/>
        <v>0</v>
      </c>
      <c r="P941" s="21">
        <f t="shared" si="342"/>
        <v>43261</v>
      </c>
      <c r="Q941" s="22">
        <f>VLOOKUP(R941,Referencias!$D$1:$E$13,2,0)</f>
        <v>6</v>
      </c>
      <c r="R941" s="7" t="str">
        <f t="shared" si="343"/>
        <v>JUN</v>
      </c>
      <c r="S941" s="7">
        <f t="shared" si="344"/>
        <v>0</v>
      </c>
      <c r="T941" s="11">
        <f t="shared" si="345"/>
        <v>10</v>
      </c>
      <c r="U941" s="11">
        <f t="shared" si="346"/>
        <v>0</v>
      </c>
      <c r="V941" s="11" t="str">
        <f>VLOOKUP(C941,Referencias!$A$2:$B$33,2,1)</f>
        <v>22 - 23</v>
      </c>
      <c r="W941" s="23" t="str">
        <f t="shared" si="347"/>
        <v/>
      </c>
      <c r="X941" s="11">
        <f t="shared" si="348"/>
        <v>0</v>
      </c>
      <c r="Y941" s="11">
        <f t="shared" si="349"/>
        <v>0</v>
      </c>
      <c r="Z941" s="24">
        <f t="shared" si="350"/>
        <v>0</v>
      </c>
      <c r="AA941" s="25">
        <f t="shared" si="351"/>
        <v>0</v>
      </c>
      <c r="AB941" s="24">
        <f t="shared" si="352"/>
        <v>0</v>
      </c>
      <c r="AC941" s="24">
        <f t="shared" si="353"/>
        <v>0</v>
      </c>
      <c r="AD941" s="24">
        <f t="shared" si="354"/>
        <v>0</v>
      </c>
      <c r="AE941" s="24">
        <f t="shared" si="355"/>
        <v>0</v>
      </c>
      <c r="AF941" s="119" t="str">
        <f>VLOOKUP(P941*1,Referencias!$G:$H,2,0)</f>
        <v>dom</v>
      </c>
    </row>
  </sheetData>
  <mergeCells count="984">
    <mergeCell ref="A938:I939"/>
    <mergeCell ref="A940:A941"/>
    <mergeCell ref="B940:B941"/>
    <mergeCell ref="D940:D941"/>
    <mergeCell ref="E940:E941"/>
    <mergeCell ref="G940:G941"/>
    <mergeCell ref="H940:H941"/>
    <mergeCell ref="A934:I935"/>
    <mergeCell ref="A936:A937"/>
    <mergeCell ref="B936:B937"/>
    <mergeCell ref="D936:D937"/>
    <mergeCell ref="E936:E937"/>
    <mergeCell ref="F936:F937"/>
    <mergeCell ref="G936:G937"/>
    <mergeCell ref="H936:H937"/>
    <mergeCell ref="I936:I937"/>
    <mergeCell ref="A928:A929"/>
    <mergeCell ref="B928:B929"/>
    <mergeCell ref="D928:D929"/>
    <mergeCell ref="E928:E929"/>
    <mergeCell ref="G928:G929"/>
    <mergeCell ref="H928:H929"/>
    <mergeCell ref="I928:I929"/>
    <mergeCell ref="A930:I931"/>
    <mergeCell ref="A932:A933"/>
    <mergeCell ref="B932:B933"/>
    <mergeCell ref="D932:D933"/>
    <mergeCell ref="E932:E933"/>
    <mergeCell ref="F932:F933"/>
    <mergeCell ref="G932:G933"/>
    <mergeCell ref="H932:H933"/>
    <mergeCell ref="I932:I933"/>
    <mergeCell ref="A924:A925"/>
    <mergeCell ref="B924:B925"/>
    <mergeCell ref="D924:D925"/>
    <mergeCell ref="E924:E925"/>
    <mergeCell ref="F924:F925"/>
    <mergeCell ref="G924:G925"/>
    <mergeCell ref="H924:H925"/>
    <mergeCell ref="I924:I925"/>
    <mergeCell ref="A926:I927"/>
    <mergeCell ref="A920:A921"/>
    <mergeCell ref="B920:B921"/>
    <mergeCell ref="D920:D921"/>
    <mergeCell ref="E920:E921"/>
    <mergeCell ref="F920:F921"/>
    <mergeCell ref="G920:G921"/>
    <mergeCell ref="H920:H921"/>
    <mergeCell ref="I920:I921"/>
    <mergeCell ref="A922:I923"/>
    <mergeCell ref="A914:I915"/>
    <mergeCell ref="A916:A917"/>
    <mergeCell ref="B916:B917"/>
    <mergeCell ref="D916:D917"/>
    <mergeCell ref="E916:E917"/>
    <mergeCell ref="G916:G917"/>
    <mergeCell ref="H916:H917"/>
    <mergeCell ref="I916:I917"/>
    <mergeCell ref="A918:I919"/>
    <mergeCell ref="A910:I911"/>
    <mergeCell ref="A912:A913"/>
    <mergeCell ref="B912:B913"/>
    <mergeCell ref="D912:D913"/>
    <mergeCell ref="E912:E913"/>
    <mergeCell ref="F912:F913"/>
    <mergeCell ref="G912:G913"/>
    <mergeCell ref="H912:H913"/>
    <mergeCell ref="I912:I913"/>
    <mergeCell ref="A906:I907"/>
    <mergeCell ref="A908:A909"/>
    <mergeCell ref="B908:B909"/>
    <mergeCell ref="D908:D909"/>
    <mergeCell ref="E908:E909"/>
    <mergeCell ref="F908:F909"/>
    <mergeCell ref="G908:G909"/>
    <mergeCell ref="H908:H909"/>
    <mergeCell ref="I908:I909"/>
    <mergeCell ref="A900:A901"/>
    <mergeCell ref="B900:B901"/>
    <mergeCell ref="D900:D901"/>
    <mergeCell ref="E900:E901"/>
    <mergeCell ref="F900:F901"/>
    <mergeCell ref="G900:G901"/>
    <mergeCell ref="H900:H901"/>
    <mergeCell ref="A902:I903"/>
    <mergeCell ref="A904:A905"/>
    <mergeCell ref="B904:B905"/>
    <mergeCell ref="D904:D905"/>
    <mergeCell ref="E904:E905"/>
    <mergeCell ref="F904:F905"/>
    <mergeCell ref="G904:G905"/>
    <mergeCell ref="H904:H905"/>
    <mergeCell ref="I904:I905"/>
    <mergeCell ref="A896:A897"/>
    <mergeCell ref="B896:B897"/>
    <mergeCell ref="D896:D897"/>
    <mergeCell ref="E896:E897"/>
    <mergeCell ref="F896:F897"/>
    <mergeCell ref="G896:G897"/>
    <mergeCell ref="H896:H897"/>
    <mergeCell ref="I896:I897"/>
    <mergeCell ref="A898:I899"/>
    <mergeCell ref="A889:I890"/>
    <mergeCell ref="A891:A893"/>
    <mergeCell ref="B891:B893"/>
    <mergeCell ref="D891:D893"/>
    <mergeCell ref="E891:E893"/>
    <mergeCell ref="F891:F893"/>
    <mergeCell ref="G891:G893"/>
    <mergeCell ref="H891:H893"/>
    <mergeCell ref="A894:I895"/>
    <mergeCell ref="B883:B884"/>
    <mergeCell ref="D883:D884"/>
    <mergeCell ref="E883:E884"/>
    <mergeCell ref="F883:F884"/>
    <mergeCell ref="G883:G884"/>
    <mergeCell ref="H883:H884"/>
    <mergeCell ref="I883:I884"/>
    <mergeCell ref="A885:I886"/>
    <mergeCell ref="A887:A888"/>
    <mergeCell ref="B887:B888"/>
    <mergeCell ref="D887:D888"/>
    <mergeCell ref="E887:E888"/>
    <mergeCell ref="F887:F888"/>
    <mergeCell ref="G887:G888"/>
    <mergeCell ref="H887:H888"/>
    <mergeCell ref="A880:A881"/>
    <mergeCell ref="B880:B881"/>
    <mergeCell ref="D880:D881"/>
    <mergeCell ref="E880:E881"/>
    <mergeCell ref="F880:F881"/>
    <mergeCell ref="G880:G881"/>
    <mergeCell ref="H880:H881"/>
    <mergeCell ref="I880:I881"/>
    <mergeCell ref="A882:I882"/>
    <mergeCell ref="A876:A877"/>
    <mergeCell ref="B876:B877"/>
    <mergeCell ref="D876:D877"/>
    <mergeCell ref="E876:E877"/>
    <mergeCell ref="F876:F877"/>
    <mergeCell ref="G876:G877"/>
    <mergeCell ref="H876:H877"/>
    <mergeCell ref="I876:I877"/>
    <mergeCell ref="A878:I879"/>
    <mergeCell ref="A872:A873"/>
    <mergeCell ref="B872:B873"/>
    <mergeCell ref="D872:D873"/>
    <mergeCell ref="E872:E873"/>
    <mergeCell ref="F872:F873"/>
    <mergeCell ref="G872:G873"/>
    <mergeCell ref="H872:H873"/>
    <mergeCell ref="I872:I873"/>
    <mergeCell ref="A874:I875"/>
    <mergeCell ref="A868:A869"/>
    <mergeCell ref="B868:B869"/>
    <mergeCell ref="D868:D869"/>
    <mergeCell ref="E868:E869"/>
    <mergeCell ref="F868:F869"/>
    <mergeCell ref="G868:G869"/>
    <mergeCell ref="H868:H869"/>
    <mergeCell ref="I868:I869"/>
    <mergeCell ref="A870:I871"/>
    <mergeCell ref="A864:A865"/>
    <mergeCell ref="B864:B865"/>
    <mergeCell ref="D864:D865"/>
    <mergeCell ref="E864:E865"/>
    <mergeCell ref="F864:F865"/>
    <mergeCell ref="G864:G865"/>
    <mergeCell ref="H864:H865"/>
    <mergeCell ref="I864:I865"/>
    <mergeCell ref="A866:I867"/>
    <mergeCell ref="A859:I859"/>
    <mergeCell ref="B860:B861"/>
    <mergeCell ref="D860:D861"/>
    <mergeCell ref="E860:E861"/>
    <mergeCell ref="F860:F861"/>
    <mergeCell ref="G860:G861"/>
    <mergeCell ref="H860:H861"/>
    <mergeCell ref="I860:I861"/>
    <mergeCell ref="A862:I863"/>
    <mergeCell ref="A836:I837"/>
    <mergeCell ref="A838:A839"/>
    <mergeCell ref="B838:B839"/>
    <mergeCell ref="D838:D839"/>
    <mergeCell ref="E838:E839"/>
    <mergeCell ref="G838:G839"/>
    <mergeCell ref="H838:H839"/>
    <mergeCell ref="I838:I839"/>
    <mergeCell ref="A840:I840"/>
    <mergeCell ref="A824:I825"/>
    <mergeCell ref="A826:A827"/>
    <mergeCell ref="B826:B827"/>
    <mergeCell ref="C826:C827"/>
    <mergeCell ref="D826:D827"/>
    <mergeCell ref="E826:E827"/>
    <mergeCell ref="G826:G827"/>
    <mergeCell ref="H826:H827"/>
    <mergeCell ref="I826:I827"/>
    <mergeCell ref="A774:I775"/>
    <mergeCell ref="A776:A777"/>
    <mergeCell ref="B776:B777"/>
    <mergeCell ref="D776:D777"/>
    <mergeCell ref="E776:E777"/>
    <mergeCell ref="G776:G777"/>
    <mergeCell ref="H776:H777"/>
    <mergeCell ref="I776:I777"/>
    <mergeCell ref="A778:I778"/>
    <mergeCell ref="I768:I769"/>
    <mergeCell ref="A770:I771"/>
    <mergeCell ref="A772:A773"/>
    <mergeCell ref="B772:B773"/>
    <mergeCell ref="D772:D773"/>
    <mergeCell ref="E772:E773"/>
    <mergeCell ref="G772:G773"/>
    <mergeCell ref="H772:H773"/>
    <mergeCell ref="I772:I773"/>
    <mergeCell ref="H768:H769"/>
    <mergeCell ref="A753:A754"/>
    <mergeCell ref="B753:B754"/>
    <mergeCell ref="D753:D754"/>
    <mergeCell ref="E753:E754"/>
    <mergeCell ref="G753:G754"/>
    <mergeCell ref="H753:H754"/>
    <mergeCell ref="I753:I754"/>
    <mergeCell ref="A755:I755"/>
    <mergeCell ref="B756:B757"/>
    <mergeCell ref="D756:D757"/>
    <mergeCell ref="E756:E757"/>
    <mergeCell ref="F756:F757"/>
    <mergeCell ref="G756:G757"/>
    <mergeCell ref="H756:H757"/>
    <mergeCell ref="I756:I757"/>
    <mergeCell ref="I745:I746"/>
    <mergeCell ref="A747:I748"/>
    <mergeCell ref="A749:A750"/>
    <mergeCell ref="B749:B750"/>
    <mergeCell ref="D749:D750"/>
    <mergeCell ref="E749:E750"/>
    <mergeCell ref="G749:G750"/>
    <mergeCell ref="H749:H750"/>
    <mergeCell ref="I749:I750"/>
    <mergeCell ref="A745:A746"/>
    <mergeCell ref="B745:B746"/>
    <mergeCell ref="D745:D746"/>
    <mergeCell ref="E745:E746"/>
    <mergeCell ref="G745:G746"/>
    <mergeCell ref="H745:H746"/>
    <mergeCell ref="A720:I721"/>
    <mergeCell ref="A722:A723"/>
    <mergeCell ref="B722:B723"/>
    <mergeCell ref="D722:D723"/>
    <mergeCell ref="E722:E723"/>
    <mergeCell ref="G722:G723"/>
    <mergeCell ref="H722:H723"/>
    <mergeCell ref="I722:I723"/>
    <mergeCell ref="A724:I724"/>
    <mergeCell ref="G690:G691"/>
    <mergeCell ref="H690:H691"/>
    <mergeCell ref="E714:E715"/>
    <mergeCell ref="F714:F715"/>
    <mergeCell ref="G714:G715"/>
    <mergeCell ref="H714:H715"/>
    <mergeCell ref="I714:I715"/>
    <mergeCell ref="A716:I717"/>
    <mergeCell ref="A718:A719"/>
    <mergeCell ref="B718:B719"/>
    <mergeCell ref="D718:D719"/>
    <mergeCell ref="E718:E719"/>
    <mergeCell ref="F718:F719"/>
    <mergeCell ref="G718:G719"/>
    <mergeCell ref="H718:H719"/>
    <mergeCell ref="I718:I719"/>
    <mergeCell ref="G702:G703"/>
    <mergeCell ref="H702:H703"/>
    <mergeCell ref="I702:I703"/>
    <mergeCell ref="A696:I697"/>
    <mergeCell ref="A698:A699"/>
    <mergeCell ref="B698:B699"/>
    <mergeCell ref="D698:D699"/>
    <mergeCell ref="E698:E699"/>
    <mergeCell ref="I678:I679"/>
    <mergeCell ref="A680:I681"/>
    <mergeCell ref="A682:A683"/>
    <mergeCell ref="B682:B683"/>
    <mergeCell ref="D682:D683"/>
    <mergeCell ref="E682:E683"/>
    <mergeCell ref="F682:F683"/>
    <mergeCell ref="G682:G683"/>
    <mergeCell ref="H682:H683"/>
    <mergeCell ref="I682:I683"/>
    <mergeCell ref="G659:G660"/>
    <mergeCell ref="H659:H660"/>
    <mergeCell ref="I659:I660"/>
    <mergeCell ref="A661:I662"/>
    <mergeCell ref="A663:A664"/>
    <mergeCell ref="B663:B664"/>
    <mergeCell ref="D663:D664"/>
    <mergeCell ref="E663:E664"/>
    <mergeCell ref="F663:F664"/>
    <mergeCell ref="G663:G664"/>
    <mergeCell ref="H663:H664"/>
    <mergeCell ref="I663:I664"/>
    <mergeCell ref="A659:A660"/>
    <mergeCell ref="B659:B660"/>
    <mergeCell ref="D659:D660"/>
    <mergeCell ref="E659:E660"/>
    <mergeCell ref="F659:F660"/>
    <mergeCell ref="A501:I502"/>
    <mergeCell ref="D596:D597"/>
    <mergeCell ref="E596:E597"/>
    <mergeCell ref="F596:F597"/>
    <mergeCell ref="G596:G597"/>
    <mergeCell ref="H596:H597"/>
    <mergeCell ref="A598:I599"/>
    <mergeCell ref="A600:A601"/>
    <mergeCell ref="B600:B601"/>
    <mergeCell ref="D600:D601"/>
    <mergeCell ref="E600:E601"/>
    <mergeCell ref="F600:F601"/>
    <mergeCell ref="G600:G601"/>
    <mergeCell ref="H600:H601"/>
    <mergeCell ref="I600:I601"/>
    <mergeCell ref="I511:I512"/>
    <mergeCell ref="A513:I514"/>
    <mergeCell ref="A515:A516"/>
    <mergeCell ref="B515:B516"/>
    <mergeCell ref="D515:D516"/>
    <mergeCell ref="E515:E516"/>
    <mergeCell ref="F515:F516"/>
    <mergeCell ref="G515:G516"/>
    <mergeCell ref="H515:H516"/>
    <mergeCell ref="A832:I833"/>
    <mergeCell ref="A834:A835"/>
    <mergeCell ref="B834:B835"/>
    <mergeCell ref="D834:D835"/>
    <mergeCell ref="E834:E835"/>
    <mergeCell ref="G834:G835"/>
    <mergeCell ref="H834:H835"/>
    <mergeCell ref="I834:I835"/>
    <mergeCell ref="A828:I829"/>
    <mergeCell ref="A830:A831"/>
    <mergeCell ref="B830:B831"/>
    <mergeCell ref="D830:D831"/>
    <mergeCell ref="E830:E831"/>
    <mergeCell ref="G830:G831"/>
    <mergeCell ref="H830:H831"/>
    <mergeCell ref="I830:I831"/>
    <mergeCell ref="A820:I821"/>
    <mergeCell ref="A822:A823"/>
    <mergeCell ref="B822:B823"/>
    <mergeCell ref="D822:D823"/>
    <mergeCell ref="E822:E823"/>
    <mergeCell ref="G822:G823"/>
    <mergeCell ref="H822:H823"/>
    <mergeCell ref="I822:I823"/>
    <mergeCell ref="A814:A815"/>
    <mergeCell ref="B814:B815"/>
    <mergeCell ref="D814:D815"/>
    <mergeCell ref="E814:E815"/>
    <mergeCell ref="G814:G815"/>
    <mergeCell ref="H814:H815"/>
    <mergeCell ref="I814:I815"/>
    <mergeCell ref="A816:I817"/>
    <mergeCell ref="A818:A819"/>
    <mergeCell ref="B818:B819"/>
    <mergeCell ref="D818:D819"/>
    <mergeCell ref="E818:E819"/>
    <mergeCell ref="G818:G819"/>
    <mergeCell ref="H818:H819"/>
    <mergeCell ref="I818:I819"/>
    <mergeCell ref="A808:I809"/>
    <mergeCell ref="A810:A811"/>
    <mergeCell ref="B810:B811"/>
    <mergeCell ref="D810:D811"/>
    <mergeCell ref="E810:E811"/>
    <mergeCell ref="G810:G811"/>
    <mergeCell ref="H810:H811"/>
    <mergeCell ref="I810:I811"/>
    <mergeCell ref="A812:I813"/>
    <mergeCell ref="A802:A803"/>
    <mergeCell ref="B802:B803"/>
    <mergeCell ref="D802:D803"/>
    <mergeCell ref="E802:E803"/>
    <mergeCell ref="G802:G803"/>
    <mergeCell ref="H802:H803"/>
    <mergeCell ref="I802:I803"/>
    <mergeCell ref="A804:I805"/>
    <mergeCell ref="A806:A807"/>
    <mergeCell ref="B806:B807"/>
    <mergeCell ref="D806:D807"/>
    <mergeCell ref="E806:E807"/>
    <mergeCell ref="G806:G807"/>
    <mergeCell ref="H806:H807"/>
    <mergeCell ref="I806:I807"/>
    <mergeCell ref="A797:I797"/>
    <mergeCell ref="B798:B799"/>
    <mergeCell ref="D798:D799"/>
    <mergeCell ref="E798:E799"/>
    <mergeCell ref="G798:G799"/>
    <mergeCell ref="H798:H799"/>
    <mergeCell ref="I798:I799"/>
    <mergeCell ref="A800:I801"/>
    <mergeCell ref="A751:I752"/>
    <mergeCell ref="A762:I763"/>
    <mergeCell ref="A764:A765"/>
    <mergeCell ref="B764:B765"/>
    <mergeCell ref="D764:D765"/>
    <mergeCell ref="E764:E765"/>
    <mergeCell ref="F764:F765"/>
    <mergeCell ref="G764:G765"/>
    <mergeCell ref="H764:H765"/>
    <mergeCell ref="A766:I767"/>
    <mergeCell ref="A768:A769"/>
    <mergeCell ref="B768:B769"/>
    <mergeCell ref="D768:D769"/>
    <mergeCell ref="E768:E769"/>
    <mergeCell ref="F768:F769"/>
    <mergeCell ref="G768:G769"/>
    <mergeCell ref="A741:A742"/>
    <mergeCell ref="B741:B742"/>
    <mergeCell ref="D741:D742"/>
    <mergeCell ref="E741:E742"/>
    <mergeCell ref="F741:F742"/>
    <mergeCell ref="G741:G742"/>
    <mergeCell ref="H741:H742"/>
    <mergeCell ref="I741:I742"/>
    <mergeCell ref="A743:I744"/>
    <mergeCell ref="A739:I740"/>
    <mergeCell ref="A731:I732"/>
    <mergeCell ref="A733:A734"/>
    <mergeCell ref="B733:B734"/>
    <mergeCell ref="D733:D734"/>
    <mergeCell ref="E733:E734"/>
    <mergeCell ref="G733:G734"/>
    <mergeCell ref="H733:H734"/>
    <mergeCell ref="I733:I734"/>
    <mergeCell ref="A735:I736"/>
    <mergeCell ref="A737:A738"/>
    <mergeCell ref="B737:B738"/>
    <mergeCell ref="D737:D738"/>
    <mergeCell ref="E737:E738"/>
    <mergeCell ref="F737:F738"/>
    <mergeCell ref="G737:G738"/>
    <mergeCell ref="H737:H738"/>
    <mergeCell ref="I737:I738"/>
    <mergeCell ref="B725:B726"/>
    <mergeCell ref="D725:D726"/>
    <mergeCell ref="E725:E726"/>
    <mergeCell ref="F725:F726"/>
    <mergeCell ref="G725:G726"/>
    <mergeCell ref="H725:H726"/>
    <mergeCell ref="I725:I726"/>
    <mergeCell ref="A727:I728"/>
    <mergeCell ref="A729:A730"/>
    <mergeCell ref="B729:B730"/>
    <mergeCell ref="D729:D730"/>
    <mergeCell ref="E729:E730"/>
    <mergeCell ref="G729:G730"/>
    <mergeCell ref="H729:H730"/>
    <mergeCell ref="I729:I730"/>
    <mergeCell ref="A647:A648"/>
    <mergeCell ref="B647:B648"/>
    <mergeCell ref="D647:D648"/>
    <mergeCell ref="E647:E648"/>
    <mergeCell ref="F647:F648"/>
    <mergeCell ref="G647:G648"/>
    <mergeCell ref="H647:H648"/>
    <mergeCell ref="I647:I648"/>
    <mergeCell ref="A649:I650"/>
    <mergeCell ref="A657:I658"/>
    <mergeCell ref="A651:A652"/>
    <mergeCell ref="B651:B652"/>
    <mergeCell ref="D651:D652"/>
    <mergeCell ref="E651:E652"/>
    <mergeCell ref="F651:F652"/>
    <mergeCell ref="G651:G652"/>
    <mergeCell ref="H651:H652"/>
    <mergeCell ref="I651:I652"/>
    <mergeCell ref="A653:I654"/>
    <mergeCell ref="A684:I685"/>
    <mergeCell ref="A686:A687"/>
    <mergeCell ref="B686:B687"/>
    <mergeCell ref="D686:D687"/>
    <mergeCell ref="E686:E687"/>
    <mergeCell ref="F686:F687"/>
    <mergeCell ref="G686:G687"/>
    <mergeCell ref="A692:I693"/>
    <mergeCell ref="A694:A695"/>
    <mergeCell ref="B694:B695"/>
    <mergeCell ref="D694:D695"/>
    <mergeCell ref="E694:E695"/>
    <mergeCell ref="F694:F695"/>
    <mergeCell ref="G694:G695"/>
    <mergeCell ref="H694:H695"/>
    <mergeCell ref="I694:I695"/>
    <mergeCell ref="H686:H687"/>
    <mergeCell ref="I686:I687"/>
    <mergeCell ref="A688:I689"/>
    <mergeCell ref="A690:A691"/>
    <mergeCell ref="B690:B691"/>
    <mergeCell ref="D690:D691"/>
    <mergeCell ref="E690:E691"/>
    <mergeCell ref="F690:F691"/>
    <mergeCell ref="F698:F699"/>
    <mergeCell ref="G698:G699"/>
    <mergeCell ref="H698:H699"/>
    <mergeCell ref="I698:I699"/>
    <mergeCell ref="A505:I506"/>
    <mergeCell ref="A507:A508"/>
    <mergeCell ref="B507:B508"/>
    <mergeCell ref="D507:D508"/>
    <mergeCell ref="A708:I709"/>
    <mergeCell ref="A700:I701"/>
    <mergeCell ref="A702:A703"/>
    <mergeCell ref="E507:E508"/>
    <mergeCell ref="F507:F508"/>
    <mergeCell ref="G507:G508"/>
    <mergeCell ref="H507:H508"/>
    <mergeCell ref="I507:I508"/>
    <mergeCell ref="A509:I510"/>
    <mergeCell ref="A511:A512"/>
    <mergeCell ref="B511:B512"/>
    <mergeCell ref="D511:D512"/>
    <mergeCell ref="E511:E512"/>
    <mergeCell ref="F511:F512"/>
    <mergeCell ref="G511:G512"/>
    <mergeCell ref="H511:H512"/>
    <mergeCell ref="A710:A711"/>
    <mergeCell ref="B710:B711"/>
    <mergeCell ref="D710:D711"/>
    <mergeCell ref="E710:E711"/>
    <mergeCell ref="F710:F711"/>
    <mergeCell ref="G710:G711"/>
    <mergeCell ref="H710:H711"/>
    <mergeCell ref="I710:I711"/>
    <mergeCell ref="A704:I705"/>
    <mergeCell ref="A706:A707"/>
    <mergeCell ref="B706:B707"/>
    <mergeCell ref="D706:D707"/>
    <mergeCell ref="E706:E707"/>
    <mergeCell ref="F706:F707"/>
    <mergeCell ref="G706:G707"/>
    <mergeCell ref="H706:H707"/>
    <mergeCell ref="I706:I707"/>
    <mergeCell ref="B495:B496"/>
    <mergeCell ref="D495:D496"/>
    <mergeCell ref="E495:E496"/>
    <mergeCell ref="F495:F496"/>
    <mergeCell ref="G495:G496"/>
    <mergeCell ref="H495:H496"/>
    <mergeCell ref="I495:I496"/>
    <mergeCell ref="A497:I498"/>
    <mergeCell ref="A503:A504"/>
    <mergeCell ref="B503:B504"/>
    <mergeCell ref="D503:D504"/>
    <mergeCell ref="E503:E504"/>
    <mergeCell ref="F503:F504"/>
    <mergeCell ref="G503:G504"/>
    <mergeCell ref="H503:H504"/>
    <mergeCell ref="I503:I504"/>
    <mergeCell ref="A499:A500"/>
    <mergeCell ref="B499:B500"/>
    <mergeCell ref="D499:D500"/>
    <mergeCell ref="E499:E500"/>
    <mergeCell ref="F499:F500"/>
    <mergeCell ref="G499:G500"/>
    <mergeCell ref="H499:H500"/>
    <mergeCell ref="I499:I500"/>
    <mergeCell ref="I515:I516"/>
    <mergeCell ref="A517:I518"/>
    <mergeCell ref="A519:A520"/>
    <mergeCell ref="B519:B520"/>
    <mergeCell ref="D519:D520"/>
    <mergeCell ref="E519:E520"/>
    <mergeCell ref="F519:F520"/>
    <mergeCell ref="G519:G520"/>
    <mergeCell ref="H519:H520"/>
    <mergeCell ref="I519:I520"/>
    <mergeCell ref="A521:I522"/>
    <mergeCell ref="A523:A524"/>
    <mergeCell ref="B523:B524"/>
    <mergeCell ref="D523:D524"/>
    <mergeCell ref="E523:E524"/>
    <mergeCell ref="F523:F524"/>
    <mergeCell ref="G523:G524"/>
    <mergeCell ref="H523:H524"/>
    <mergeCell ref="I523:I524"/>
    <mergeCell ref="A525:I526"/>
    <mergeCell ref="A527:A528"/>
    <mergeCell ref="B527:B528"/>
    <mergeCell ref="D527:D528"/>
    <mergeCell ref="E527:E528"/>
    <mergeCell ref="F527:F528"/>
    <mergeCell ref="G527:G528"/>
    <mergeCell ref="H527:H528"/>
    <mergeCell ref="I527:I528"/>
    <mergeCell ref="A529:I529"/>
    <mergeCell ref="B530:B531"/>
    <mergeCell ref="D530:D531"/>
    <mergeCell ref="E530:E531"/>
    <mergeCell ref="F530:F531"/>
    <mergeCell ref="G530:G531"/>
    <mergeCell ref="H530:H531"/>
    <mergeCell ref="I530:I531"/>
    <mergeCell ref="A532:I533"/>
    <mergeCell ref="A534:A535"/>
    <mergeCell ref="B534:B535"/>
    <mergeCell ref="D534:D535"/>
    <mergeCell ref="E534:E535"/>
    <mergeCell ref="F534:F535"/>
    <mergeCell ref="G534:G535"/>
    <mergeCell ref="H534:H535"/>
    <mergeCell ref="I534:I535"/>
    <mergeCell ref="A536:I537"/>
    <mergeCell ref="A538:A539"/>
    <mergeCell ref="B538:B539"/>
    <mergeCell ref="D538:D539"/>
    <mergeCell ref="E538:E539"/>
    <mergeCell ref="F538:F539"/>
    <mergeCell ref="G538:G539"/>
    <mergeCell ref="H538:H539"/>
    <mergeCell ref="I538:I539"/>
    <mergeCell ref="A540:I541"/>
    <mergeCell ref="A542:A543"/>
    <mergeCell ref="B542:B543"/>
    <mergeCell ref="D542:D543"/>
    <mergeCell ref="E542:E543"/>
    <mergeCell ref="F542:F543"/>
    <mergeCell ref="G542:G543"/>
    <mergeCell ref="H542:H543"/>
    <mergeCell ref="I542:I543"/>
    <mergeCell ref="A544:I545"/>
    <mergeCell ref="A546:A547"/>
    <mergeCell ref="B546:B547"/>
    <mergeCell ref="D546:D547"/>
    <mergeCell ref="E546:E547"/>
    <mergeCell ref="F546:F547"/>
    <mergeCell ref="G546:G547"/>
    <mergeCell ref="H546:H547"/>
    <mergeCell ref="I546:I547"/>
    <mergeCell ref="A548:I549"/>
    <mergeCell ref="A550:A551"/>
    <mergeCell ref="B550:B551"/>
    <mergeCell ref="D550:D551"/>
    <mergeCell ref="E550:E551"/>
    <mergeCell ref="F550:F551"/>
    <mergeCell ref="G550:G551"/>
    <mergeCell ref="H550:H551"/>
    <mergeCell ref="I550:I551"/>
    <mergeCell ref="A552:I552"/>
    <mergeCell ref="B553:B554"/>
    <mergeCell ref="D553:D554"/>
    <mergeCell ref="E553:E554"/>
    <mergeCell ref="F553:F554"/>
    <mergeCell ref="G553:G554"/>
    <mergeCell ref="H553:H554"/>
    <mergeCell ref="I553:I554"/>
    <mergeCell ref="A555:I556"/>
    <mergeCell ref="A557:A558"/>
    <mergeCell ref="B557:B558"/>
    <mergeCell ref="D557:D558"/>
    <mergeCell ref="E557:E558"/>
    <mergeCell ref="G557:G558"/>
    <mergeCell ref="H557:H558"/>
    <mergeCell ref="I557:I558"/>
    <mergeCell ref="A559:I560"/>
    <mergeCell ref="A561:A562"/>
    <mergeCell ref="B561:B562"/>
    <mergeCell ref="D561:D562"/>
    <mergeCell ref="E561:E562"/>
    <mergeCell ref="F561:F562"/>
    <mergeCell ref="G561:G562"/>
    <mergeCell ref="H561:H562"/>
    <mergeCell ref="I561:I562"/>
    <mergeCell ref="A563:I564"/>
    <mergeCell ref="A565:A566"/>
    <mergeCell ref="B565:B566"/>
    <mergeCell ref="D565:D566"/>
    <mergeCell ref="E565:E566"/>
    <mergeCell ref="F565:F566"/>
    <mergeCell ref="G565:G566"/>
    <mergeCell ref="H565:H566"/>
    <mergeCell ref="I565:I566"/>
    <mergeCell ref="A567:I568"/>
    <mergeCell ref="A569:A570"/>
    <mergeCell ref="B569:B570"/>
    <mergeCell ref="D569:D570"/>
    <mergeCell ref="E569:E570"/>
    <mergeCell ref="F569:F570"/>
    <mergeCell ref="G569:G570"/>
    <mergeCell ref="H569:H570"/>
    <mergeCell ref="I569:I570"/>
    <mergeCell ref="A571:I572"/>
    <mergeCell ref="A573:A574"/>
    <mergeCell ref="B573:B574"/>
    <mergeCell ref="D573:D574"/>
    <mergeCell ref="E573:E574"/>
    <mergeCell ref="F573:F574"/>
    <mergeCell ref="G573:G574"/>
    <mergeCell ref="H573:H574"/>
    <mergeCell ref="I573:I574"/>
    <mergeCell ref="A575:I576"/>
    <mergeCell ref="A577:A578"/>
    <mergeCell ref="B577:B578"/>
    <mergeCell ref="D577:D578"/>
    <mergeCell ref="E577:E578"/>
    <mergeCell ref="F577:F578"/>
    <mergeCell ref="G577:G578"/>
    <mergeCell ref="H577:H578"/>
    <mergeCell ref="I577:I578"/>
    <mergeCell ref="A579:I580"/>
    <mergeCell ref="A581:A582"/>
    <mergeCell ref="B581:B582"/>
    <mergeCell ref="D581:D582"/>
    <mergeCell ref="E581:E582"/>
    <mergeCell ref="G581:G582"/>
    <mergeCell ref="H581:H582"/>
    <mergeCell ref="I581:I582"/>
    <mergeCell ref="A583:I584"/>
    <mergeCell ref="A585:A586"/>
    <mergeCell ref="B585:B586"/>
    <mergeCell ref="D585:D586"/>
    <mergeCell ref="E585:E586"/>
    <mergeCell ref="F585:F586"/>
    <mergeCell ref="G585:G586"/>
    <mergeCell ref="H585:H586"/>
    <mergeCell ref="I585:I586"/>
    <mergeCell ref="A587:I588"/>
    <mergeCell ref="A589:A590"/>
    <mergeCell ref="B589:B590"/>
    <mergeCell ref="D589:D590"/>
    <mergeCell ref="E589:E590"/>
    <mergeCell ref="G589:G590"/>
    <mergeCell ref="H589:H590"/>
    <mergeCell ref="I589:I590"/>
    <mergeCell ref="A591:I592"/>
    <mergeCell ref="A593:A594"/>
    <mergeCell ref="B593:B594"/>
    <mergeCell ref="D593:D594"/>
    <mergeCell ref="E593:E594"/>
    <mergeCell ref="G593:G594"/>
    <mergeCell ref="H593:H594"/>
    <mergeCell ref="I593:I594"/>
    <mergeCell ref="A595:I595"/>
    <mergeCell ref="B596:B597"/>
    <mergeCell ref="A602:I603"/>
    <mergeCell ref="A604:A605"/>
    <mergeCell ref="B604:B605"/>
    <mergeCell ref="D604:D605"/>
    <mergeCell ref="E604:E605"/>
    <mergeCell ref="F604:F605"/>
    <mergeCell ref="G604:G605"/>
    <mergeCell ref="H604:H605"/>
    <mergeCell ref="I604:I605"/>
    <mergeCell ref="A606:I607"/>
    <mergeCell ref="A608:A609"/>
    <mergeCell ref="B608:B609"/>
    <mergeCell ref="D608:D609"/>
    <mergeCell ref="E608:E609"/>
    <mergeCell ref="F608:F609"/>
    <mergeCell ref="G608:G609"/>
    <mergeCell ref="H608:H609"/>
    <mergeCell ref="I608:I609"/>
    <mergeCell ref="A610:I611"/>
    <mergeCell ref="A612:A613"/>
    <mergeCell ref="B612:B613"/>
    <mergeCell ref="D612:D613"/>
    <mergeCell ref="E612:E613"/>
    <mergeCell ref="F612:F613"/>
    <mergeCell ref="G612:G613"/>
    <mergeCell ref="H612:H613"/>
    <mergeCell ref="I612:I613"/>
    <mergeCell ref="A614:I615"/>
    <mergeCell ref="A616:A617"/>
    <mergeCell ref="B616:B617"/>
    <mergeCell ref="D616:D617"/>
    <mergeCell ref="E616:E617"/>
    <mergeCell ref="F616:F617"/>
    <mergeCell ref="G616:G617"/>
    <mergeCell ref="H616:H617"/>
    <mergeCell ref="I616:I617"/>
    <mergeCell ref="A618:I619"/>
    <mergeCell ref="A620:A621"/>
    <mergeCell ref="B620:B621"/>
    <mergeCell ref="D620:D621"/>
    <mergeCell ref="E620:E621"/>
    <mergeCell ref="F620:F621"/>
    <mergeCell ref="G620:G621"/>
    <mergeCell ref="H620:H621"/>
    <mergeCell ref="I620:I621"/>
    <mergeCell ref="A622:I623"/>
    <mergeCell ref="A624:A625"/>
    <mergeCell ref="B624:B625"/>
    <mergeCell ref="D624:D625"/>
    <mergeCell ref="E624:E625"/>
    <mergeCell ref="G624:G625"/>
    <mergeCell ref="H624:H625"/>
    <mergeCell ref="I624:I625"/>
    <mergeCell ref="A626:I627"/>
    <mergeCell ref="A628:A629"/>
    <mergeCell ref="B628:B629"/>
    <mergeCell ref="D628:D629"/>
    <mergeCell ref="E628:E629"/>
    <mergeCell ref="F628:F629"/>
    <mergeCell ref="G628:G629"/>
    <mergeCell ref="H628:H629"/>
    <mergeCell ref="I628:I629"/>
    <mergeCell ref="A630:I631"/>
    <mergeCell ref="A632:A633"/>
    <mergeCell ref="B632:B633"/>
    <mergeCell ref="D632:D633"/>
    <mergeCell ref="E632:E633"/>
    <mergeCell ref="F632:F633"/>
    <mergeCell ref="G632:G633"/>
    <mergeCell ref="H632:H633"/>
    <mergeCell ref="I632:I633"/>
    <mergeCell ref="A634:I635"/>
    <mergeCell ref="A636:A637"/>
    <mergeCell ref="B636:B637"/>
    <mergeCell ref="D636:D637"/>
    <mergeCell ref="E636:E637"/>
    <mergeCell ref="F636:F637"/>
    <mergeCell ref="G636:G637"/>
    <mergeCell ref="H636:H637"/>
    <mergeCell ref="I636:I637"/>
    <mergeCell ref="A638:I639"/>
    <mergeCell ref="A640:A641"/>
    <mergeCell ref="B640:B641"/>
    <mergeCell ref="D640:D641"/>
    <mergeCell ref="E640:E641"/>
    <mergeCell ref="F640:F641"/>
    <mergeCell ref="G640:G641"/>
    <mergeCell ref="H640:H641"/>
    <mergeCell ref="I640:I641"/>
    <mergeCell ref="A642:I642"/>
    <mergeCell ref="B643:B644"/>
    <mergeCell ref="D643:D644"/>
    <mergeCell ref="E643:E644"/>
    <mergeCell ref="F643:F644"/>
    <mergeCell ref="G643:G644"/>
    <mergeCell ref="H643:H644"/>
    <mergeCell ref="A645:I646"/>
    <mergeCell ref="A665:I666"/>
    <mergeCell ref="A667:A668"/>
    <mergeCell ref="B667:B668"/>
    <mergeCell ref="D667:D668"/>
    <mergeCell ref="E667:E668"/>
    <mergeCell ref="F667:F668"/>
    <mergeCell ref="G667:G668"/>
    <mergeCell ref="H667:H668"/>
    <mergeCell ref="I667:I668"/>
    <mergeCell ref="A655:A656"/>
    <mergeCell ref="B655:B656"/>
    <mergeCell ref="D655:D656"/>
    <mergeCell ref="E655:E656"/>
    <mergeCell ref="F655:F656"/>
    <mergeCell ref="G655:G656"/>
    <mergeCell ref="H655:H656"/>
    <mergeCell ref="I655:I656"/>
    <mergeCell ref="A669:I670"/>
    <mergeCell ref="A671:A672"/>
    <mergeCell ref="B671:B672"/>
    <mergeCell ref="D671:D672"/>
    <mergeCell ref="E671:E672"/>
    <mergeCell ref="G671:G672"/>
    <mergeCell ref="H671:H672"/>
    <mergeCell ref="A673:I674"/>
    <mergeCell ref="A675:A676"/>
    <mergeCell ref="B675:B676"/>
    <mergeCell ref="D675:D676"/>
    <mergeCell ref="E675:E676"/>
    <mergeCell ref="F675:F676"/>
    <mergeCell ref="G675:G676"/>
    <mergeCell ref="H675:H676"/>
    <mergeCell ref="I675:I676"/>
    <mergeCell ref="A677:I677"/>
    <mergeCell ref="B678:B679"/>
    <mergeCell ref="D678:D679"/>
    <mergeCell ref="E678:E679"/>
    <mergeCell ref="F678:F679"/>
    <mergeCell ref="G678:G679"/>
    <mergeCell ref="H678:H679"/>
    <mergeCell ref="A758:I759"/>
    <mergeCell ref="A760:A761"/>
    <mergeCell ref="B760:B761"/>
    <mergeCell ref="D760:D761"/>
    <mergeCell ref="E760:E761"/>
    <mergeCell ref="F760:F761"/>
    <mergeCell ref="G760:G761"/>
    <mergeCell ref="H760:H761"/>
    <mergeCell ref="I760:I761"/>
    <mergeCell ref="A712:I713"/>
    <mergeCell ref="A714:A715"/>
    <mergeCell ref="B714:B715"/>
    <mergeCell ref="D714:D715"/>
    <mergeCell ref="B702:B703"/>
    <mergeCell ref="D702:D703"/>
    <mergeCell ref="E702:E703"/>
    <mergeCell ref="F702:F703"/>
    <mergeCell ref="B779:B780"/>
    <mergeCell ref="D779:D780"/>
    <mergeCell ref="E779:E780"/>
    <mergeCell ref="F779:F780"/>
    <mergeCell ref="G779:G780"/>
    <mergeCell ref="H779:H780"/>
    <mergeCell ref="I779:I780"/>
    <mergeCell ref="A781:I782"/>
    <mergeCell ref="A783:A784"/>
    <mergeCell ref="B783:B784"/>
    <mergeCell ref="D783:D784"/>
    <mergeCell ref="E783:E784"/>
    <mergeCell ref="F783:F784"/>
    <mergeCell ref="G783:G784"/>
    <mergeCell ref="H783:H784"/>
    <mergeCell ref="I783:I784"/>
    <mergeCell ref="A785:I786"/>
    <mergeCell ref="A787:A788"/>
    <mergeCell ref="B787:B788"/>
    <mergeCell ref="D787:D788"/>
    <mergeCell ref="E787:E788"/>
    <mergeCell ref="F787:F788"/>
    <mergeCell ref="G787:G788"/>
    <mergeCell ref="H787:H788"/>
    <mergeCell ref="I787:I788"/>
    <mergeCell ref="A789:I790"/>
    <mergeCell ref="A791:A792"/>
    <mergeCell ref="B791:B792"/>
    <mergeCell ref="D791:D792"/>
    <mergeCell ref="E791:E792"/>
    <mergeCell ref="F791:F792"/>
    <mergeCell ref="G791:G792"/>
    <mergeCell ref="H791:H792"/>
    <mergeCell ref="I791:I792"/>
    <mergeCell ref="A793:I794"/>
    <mergeCell ref="A795:A796"/>
    <mergeCell ref="B795:B796"/>
    <mergeCell ref="D795:D796"/>
    <mergeCell ref="E795:E796"/>
    <mergeCell ref="F795:F796"/>
    <mergeCell ref="G795:G796"/>
    <mergeCell ref="H795:H796"/>
    <mergeCell ref="I795:I796"/>
    <mergeCell ref="B841:B842"/>
    <mergeCell ref="D841:D842"/>
    <mergeCell ref="E841:E842"/>
    <mergeCell ref="F841:F842"/>
    <mergeCell ref="G841:G842"/>
    <mergeCell ref="H841:H842"/>
    <mergeCell ref="I841:I842"/>
    <mergeCell ref="A843:I844"/>
    <mergeCell ref="A845:A846"/>
    <mergeCell ref="B845:B846"/>
    <mergeCell ref="D845:D846"/>
    <mergeCell ref="E845:E846"/>
    <mergeCell ref="G845:G846"/>
    <mergeCell ref="H845:H846"/>
    <mergeCell ref="I845:I846"/>
    <mergeCell ref="A847:I848"/>
    <mergeCell ref="A849:A850"/>
    <mergeCell ref="B849:B850"/>
    <mergeCell ref="D849:D850"/>
    <mergeCell ref="E849:E850"/>
    <mergeCell ref="F849:F850"/>
    <mergeCell ref="G849:G850"/>
    <mergeCell ref="H849:H850"/>
    <mergeCell ref="I849:I850"/>
    <mergeCell ref="A851:I852"/>
    <mergeCell ref="A853:A854"/>
    <mergeCell ref="B853:B854"/>
    <mergeCell ref="D853:D854"/>
    <mergeCell ref="E853:E854"/>
    <mergeCell ref="F853:F854"/>
    <mergeCell ref="G853:G854"/>
    <mergeCell ref="H853:H854"/>
    <mergeCell ref="I853:I854"/>
    <mergeCell ref="A855:I856"/>
    <mergeCell ref="A857:A858"/>
    <mergeCell ref="B857:B858"/>
    <mergeCell ref="D857:D858"/>
    <mergeCell ref="E857:E858"/>
    <mergeCell ref="F857:F858"/>
    <mergeCell ref="G857:G858"/>
    <mergeCell ref="H857:H858"/>
    <mergeCell ref="I857:I858"/>
  </mergeCells>
  <conditionalFormatting sqref="W2:W94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{026A4E2A-B0E1-4180-A40B-7724182F84E6}</x14:id>
        </ext>
      </extLst>
    </cfRule>
  </conditionalFormatting>
  <conditionalFormatting pivot="1" sqref="BA3:BA4 BA6:BA11 BA13:BA16 BA18:BA21 BA23:BA28 BA30:BA38 BA40:BA47 BA49:BA55 BA57:BA65 BA67:BA70 BA72:BA78 BA80:BA85 BA87:BA93 BA95:BA102 BA104:BA108 BA110:BA116 BA118:BA122 BA124:BA129 BA131:BA132 BA134:BA14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4:AO37">
    <cfRule type="iconSet" priority="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W1:AX2 AW35:AX1048576 AW3:AW34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8">
      <iconSet>
        <cfvo type="percent" val="0"/>
        <cfvo type="percent" val="33"/>
        <cfvo type="percent" val="67"/>
      </iconSet>
    </cfRule>
  </conditionalFormatting>
  <conditionalFormatting pivot="1" sqref="BA3:BA4 BA6:BA11 BA13:BA16 BA18:BA21 BA23:BA28 BA30:BA38 BA40:BA47 BA49:BA55 BA57:BA65 BA67:BA70 BA72:BA78 BA80:BA85 BA87:BA93 BA95:BA102 BA104:BA108 BA110:BA116 BA118:BA122 BA124:BA129 BA131:BA132 BA134:BA148 BA150:BA1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BB3:BB4 BB6:BB11 BB13:BB16 BB18:BB21 BB23:BB28 BB30:BB38 BB40:BB47 BB49:BB55 BB57:BB65 BB67:BB70 BB72:BB78 BB80:BB85 BB87:BB93 BB95:BB102 BB104:BB108 BB110:BB116 BB118:BB122 BB124:BB129 BB131:BB132 BB134:BB148 BB150:BB1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{A6FF22DD-3DD4-4A6A-80D9-4CED887395CD}</x14:id>
        </ext>
      </extLst>
    </cfRule>
  </conditionalFormatting>
  <pageMargins left="0.70000000000000007" right="0.70000000000000007" top="0.75" bottom="0.75" header="0.30000000000000004" footer="0.30000000000000004"/>
  <pageSetup fitToWidth="0" fitToHeight="0" orientation="portrait" r:id="rId7"/>
  <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A4E2A-B0E1-4180-A40B-7724182F84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W2:W941</xm:sqref>
        </x14:conditionalFormatting>
        <x14:conditionalFormatting xmlns:xm="http://schemas.microsoft.com/office/excel/2006/main" pivot="1">
          <x14:cfRule type="dataBar" id="{A6FF22DD-3DD4-4A6A-80D9-4CED887395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BB3:BB4 BB6:BB11 BB13:BB16 BB18:BB21 BB23:BB28 BB30:BB38 BB40:BB47 BB49:BB55 BB57:BB65 BB67:BB70 BB72:BB78 BB80:BB85 BB87:BB93 BB95:BB102 BB104:BB108 BB110:BB116 BB118:BB122 BB124:BB129 BB131:BB132 BB134:BB148 BB150:BB158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"/>
  <sheetViews>
    <sheetView workbookViewId="0">
      <selection activeCell="Q5" sqref="Q5:Q22"/>
    </sheetView>
  </sheetViews>
  <sheetFormatPr defaultRowHeight="14.4" x14ac:dyDescent="0.3"/>
  <cols>
    <col min="1" max="1" width="10.109375" bestFit="1" customWidth="1"/>
    <col min="2" max="2" width="8.5546875" bestFit="1" customWidth="1"/>
    <col min="3" max="3" width="6.109375" bestFit="1" customWidth="1"/>
    <col min="4" max="5" width="8.5546875" bestFit="1" customWidth="1"/>
    <col min="8" max="8" width="10.88671875" bestFit="1" customWidth="1"/>
    <col min="9" max="9" width="6" bestFit="1" customWidth="1"/>
    <col min="10" max="11" width="5.44140625" bestFit="1" customWidth="1"/>
    <col min="12" max="12" width="9.33203125" bestFit="1" customWidth="1"/>
    <col min="13" max="13" width="10.5546875" bestFit="1" customWidth="1"/>
    <col min="14" max="14" width="13.33203125" bestFit="1" customWidth="1"/>
    <col min="15" max="15" width="12.33203125" bestFit="1" customWidth="1"/>
  </cols>
  <sheetData>
    <row r="1" spans="1:17" ht="27.6" thickBot="1" x14ac:dyDescent="0.35">
      <c r="A1" s="3" t="s">
        <v>272</v>
      </c>
      <c r="B1" s="3" t="s">
        <v>273</v>
      </c>
      <c r="C1" s="3" t="s">
        <v>274</v>
      </c>
      <c r="D1" s="3" t="s">
        <v>275</v>
      </c>
      <c r="E1" s="3" t="s">
        <v>276</v>
      </c>
      <c r="H1" s="151">
        <f>SUMPRODUCT(N5:N22,O5:O22)</f>
        <v>2412</v>
      </c>
      <c r="I1" s="72"/>
      <c r="J1" s="73">
        <f>SUM(J5:J22)</f>
        <v>251.62000000000006</v>
      </c>
      <c r="K1" s="73">
        <f>SUM(K5:K22)</f>
        <v>149.78</v>
      </c>
      <c r="L1" s="73">
        <f>J1/K1</f>
        <v>1.6799305648284153</v>
      </c>
      <c r="M1" s="73"/>
      <c r="N1" s="73"/>
      <c r="O1" s="131"/>
      <c r="P1" s="159"/>
    </row>
    <row r="2" spans="1:17" ht="15" thickBot="1" x14ac:dyDescent="0.35">
      <c r="A2" s="4">
        <v>43253</v>
      </c>
      <c r="B2" s="5">
        <v>31904</v>
      </c>
      <c r="C2" s="5" t="s">
        <v>277</v>
      </c>
      <c r="D2" s="5">
        <v>17.670000000000002</v>
      </c>
      <c r="E2" s="5" t="s">
        <v>278</v>
      </c>
      <c r="H2" s="74" t="s">
        <v>388</v>
      </c>
      <c r="I2" s="75" t="s">
        <v>271</v>
      </c>
      <c r="J2" s="75" t="s">
        <v>186</v>
      </c>
      <c r="K2" s="75" t="s">
        <v>187</v>
      </c>
      <c r="L2" s="75" t="s">
        <v>188</v>
      </c>
      <c r="M2" s="75" t="s">
        <v>272</v>
      </c>
      <c r="N2" s="75" t="s">
        <v>386</v>
      </c>
      <c r="O2" s="132" t="s">
        <v>387</v>
      </c>
      <c r="P2" s="132" t="s">
        <v>91</v>
      </c>
    </row>
    <row r="3" spans="1:17" ht="15" thickBot="1" x14ac:dyDescent="0.35">
      <c r="A3" s="4">
        <v>43253</v>
      </c>
      <c r="B3" s="5">
        <v>31744</v>
      </c>
      <c r="C3" s="5" t="s">
        <v>279</v>
      </c>
      <c r="D3" s="5">
        <v>15.83</v>
      </c>
      <c r="E3" s="5" t="s">
        <v>280</v>
      </c>
      <c r="H3" s="153"/>
      <c r="I3" s="154">
        <v>29000</v>
      </c>
      <c r="J3" s="153"/>
      <c r="K3" s="153"/>
      <c r="L3" s="153"/>
      <c r="M3" s="155">
        <v>43203</v>
      </c>
      <c r="N3" s="153"/>
      <c r="O3" s="153"/>
      <c r="P3" s="152">
        <f>H1/K1</f>
        <v>16.103618640672988</v>
      </c>
    </row>
    <row r="4" spans="1:17" ht="15" thickBot="1" x14ac:dyDescent="0.35">
      <c r="A4" s="4">
        <v>43250</v>
      </c>
      <c r="B4" s="5">
        <v>31589</v>
      </c>
      <c r="C4" s="5" t="s">
        <v>281</v>
      </c>
      <c r="D4" s="5">
        <v>19.88</v>
      </c>
      <c r="E4" s="5" t="s">
        <v>282</v>
      </c>
      <c r="H4" s="154">
        <v>0</v>
      </c>
      <c r="I4" s="154">
        <v>29893</v>
      </c>
      <c r="J4" s="156">
        <v>93.157819237147606</v>
      </c>
      <c r="K4" s="157">
        <v>55.453374792703151</v>
      </c>
      <c r="L4" s="157">
        <v>1.6799305648284153</v>
      </c>
      <c r="M4" s="155">
        <v>43227</v>
      </c>
      <c r="N4" s="158">
        <v>24</v>
      </c>
      <c r="O4" s="158">
        <v>37.208333333333336</v>
      </c>
    </row>
    <row r="5" spans="1:17" ht="15" thickBot="1" x14ac:dyDescent="0.35">
      <c r="A5" s="4">
        <v>43248</v>
      </c>
      <c r="B5" s="5">
        <v>31413</v>
      </c>
      <c r="C5" s="5" t="s">
        <v>283</v>
      </c>
      <c r="D5" s="5">
        <v>15.59</v>
      </c>
      <c r="E5" s="5" t="s">
        <v>284</v>
      </c>
      <c r="H5" s="11">
        <f t="shared" ref="H5:H22" si="0">I5-$I$4</f>
        <v>158</v>
      </c>
      <c r="I5" s="11">
        <v>30051</v>
      </c>
      <c r="J5" s="11">
        <v>17.02</v>
      </c>
      <c r="K5" s="11">
        <v>10.35</v>
      </c>
      <c r="L5" s="11">
        <v>1.6439999999999999</v>
      </c>
      <c r="M5" s="118">
        <v>43229</v>
      </c>
      <c r="N5" s="28">
        <f t="shared" ref="N5:N22" si="1">M5-M4</f>
        <v>2</v>
      </c>
      <c r="O5" s="28">
        <f t="shared" ref="O5:O22" si="2">(H5-H4)/N5</f>
        <v>79</v>
      </c>
      <c r="Q5" s="150">
        <f>O5-$O$4</f>
        <v>41.791666666666664</v>
      </c>
    </row>
    <row r="6" spans="1:17" ht="15" thickBot="1" x14ac:dyDescent="0.35">
      <c r="A6" s="4">
        <v>43246</v>
      </c>
      <c r="B6" s="5">
        <v>31259</v>
      </c>
      <c r="C6" s="5" t="s">
        <v>285</v>
      </c>
      <c r="D6" s="5">
        <v>18.79</v>
      </c>
      <c r="E6" s="5" t="s">
        <v>286</v>
      </c>
      <c r="H6" s="11">
        <f t="shared" si="0"/>
        <v>300</v>
      </c>
      <c r="I6" s="11">
        <v>30193</v>
      </c>
      <c r="J6" s="11">
        <v>13.02</v>
      </c>
      <c r="K6" s="11">
        <v>7.92</v>
      </c>
      <c r="L6" s="125">
        <f>J6/K6</f>
        <v>1.6439393939393938</v>
      </c>
      <c r="M6" s="118">
        <v>43231</v>
      </c>
      <c r="N6" s="28">
        <f t="shared" si="1"/>
        <v>2</v>
      </c>
      <c r="O6" s="28">
        <f t="shared" si="2"/>
        <v>71</v>
      </c>
      <c r="Q6" s="150">
        <f t="shared" ref="Q6:Q22" si="3">O6-$O$4</f>
        <v>33.791666666666664</v>
      </c>
    </row>
    <row r="7" spans="1:17" ht="15" thickBot="1" x14ac:dyDescent="0.35">
      <c r="A7" s="4">
        <v>43244</v>
      </c>
      <c r="B7" s="5">
        <v>31066</v>
      </c>
      <c r="C7" s="5" t="s">
        <v>287</v>
      </c>
      <c r="D7" s="5">
        <v>13.31</v>
      </c>
      <c r="E7" s="5" t="s">
        <v>288</v>
      </c>
      <c r="H7" s="11">
        <f t="shared" si="0"/>
        <v>424</v>
      </c>
      <c r="I7" s="11">
        <v>30317</v>
      </c>
      <c r="J7" s="11">
        <v>10.01</v>
      </c>
      <c r="K7" s="11">
        <v>6.22</v>
      </c>
      <c r="L7" s="11">
        <v>1.6439999999999999</v>
      </c>
      <c r="M7" s="118">
        <v>43232</v>
      </c>
      <c r="N7" s="28">
        <f t="shared" si="1"/>
        <v>1</v>
      </c>
      <c r="O7" s="28">
        <f t="shared" si="2"/>
        <v>124</v>
      </c>
      <c r="Q7" s="150">
        <f t="shared" si="3"/>
        <v>86.791666666666657</v>
      </c>
    </row>
    <row r="8" spans="1:17" ht="15" thickBot="1" x14ac:dyDescent="0.35">
      <c r="A8" s="4">
        <v>43243</v>
      </c>
      <c r="B8" s="5">
        <v>31040</v>
      </c>
      <c r="C8" s="5" t="s">
        <v>289</v>
      </c>
      <c r="D8" s="5">
        <v>3.51</v>
      </c>
      <c r="E8" s="5">
        <v>0</v>
      </c>
      <c r="H8" s="11">
        <f t="shared" si="0"/>
        <v>507</v>
      </c>
      <c r="I8" s="11">
        <v>30400</v>
      </c>
      <c r="J8" s="11">
        <v>11</v>
      </c>
      <c r="K8" s="11">
        <v>6.61</v>
      </c>
      <c r="L8" s="11">
        <v>1.6439999999999999</v>
      </c>
      <c r="M8" s="118">
        <v>43234</v>
      </c>
      <c r="N8" s="28">
        <f t="shared" si="1"/>
        <v>2</v>
      </c>
      <c r="O8" s="28">
        <f t="shared" si="2"/>
        <v>41.5</v>
      </c>
      <c r="Q8" s="150">
        <f t="shared" si="3"/>
        <v>4.2916666666666643</v>
      </c>
    </row>
    <row r="9" spans="1:17" ht="15" thickBot="1" x14ac:dyDescent="0.35">
      <c r="A9" s="4">
        <v>43242</v>
      </c>
      <c r="B9" s="5">
        <v>30913</v>
      </c>
      <c r="C9" s="5">
        <v>8</v>
      </c>
      <c r="D9" s="5">
        <v>13.51</v>
      </c>
      <c r="E9" s="5">
        <v>0</v>
      </c>
      <c r="H9" s="11">
        <f t="shared" si="0"/>
        <v>584</v>
      </c>
      <c r="I9" s="11">
        <v>30477</v>
      </c>
      <c r="J9" s="11">
        <v>7.99</v>
      </c>
      <c r="K9" s="11">
        <v>4.79</v>
      </c>
      <c r="L9" s="11">
        <v>1.6439999999999999</v>
      </c>
      <c r="M9" s="118">
        <v>43236</v>
      </c>
      <c r="N9" s="28">
        <f t="shared" si="1"/>
        <v>2</v>
      </c>
      <c r="O9" s="28">
        <f t="shared" si="2"/>
        <v>38.5</v>
      </c>
      <c r="Q9" s="150">
        <f t="shared" si="3"/>
        <v>1.2916666666666643</v>
      </c>
    </row>
    <row r="10" spans="1:17" ht="15" thickBot="1" x14ac:dyDescent="0.35">
      <c r="A10" s="4">
        <v>43239</v>
      </c>
      <c r="B10" s="5">
        <v>30782</v>
      </c>
      <c r="C10" s="5" t="s">
        <v>290</v>
      </c>
      <c r="D10" s="5">
        <v>17.670000000000002</v>
      </c>
      <c r="E10" s="5" t="s">
        <v>291</v>
      </c>
      <c r="H10" s="11">
        <f t="shared" si="0"/>
        <v>728</v>
      </c>
      <c r="I10" s="11">
        <v>30621</v>
      </c>
      <c r="J10" s="11">
        <v>15.41</v>
      </c>
      <c r="K10" s="11">
        <v>9.26</v>
      </c>
      <c r="L10" s="11">
        <v>1.6439999999999999</v>
      </c>
      <c r="M10" s="118">
        <v>43238</v>
      </c>
      <c r="N10" s="28">
        <f t="shared" si="1"/>
        <v>2</v>
      </c>
      <c r="O10" s="28">
        <f t="shared" si="2"/>
        <v>72</v>
      </c>
      <c r="Q10" s="150">
        <f t="shared" si="3"/>
        <v>34.791666666666664</v>
      </c>
    </row>
    <row r="11" spans="1:17" ht="15" thickBot="1" x14ac:dyDescent="0.35">
      <c r="A11" s="4">
        <v>43238</v>
      </c>
      <c r="B11" s="5">
        <v>30621</v>
      </c>
      <c r="C11" s="5" t="s">
        <v>292</v>
      </c>
      <c r="D11" s="5">
        <v>15.41</v>
      </c>
      <c r="E11" s="5" t="s">
        <v>293</v>
      </c>
      <c r="H11" s="11">
        <f t="shared" si="0"/>
        <v>889</v>
      </c>
      <c r="I11" s="11">
        <v>30782</v>
      </c>
      <c r="J11" s="11">
        <v>17.670000000000002</v>
      </c>
      <c r="K11" s="11">
        <v>10.43</v>
      </c>
      <c r="L11" s="11">
        <v>1.6439999999999999</v>
      </c>
      <c r="M11" s="118">
        <v>43239</v>
      </c>
      <c r="N11" s="28">
        <f t="shared" si="1"/>
        <v>1</v>
      </c>
      <c r="O11" s="28">
        <f t="shared" si="2"/>
        <v>161</v>
      </c>
      <c r="Q11" s="150">
        <f t="shared" si="3"/>
        <v>123.79166666666666</v>
      </c>
    </row>
    <row r="12" spans="1:17" ht="15" thickBot="1" x14ac:dyDescent="0.35">
      <c r="A12" s="4">
        <v>43236</v>
      </c>
      <c r="B12" s="5">
        <v>30477</v>
      </c>
      <c r="C12" s="5" t="s">
        <v>294</v>
      </c>
      <c r="D12" s="5">
        <v>7.99</v>
      </c>
      <c r="E12" s="5">
        <v>0</v>
      </c>
      <c r="H12" s="11">
        <f t="shared" si="0"/>
        <v>1020</v>
      </c>
      <c r="I12" s="11">
        <v>30913</v>
      </c>
      <c r="J12" s="11">
        <v>13.51</v>
      </c>
      <c r="K12" s="11">
        <v>8</v>
      </c>
      <c r="L12" s="11">
        <v>1.6890000000000001</v>
      </c>
      <c r="M12" s="118">
        <v>43242</v>
      </c>
      <c r="N12" s="28">
        <f t="shared" si="1"/>
        <v>3</v>
      </c>
      <c r="O12" s="28">
        <f t="shared" si="2"/>
        <v>43.666666666666664</v>
      </c>
      <c r="Q12" s="150">
        <f t="shared" si="3"/>
        <v>6.4583333333333286</v>
      </c>
    </row>
    <row r="13" spans="1:17" ht="15" thickBot="1" x14ac:dyDescent="0.35">
      <c r="A13" s="4">
        <v>43234</v>
      </c>
      <c r="B13" s="5">
        <v>30400</v>
      </c>
      <c r="C13" s="5" t="s">
        <v>295</v>
      </c>
      <c r="D13" s="5">
        <v>11</v>
      </c>
      <c r="E13" s="5">
        <v>0</v>
      </c>
      <c r="H13" s="11">
        <f t="shared" si="0"/>
        <v>1147</v>
      </c>
      <c r="I13" s="11">
        <v>31040</v>
      </c>
      <c r="J13" s="11">
        <v>3.5</v>
      </c>
      <c r="K13" s="11">
        <v>2.04</v>
      </c>
      <c r="L13" s="11">
        <v>1.7190000000000001</v>
      </c>
      <c r="M13" s="118">
        <v>43243</v>
      </c>
      <c r="N13" s="28">
        <f t="shared" si="1"/>
        <v>1</v>
      </c>
      <c r="O13" s="28">
        <f t="shared" si="2"/>
        <v>127</v>
      </c>
      <c r="Q13" s="150">
        <f t="shared" si="3"/>
        <v>89.791666666666657</v>
      </c>
    </row>
    <row r="14" spans="1:17" ht="15" thickBot="1" x14ac:dyDescent="0.35">
      <c r="A14" s="4">
        <v>43232</v>
      </c>
      <c r="B14" s="5">
        <v>30317</v>
      </c>
      <c r="C14" s="5" t="s">
        <v>296</v>
      </c>
      <c r="D14" s="5">
        <v>10.01</v>
      </c>
      <c r="E14" s="5">
        <v>0</v>
      </c>
      <c r="H14" s="11">
        <f t="shared" si="0"/>
        <v>1173</v>
      </c>
      <c r="I14" s="11">
        <v>31066</v>
      </c>
      <c r="J14" s="11">
        <v>13.31</v>
      </c>
      <c r="K14" s="11">
        <v>7.88</v>
      </c>
      <c r="L14" s="11">
        <v>1.6890000000000001</v>
      </c>
      <c r="M14" s="118">
        <v>43244</v>
      </c>
      <c r="N14" s="28">
        <f t="shared" si="1"/>
        <v>1</v>
      </c>
      <c r="O14" s="28">
        <f t="shared" si="2"/>
        <v>26</v>
      </c>
      <c r="Q14" s="150">
        <f t="shared" si="3"/>
        <v>-11.208333333333336</v>
      </c>
    </row>
    <row r="15" spans="1:17" ht="15" thickBot="1" x14ac:dyDescent="0.35">
      <c r="A15" s="4">
        <v>43231</v>
      </c>
      <c r="B15" s="5">
        <v>30193</v>
      </c>
      <c r="C15" s="5" t="s">
        <v>297</v>
      </c>
      <c r="D15" s="5">
        <v>13.02</v>
      </c>
      <c r="E15" s="5">
        <v>0</v>
      </c>
      <c r="H15" s="11">
        <f t="shared" si="0"/>
        <v>1366</v>
      </c>
      <c r="I15" s="11">
        <v>31259</v>
      </c>
      <c r="J15" s="11">
        <v>18.79</v>
      </c>
      <c r="K15" s="11">
        <v>11.16</v>
      </c>
      <c r="L15" s="11">
        <v>1.6839999999999999</v>
      </c>
      <c r="M15" s="118">
        <v>43246</v>
      </c>
      <c r="N15" s="28">
        <f t="shared" si="1"/>
        <v>2</v>
      </c>
      <c r="O15" s="28">
        <f t="shared" si="2"/>
        <v>96.5</v>
      </c>
      <c r="Q15" s="150">
        <f t="shared" si="3"/>
        <v>59.291666666666664</v>
      </c>
    </row>
    <row r="16" spans="1:17" ht="15" thickBot="1" x14ac:dyDescent="0.35">
      <c r="A16" s="4">
        <v>43229</v>
      </c>
      <c r="B16" s="5">
        <v>30051</v>
      </c>
      <c r="C16" s="5" t="s">
        <v>298</v>
      </c>
      <c r="D16" s="5">
        <v>17.02</v>
      </c>
      <c r="E16" s="3"/>
      <c r="H16" s="11">
        <f t="shared" si="0"/>
        <v>1520</v>
      </c>
      <c r="I16" s="11">
        <v>31413</v>
      </c>
      <c r="J16" s="11">
        <v>15.59</v>
      </c>
      <c r="K16" s="11">
        <v>9.23</v>
      </c>
      <c r="L16" s="11">
        <v>1.6890000000000001</v>
      </c>
      <c r="M16" s="118">
        <v>43248</v>
      </c>
      <c r="N16" s="28">
        <f t="shared" si="1"/>
        <v>2</v>
      </c>
      <c r="O16" s="28">
        <f t="shared" si="2"/>
        <v>77</v>
      </c>
      <c r="Q16" s="150">
        <f t="shared" si="3"/>
        <v>39.791666666666664</v>
      </c>
    </row>
    <row r="17" spans="2:17" x14ac:dyDescent="0.3">
      <c r="H17" s="11">
        <f t="shared" si="0"/>
        <v>1696</v>
      </c>
      <c r="I17" s="11">
        <v>31589</v>
      </c>
      <c r="J17" s="11">
        <v>19.88</v>
      </c>
      <c r="K17" s="11">
        <v>11.7</v>
      </c>
      <c r="L17" s="11">
        <v>1.6990000000000001</v>
      </c>
      <c r="M17" s="118">
        <v>43250</v>
      </c>
      <c r="N17" s="28">
        <f t="shared" si="1"/>
        <v>2</v>
      </c>
      <c r="O17" s="28">
        <f t="shared" si="2"/>
        <v>88</v>
      </c>
      <c r="Q17" s="150">
        <f t="shared" si="3"/>
        <v>50.791666666666664</v>
      </c>
    </row>
    <row r="18" spans="2:17" x14ac:dyDescent="0.3">
      <c r="B18">
        <f>B15-B2</f>
        <v>-1711</v>
      </c>
      <c r="D18">
        <f>SUM(D2:D17)</f>
        <v>210.21</v>
      </c>
      <c r="H18" s="11">
        <f t="shared" si="0"/>
        <v>1851</v>
      </c>
      <c r="I18" s="11">
        <v>31744</v>
      </c>
      <c r="J18" s="11">
        <v>15.83</v>
      </c>
      <c r="K18" s="11">
        <v>9.32</v>
      </c>
      <c r="L18" s="11">
        <v>1.6990000000000001</v>
      </c>
      <c r="M18" s="118">
        <v>43252</v>
      </c>
      <c r="N18" s="28">
        <f t="shared" si="1"/>
        <v>2</v>
      </c>
      <c r="O18" s="28">
        <f t="shared" si="2"/>
        <v>77.5</v>
      </c>
      <c r="Q18" s="150">
        <f t="shared" si="3"/>
        <v>40.291666666666664</v>
      </c>
    </row>
    <row r="19" spans="2:17" x14ac:dyDescent="0.3">
      <c r="D19">
        <f>D18/15</f>
        <v>14.014000000000001</v>
      </c>
      <c r="H19" s="11">
        <f t="shared" si="0"/>
        <v>2011</v>
      </c>
      <c r="I19" s="11">
        <v>31904</v>
      </c>
      <c r="J19" s="11">
        <v>17.670000000000002</v>
      </c>
      <c r="K19" s="11">
        <v>10.4</v>
      </c>
      <c r="L19" s="11">
        <v>1.6990000000000001</v>
      </c>
      <c r="M19" s="118">
        <v>43253.999988425923</v>
      </c>
      <c r="N19" s="28">
        <f t="shared" si="1"/>
        <v>1.9999884259232203</v>
      </c>
      <c r="O19" s="28">
        <f t="shared" si="2"/>
        <v>80.000462965750387</v>
      </c>
      <c r="Q19" s="150">
        <f t="shared" si="3"/>
        <v>42.792129632417051</v>
      </c>
    </row>
    <row r="20" spans="2:17" x14ac:dyDescent="0.3">
      <c r="H20" s="11">
        <f t="shared" si="0"/>
        <v>2140</v>
      </c>
      <c r="I20" s="11">
        <v>32033</v>
      </c>
      <c r="J20" s="11">
        <v>13.15</v>
      </c>
      <c r="K20" s="11">
        <v>7.81</v>
      </c>
      <c r="L20" s="11">
        <v>1.6839999999999999</v>
      </c>
      <c r="M20" s="118">
        <v>43255.974988425929</v>
      </c>
      <c r="N20" s="28">
        <f t="shared" si="1"/>
        <v>1.9750000000058208</v>
      </c>
      <c r="O20" s="28">
        <f t="shared" si="2"/>
        <v>65.316455696010024</v>
      </c>
      <c r="Q20" s="150">
        <f t="shared" si="3"/>
        <v>28.108122362676689</v>
      </c>
    </row>
    <row r="21" spans="2:17" x14ac:dyDescent="0.3">
      <c r="H21" s="11">
        <f t="shared" si="0"/>
        <v>2292</v>
      </c>
      <c r="I21" s="11">
        <v>32185</v>
      </c>
      <c r="J21" s="11">
        <v>15.93</v>
      </c>
      <c r="K21" s="11">
        <v>9.4600000000000009</v>
      </c>
      <c r="L21" s="11">
        <v>1.6839999999999999</v>
      </c>
      <c r="M21" s="118">
        <v>43257.999305555553</v>
      </c>
      <c r="N21" s="28">
        <f t="shared" si="1"/>
        <v>2.0243171296242508</v>
      </c>
      <c r="O21" s="28">
        <f t="shared" si="2"/>
        <v>75.087049245200973</v>
      </c>
      <c r="Q21" s="150">
        <f t="shared" si="3"/>
        <v>37.878715911867637</v>
      </c>
    </row>
    <row r="22" spans="2:17" x14ac:dyDescent="0.3">
      <c r="H22" s="11">
        <f t="shared" si="0"/>
        <v>2412</v>
      </c>
      <c r="I22" s="11">
        <v>32305</v>
      </c>
      <c r="J22" s="11">
        <v>12.34</v>
      </c>
      <c r="K22" s="11">
        <v>7.2</v>
      </c>
      <c r="L22" s="11">
        <v>1.7114</v>
      </c>
      <c r="M22" s="120">
        <v>43259.999305555553</v>
      </c>
      <c r="N22" s="28">
        <f t="shared" si="1"/>
        <v>2</v>
      </c>
      <c r="O22" s="28">
        <f t="shared" si="2"/>
        <v>60</v>
      </c>
      <c r="Q22" s="150">
        <f t="shared" si="3"/>
        <v>22.791666666666664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40"/>
  <sheetViews>
    <sheetView zoomScale="70" zoomScaleNormal="70" workbookViewId="0">
      <selection activeCell="M4" sqref="M4"/>
    </sheetView>
  </sheetViews>
  <sheetFormatPr defaultRowHeight="14.4" x14ac:dyDescent="0.3"/>
  <cols>
    <col min="1" max="1" width="6" style="112" bestFit="1" customWidth="1"/>
    <col min="2" max="2" width="7.109375" style="112" bestFit="1" customWidth="1"/>
    <col min="3" max="3" width="8.88671875" style="112"/>
    <col min="4" max="4" width="10.5546875" style="112" bestFit="1" customWidth="1"/>
    <col min="5" max="5" width="9.44140625" style="112" bestFit="1" customWidth="1"/>
    <col min="7" max="7" width="11.5546875" bestFit="1" customWidth="1"/>
    <col min="8" max="8" width="10.77734375" bestFit="1" customWidth="1"/>
    <col min="9" max="9" width="11.5546875" bestFit="1" customWidth="1"/>
  </cols>
  <sheetData>
    <row r="1" spans="1:9" x14ac:dyDescent="0.3">
      <c r="A1" s="115" t="s">
        <v>209</v>
      </c>
      <c r="B1" s="115" t="s">
        <v>243</v>
      </c>
      <c r="D1" s="115" t="s">
        <v>244</v>
      </c>
      <c r="E1" s="115" t="s">
        <v>245</v>
      </c>
      <c r="G1" s="115" t="s">
        <v>145</v>
      </c>
      <c r="H1" s="115" t="s">
        <v>397</v>
      </c>
      <c r="I1" s="115" t="s">
        <v>426</v>
      </c>
    </row>
    <row r="2" spans="1:9" x14ac:dyDescent="0.3">
      <c r="A2" s="113">
        <v>0.41666666666666669</v>
      </c>
      <c r="B2" s="114" t="s">
        <v>317</v>
      </c>
      <c r="D2" s="112" t="s">
        <v>246</v>
      </c>
      <c r="E2" s="112">
        <v>1</v>
      </c>
      <c r="G2" s="120">
        <v>43227</v>
      </c>
      <c r="H2" t="s">
        <v>390</v>
      </c>
      <c r="I2">
        <f>IF(ISERROR(VLOOKUP(G2,Core!$BG$20:$BV$1000,16,0)),0,VLOOKUP(G2,Core!$BG$20:$BV$1000,16,0))</f>
        <v>2</v>
      </c>
    </row>
    <row r="3" spans="1:9" x14ac:dyDescent="0.3">
      <c r="A3" s="113">
        <v>0.45833333333333337</v>
      </c>
      <c r="B3" s="114" t="s">
        <v>318</v>
      </c>
      <c r="D3" s="112" t="s">
        <v>247</v>
      </c>
      <c r="E3" s="112">
        <v>2</v>
      </c>
      <c r="G3" s="120">
        <v>43228</v>
      </c>
      <c r="H3" t="s">
        <v>391</v>
      </c>
      <c r="I3">
        <f>IF(ISERROR(VLOOKUP(G3,Core!$BG$20:$BV$1000,16,0)),0,VLOOKUP(G3,Core!$BG$20:$BV$1000,16,0))</f>
        <v>4</v>
      </c>
    </row>
    <row r="4" spans="1:9" x14ac:dyDescent="0.3">
      <c r="A4" s="113">
        <v>0.5</v>
      </c>
      <c r="B4" s="114" t="s">
        <v>398</v>
      </c>
      <c r="D4" s="112" t="s">
        <v>248</v>
      </c>
      <c r="E4" s="112">
        <v>3</v>
      </c>
      <c r="G4" s="120">
        <v>43229</v>
      </c>
      <c r="H4" t="s">
        <v>392</v>
      </c>
      <c r="I4">
        <f>IF(ISERROR(VLOOKUP(G4,Core!$BG$20:$BV$1000,16,0)),0,VLOOKUP(G4,Core!$BG$20:$BV$1000,16,0))</f>
        <v>4</v>
      </c>
    </row>
    <row r="5" spans="1:9" x14ac:dyDescent="0.3">
      <c r="A5" s="113">
        <v>0.54166666666666696</v>
      </c>
      <c r="B5" s="114" t="s">
        <v>316</v>
      </c>
      <c r="D5" s="112" t="s">
        <v>249</v>
      </c>
      <c r="E5" s="112">
        <v>4</v>
      </c>
      <c r="G5" s="120">
        <v>43230</v>
      </c>
      <c r="H5" t="s">
        <v>393</v>
      </c>
      <c r="I5">
        <f>IF(ISERROR(VLOOKUP(G5,Core!$BG$20:$BV$1000,16,0)),0,VLOOKUP(G5,Core!$BG$20:$BV$1000,16,0))</f>
        <v>4</v>
      </c>
    </row>
    <row r="6" spans="1:9" x14ac:dyDescent="0.3">
      <c r="A6" s="113">
        <v>0.58333333333333404</v>
      </c>
      <c r="B6" s="114" t="s">
        <v>319</v>
      </c>
      <c r="D6" s="112" t="s">
        <v>19</v>
      </c>
      <c r="E6" s="112">
        <v>5</v>
      </c>
      <c r="G6" s="120">
        <v>43231</v>
      </c>
      <c r="H6" t="s">
        <v>394</v>
      </c>
      <c r="I6">
        <f>IF(ISERROR(VLOOKUP(G6,Core!$BG$20:$BV$1000,16,0)),0,VLOOKUP(G6,Core!$BG$20:$BV$1000,16,0))</f>
        <v>4</v>
      </c>
    </row>
    <row r="7" spans="1:9" x14ac:dyDescent="0.3">
      <c r="A7" s="113">
        <v>0.625</v>
      </c>
      <c r="B7" s="114" t="s">
        <v>320</v>
      </c>
      <c r="D7" s="112" t="s">
        <v>250</v>
      </c>
      <c r="E7" s="112">
        <v>6</v>
      </c>
      <c r="G7" s="120">
        <v>43232</v>
      </c>
      <c r="H7" t="s">
        <v>395</v>
      </c>
      <c r="I7">
        <f>IF(ISERROR(VLOOKUP(G7,Core!$BG$20:$BV$1000,16,0)),0,VLOOKUP(G7,Core!$BG$20:$BV$1000,16,0))</f>
        <v>7</v>
      </c>
    </row>
    <row r="8" spans="1:9" x14ac:dyDescent="0.3">
      <c r="A8" s="113">
        <v>0.66666666666666696</v>
      </c>
      <c r="B8" s="112" t="s">
        <v>321</v>
      </c>
      <c r="D8" s="112" t="s">
        <v>251</v>
      </c>
      <c r="E8" s="112">
        <v>7</v>
      </c>
      <c r="G8" s="120">
        <v>43233</v>
      </c>
      <c r="H8" t="s">
        <v>396</v>
      </c>
      <c r="I8">
        <f>IF(ISERROR(VLOOKUP(G8,Core!$BG$20:$BV$1000,16,0)),0,VLOOKUP(G8,Core!$BG$20:$BV$1000,16,0))</f>
        <v>5</v>
      </c>
    </row>
    <row r="9" spans="1:9" x14ac:dyDescent="0.3">
      <c r="A9" s="113">
        <v>0.70833333333333404</v>
      </c>
      <c r="B9" s="114" t="s">
        <v>322</v>
      </c>
      <c r="D9" s="112" t="s">
        <v>252</v>
      </c>
      <c r="E9" s="112">
        <v>8</v>
      </c>
      <c r="G9" s="120">
        <v>43234</v>
      </c>
      <c r="H9" t="s">
        <v>390</v>
      </c>
      <c r="I9">
        <f>IF(ISERROR(VLOOKUP(G9,Core!$BG$20:$BV$1000,16,0)),0,VLOOKUP(G9,Core!$BG$20:$BV$1000,16,0))</f>
        <v>4</v>
      </c>
    </row>
    <row r="10" spans="1:9" x14ac:dyDescent="0.3">
      <c r="A10" s="113">
        <v>0.75</v>
      </c>
      <c r="B10" s="114" t="s">
        <v>323</v>
      </c>
      <c r="D10" s="112" t="s">
        <v>253</v>
      </c>
      <c r="E10" s="112">
        <v>9</v>
      </c>
      <c r="G10" s="120">
        <v>43235</v>
      </c>
      <c r="H10" t="s">
        <v>391</v>
      </c>
      <c r="I10">
        <f>IF(ISERROR(VLOOKUP(G10,Core!$BG$20:$BV$1000,16,0)),0,VLOOKUP(G10,Core!$BG$20:$BV$1000,16,0))</f>
        <v>6</v>
      </c>
    </row>
    <row r="11" spans="1:9" x14ac:dyDescent="0.3">
      <c r="A11" s="113">
        <v>0.79166666666666696</v>
      </c>
      <c r="B11" s="114" t="s">
        <v>324</v>
      </c>
      <c r="D11" s="112" t="s">
        <v>254</v>
      </c>
      <c r="E11" s="112">
        <v>10</v>
      </c>
      <c r="G11" s="120">
        <v>43236</v>
      </c>
      <c r="H11" t="s">
        <v>392</v>
      </c>
      <c r="I11">
        <f>IF(ISERROR(VLOOKUP(G11,Core!$BG$20:$BV$1000,16,0)),0,VLOOKUP(G11,Core!$BG$20:$BV$1000,16,0))</f>
        <v>2</v>
      </c>
    </row>
    <row r="12" spans="1:9" x14ac:dyDescent="0.3">
      <c r="A12" s="113">
        <v>0.83333333333333404</v>
      </c>
      <c r="B12" s="114" t="s">
        <v>325</v>
      </c>
      <c r="D12" s="112" t="s">
        <v>255</v>
      </c>
      <c r="E12" s="112">
        <v>11</v>
      </c>
      <c r="G12" s="120">
        <v>43237</v>
      </c>
      <c r="H12" t="s">
        <v>393</v>
      </c>
      <c r="I12">
        <f>IF(ISERROR(VLOOKUP(G12,Core!$BG$20:$BV$1000,16,0)),0,VLOOKUP(G12,Core!$BG$20:$BV$1000,16,0))</f>
        <v>6</v>
      </c>
    </row>
    <row r="13" spans="1:9" x14ac:dyDescent="0.3">
      <c r="A13" s="113">
        <v>0.875000000000001</v>
      </c>
      <c r="B13" s="114" t="s">
        <v>326</v>
      </c>
      <c r="D13" s="112" t="s">
        <v>256</v>
      </c>
      <c r="G13" s="120">
        <v>43238</v>
      </c>
      <c r="H13" t="s">
        <v>394</v>
      </c>
      <c r="I13">
        <f>IF(ISERROR(VLOOKUP(G13,Core!$BG$20:$BV$1000,16,0)),0,VLOOKUP(G13,Core!$BG$20:$BV$1000,16,0))</f>
        <v>4</v>
      </c>
    </row>
    <row r="14" spans="1:9" x14ac:dyDescent="0.3">
      <c r="A14" s="113">
        <v>0.91666666666666696</v>
      </c>
      <c r="B14" s="112" t="s">
        <v>327</v>
      </c>
      <c r="G14" s="120">
        <v>43239</v>
      </c>
      <c r="H14" t="s">
        <v>395</v>
      </c>
      <c r="I14">
        <f>IF(ISERROR(VLOOKUP(G14,Core!$BG$20:$BV$1000,16,0)),0,VLOOKUP(G14,Core!$BG$20:$BV$1000,16,0))</f>
        <v>5</v>
      </c>
    </row>
    <row r="15" spans="1:9" x14ac:dyDescent="0.3">
      <c r="A15" s="113">
        <v>0.95833333333333404</v>
      </c>
      <c r="B15" s="112" t="s">
        <v>329</v>
      </c>
      <c r="G15" s="120">
        <v>43240</v>
      </c>
      <c r="H15" t="s">
        <v>396</v>
      </c>
      <c r="I15">
        <f>IF(ISERROR(VLOOKUP(G15,Core!$BG$20:$BV$1000,16,0)),0,VLOOKUP(G15,Core!$BG$20:$BV$1000,16,0))</f>
        <v>6</v>
      </c>
    </row>
    <row r="16" spans="1:9" x14ac:dyDescent="0.3">
      <c r="A16" s="113">
        <v>1</v>
      </c>
      <c r="B16" s="114" t="s">
        <v>328</v>
      </c>
      <c r="G16" s="120">
        <v>43241</v>
      </c>
      <c r="H16" t="s">
        <v>390</v>
      </c>
      <c r="I16">
        <f>IF(ISERROR(VLOOKUP(G16,Core!$BG$20:$BV$1000,16,0)),0,VLOOKUP(G16,Core!$BG$20:$BV$1000,16,0))</f>
        <v>0</v>
      </c>
    </row>
    <row r="17" spans="1:9" x14ac:dyDescent="0.3">
      <c r="A17" s="113"/>
      <c r="B17" s="114"/>
      <c r="G17" s="120">
        <v>43242</v>
      </c>
      <c r="H17" t="s">
        <v>391</v>
      </c>
      <c r="I17">
        <f>IF(ISERROR(VLOOKUP(G17,Core!$BG$20:$BV$1000,16,0)),0,VLOOKUP(G17,Core!$BG$20:$BV$1000,16,0))</f>
        <v>4</v>
      </c>
    </row>
    <row r="18" spans="1:9" x14ac:dyDescent="0.3">
      <c r="G18" s="120">
        <v>43243</v>
      </c>
      <c r="H18" t="s">
        <v>392</v>
      </c>
      <c r="I18">
        <f>IF(ISERROR(VLOOKUP(G18,Core!$BG$20:$BV$1000,16,0)),0,VLOOKUP(G18,Core!$BG$20:$BV$1000,16,0))</f>
        <v>6</v>
      </c>
    </row>
    <row r="19" spans="1:9" x14ac:dyDescent="0.3">
      <c r="G19" s="120">
        <v>43244</v>
      </c>
      <c r="H19" t="s">
        <v>393</v>
      </c>
      <c r="I19">
        <f>IF(ISERROR(VLOOKUP(G19,Core!$BG$20:$BV$1000,16,0)),0,VLOOKUP(G19,Core!$BG$20:$BV$1000,16,0))</f>
        <v>5</v>
      </c>
    </row>
    <row r="20" spans="1:9" x14ac:dyDescent="0.3">
      <c r="G20" s="120">
        <v>43245</v>
      </c>
      <c r="H20" t="s">
        <v>394</v>
      </c>
      <c r="I20">
        <f>IF(ISERROR(VLOOKUP(G20,Core!$BG$20:$BV$1000,16,0)),0,VLOOKUP(G20,Core!$BG$20:$BV$1000,16,0))</f>
        <v>5</v>
      </c>
    </row>
    <row r="21" spans="1:9" x14ac:dyDescent="0.3">
      <c r="G21" s="120">
        <v>43246</v>
      </c>
      <c r="H21" t="s">
        <v>395</v>
      </c>
      <c r="I21">
        <f>IF(ISERROR(VLOOKUP(G21,Core!$BG$20:$BV$1000,16,0)),0,VLOOKUP(G21,Core!$BG$20:$BV$1000,16,0))</f>
        <v>2</v>
      </c>
    </row>
    <row r="22" spans="1:9" x14ac:dyDescent="0.3">
      <c r="G22" s="120">
        <v>43247</v>
      </c>
      <c r="H22" t="s">
        <v>396</v>
      </c>
      <c r="I22">
        <f>IF(ISERROR(VLOOKUP(G22,Core!$BG$20:$BV$1000,16,0)),0,VLOOKUP(G22,Core!$BG$20:$BV$1000,16,0))</f>
        <v>9</v>
      </c>
    </row>
    <row r="23" spans="1:9" x14ac:dyDescent="0.3">
      <c r="G23" s="120">
        <v>43248</v>
      </c>
      <c r="H23" t="s">
        <v>390</v>
      </c>
      <c r="I23">
        <f>IF(ISERROR(VLOOKUP(G23,Core!$BG$20:$BV$1000,16,0)),0,VLOOKUP(G23,Core!$BG$20:$BV$1000,16,0))</f>
        <v>7</v>
      </c>
    </row>
    <row r="24" spans="1:9" x14ac:dyDescent="0.3">
      <c r="G24" s="120">
        <v>43249</v>
      </c>
      <c r="H24" t="s">
        <v>391</v>
      </c>
      <c r="I24">
        <f>IF(ISERROR(VLOOKUP(G24,Core!$BG$20:$BV$1000,16,0)),0,VLOOKUP(G24,Core!$BG$20:$BV$1000,16,0))</f>
        <v>5</v>
      </c>
    </row>
    <row r="25" spans="1:9" x14ac:dyDescent="0.3">
      <c r="G25" s="120">
        <v>43250</v>
      </c>
      <c r="H25" t="s">
        <v>392</v>
      </c>
      <c r="I25">
        <f>IF(ISERROR(VLOOKUP(G25,Core!$BG$20:$BV$1000,16,0)),0,VLOOKUP(G25,Core!$BG$20:$BV$1000,16,0))</f>
        <v>6</v>
      </c>
    </row>
    <row r="26" spans="1:9" x14ac:dyDescent="0.3">
      <c r="G26" s="120">
        <v>43251</v>
      </c>
      <c r="H26" t="s">
        <v>393</v>
      </c>
      <c r="I26">
        <f>IF(ISERROR(VLOOKUP(G26,Core!$BG$20:$BV$1000,16,0)),0,VLOOKUP(G26,Core!$BG$20:$BV$1000,16,0))</f>
        <v>0</v>
      </c>
    </row>
    <row r="27" spans="1:9" x14ac:dyDescent="0.3">
      <c r="G27" s="120">
        <v>43252</v>
      </c>
      <c r="H27" t="s">
        <v>394</v>
      </c>
      <c r="I27">
        <f>IF(ISERROR(VLOOKUP(G27,Core!$BG$20:$BV$1000,16,0)),0,VLOOKUP(G27,Core!$BG$20:$BV$1000,16,0))</f>
        <v>9</v>
      </c>
    </row>
    <row r="28" spans="1:9" x14ac:dyDescent="0.3">
      <c r="G28" s="120">
        <v>43253</v>
      </c>
      <c r="H28" t="s">
        <v>395</v>
      </c>
      <c r="I28">
        <f>IF(ISERROR(VLOOKUP(G28,Core!$BG$20:$BV$1000,16,0)),0,VLOOKUP(G28,Core!$BG$20:$BV$1000,16,0))</f>
        <v>7</v>
      </c>
    </row>
    <row r="29" spans="1:9" x14ac:dyDescent="0.3">
      <c r="G29" s="120">
        <v>43254</v>
      </c>
      <c r="H29" t="s">
        <v>396</v>
      </c>
      <c r="I29">
        <f>IF(ISERROR(VLOOKUP(G29,Core!$BG$20:$BV$1000,16,0)),0,VLOOKUP(G29,Core!$BG$20:$BV$1000,16,0))</f>
        <v>8</v>
      </c>
    </row>
    <row r="30" spans="1:9" x14ac:dyDescent="0.3">
      <c r="G30" s="120">
        <v>43255</v>
      </c>
      <c r="H30" t="s">
        <v>390</v>
      </c>
      <c r="I30">
        <f>IF(ISERROR(VLOOKUP(G30,Core!$BG$20:$BV$1000,16,0)),0,VLOOKUP(G30,Core!$BG$20:$BV$1000,16,0))</f>
        <v>7</v>
      </c>
    </row>
    <row r="31" spans="1:9" x14ac:dyDescent="0.3">
      <c r="G31" s="120">
        <v>43256</v>
      </c>
      <c r="H31" t="s">
        <v>391</v>
      </c>
      <c r="I31">
        <f>IF(ISERROR(VLOOKUP(G31,Core!$BG$20:$BV$1000,16,0)),0,VLOOKUP(G31,Core!$BG$20:$BV$1000,16,0))</f>
        <v>5</v>
      </c>
    </row>
    <row r="32" spans="1:9" x14ac:dyDescent="0.3">
      <c r="G32" s="120">
        <v>43257</v>
      </c>
      <c r="H32" t="s">
        <v>392</v>
      </c>
      <c r="I32">
        <f>IF(ISERROR(VLOOKUP(G32,Core!$BG$20:$BV$1000,16,0)),0,VLOOKUP(G32,Core!$BG$20:$BV$1000,16,0))</f>
        <v>4</v>
      </c>
    </row>
    <row r="33" spans="7:9" x14ac:dyDescent="0.3">
      <c r="G33" s="120">
        <v>43258</v>
      </c>
      <c r="H33" t="s">
        <v>393</v>
      </c>
      <c r="I33">
        <f>IF(ISERROR(VLOOKUP(G33,Core!$BG$20:$BV$1000,16,0)),0,VLOOKUP(G33,Core!$BG$20:$BV$1000,16,0))</f>
        <v>7</v>
      </c>
    </row>
    <row r="34" spans="7:9" x14ac:dyDescent="0.3">
      <c r="G34" s="120">
        <v>43259</v>
      </c>
      <c r="H34" t="s">
        <v>394</v>
      </c>
      <c r="I34">
        <f>IF(ISERROR(VLOOKUP(G34,Core!$BG$20:$BV$1000,16,0)),0,VLOOKUP(G34,Core!$BG$20:$BV$1000,16,0))</f>
        <v>4</v>
      </c>
    </row>
    <row r="35" spans="7:9" x14ac:dyDescent="0.3">
      <c r="G35" s="120">
        <v>43260</v>
      </c>
      <c r="H35" t="s">
        <v>395</v>
      </c>
      <c r="I35">
        <f>IF(ISERROR(VLOOKUP(G35,Core!$BG$20:$BV$1000,16,0)),0,VLOOKUP(G35,Core!$BG$20:$BV$1000,16,0))</f>
        <v>5</v>
      </c>
    </row>
    <row r="36" spans="7:9" x14ac:dyDescent="0.3">
      <c r="G36" s="120">
        <v>43261</v>
      </c>
      <c r="H36" t="s">
        <v>396</v>
      </c>
      <c r="I36">
        <f>IF(ISERROR(VLOOKUP(G36,Core!$BG$20:$BV$1000,16,0)),0,VLOOKUP(G36,Core!$BG$20:$BV$1000,16,0))</f>
        <v>12</v>
      </c>
    </row>
    <row r="37" spans="7:9" x14ac:dyDescent="0.3">
      <c r="G37" s="120">
        <v>43262</v>
      </c>
      <c r="H37" t="s">
        <v>390</v>
      </c>
      <c r="I37">
        <f>IF(ISERROR(VLOOKUP(G37,Core!$BG$20:$BV$1000,16,0)),0,VLOOKUP(G37,Core!$BG$20:$BV$1000,16,0))</f>
        <v>0</v>
      </c>
    </row>
    <row r="38" spans="7:9" x14ac:dyDescent="0.3">
      <c r="G38" s="120">
        <v>43263</v>
      </c>
      <c r="H38" t="s">
        <v>391</v>
      </c>
      <c r="I38">
        <f>IF(ISERROR(VLOOKUP(G38,Core!$BG$20:$BV$1000,16,0)),0,VLOOKUP(G38,Core!$BG$20:$BV$1000,16,0))</f>
        <v>0</v>
      </c>
    </row>
    <row r="39" spans="7:9" x14ac:dyDescent="0.3">
      <c r="G39" s="120">
        <v>43264</v>
      </c>
      <c r="H39" t="s">
        <v>392</v>
      </c>
      <c r="I39">
        <f>IF(ISERROR(VLOOKUP(G39,Core!$BG$20:$BV$1000,16,0)),0,VLOOKUP(G39,Core!$BG$20:$BV$1000,16,0))</f>
        <v>0</v>
      </c>
    </row>
    <row r="40" spans="7:9" x14ac:dyDescent="0.3">
      <c r="G40" s="120">
        <v>43265</v>
      </c>
      <c r="H40" t="s">
        <v>393</v>
      </c>
      <c r="I40">
        <f>IF(ISERROR(VLOOKUP(G40,Core!$BG$20:$BV$1000,16,0)),0,VLOOKUP(G40,Core!$BG$20:$BV$1000,16,0))</f>
        <v>0</v>
      </c>
    </row>
    <row r="41" spans="7:9" x14ac:dyDescent="0.3">
      <c r="G41" s="120">
        <v>43266</v>
      </c>
      <c r="H41" t="s">
        <v>394</v>
      </c>
      <c r="I41">
        <f>IF(ISERROR(VLOOKUP(G41,Core!$BG$20:$BV$1000,16,0)),0,VLOOKUP(G41,Core!$BG$20:$BV$1000,16,0))</f>
        <v>0</v>
      </c>
    </row>
    <row r="42" spans="7:9" x14ac:dyDescent="0.3">
      <c r="G42" s="120">
        <v>43267</v>
      </c>
      <c r="H42" t="s">
        <v>395</v>
      </c>
      <c r="I42">
        <f>IF(ISERROR(VLOOKUP(G42,Core!$BG$20:$BV$1000,16,0)),0,VLOOKUP(G42,Core!$BG$20:$BV$1000,16,0))</f>
        <v>0</v>
      </c>
    </row>
    <row r="43" spans="7:9" x14ac:dyDescent="0.3">
      <c r="G43" s="120">
        <v>43268</v>
      </c>
      <c r="H43" t="s">
        <v>396</v>
      </c>
      <c r="I43">
        <f>IF(ISERROR(VLOOKUP(G43,Core!$BG$20:$BV$1000,16,0)),0,VLOOKUP(G43,Core!$BG$20:$BV$1000,16,0))</f>
        <v>0</v>
      </c>
    </row>
    <row r="44" spans="7:9" x14ac:dyDescent="0.3">
      <c r="G44" s="120">
        <v>43269</v>
      </c>
      <c r="H44" t="s">
        <v>390</v>
      </c>
      <c r="I44">
        <f>IF(ISERROR(VLOOKUP(G44,Core!$BG$20:$BV$1000,16,0)),0,VLOOKUP(G44,Core!$BG$20:$BV$1000,16,0))</f>
        <v>0</v>
      </c>
    </row>
    <row r="45" spans="7:9" x14ac:dyDescent="0.3">
      <c r="G45" s="120">
        <v>43270</v>
      </c>
      <c r="H45" t="s">
        <v>391</v>
      </c>
      <c r="I45">
        <f>IF(ISERROR(VLOOKUP(G45,Core!$BG$20:$BV$1000,16,0)),0,VLOOKUP(G45,Core!$BG$20:$BV$1000,16,0))</f>
        <v>0</v>
      </c>
    </row>
    <row r="46" spans="7:9" x14ac:dyDescent="0.3">
      <c r="G46" s="120">
        <v>43271</v>
      </c>
      <c r="H46" t="s">
        <v>392</v>
      </c>
      <c r="I46">
        <f>IF(ISERROR(VLOOKUP(G46,Core!$BG$20:$BV$1000,16,0)),0,VLOOKUP(G46,Core!$BG$20:$BV$1000,16,0))</f>
        <v>0</v>
      </c>
    </row>
    <row r="47" spans="7:9" x14ac:dyDescent="0.3">
      <c r="G47" s="120">
        <v>43272</v>
      </c>
      <c r="H47" t="s">
        <v>393</v>
      </c>
      <c r="I47">
        <f>IF(ISERROR(VLOOKUP(G47,Core!$BG$20:$BV$1000,16,0)),0,VLOOKUP(G47,Core!$BG$20:$BV$1000,16,0))</f>
        <v>0</v>
      </c>
    </row>
    <row r="48" spans="7:9" x14ac:dyDescent="0.3">
      <c r="G48" s="120">
        <v>43273</v>
      </c>
      <c r="H48" t="s">
        <v>394</v>
      </c>
      <c r="I48">
        <f>IF(ISERROR(VLOOKUP(G48,Core!$BG$20:$BV$1000,16,0)),0,VLOOKUP(G48,Core!$BG$20:$BV$1000,16,0))</f>
        <v>0</v>
      </c>
    </row>
    <row r="49" spans="7:9" x14ac:dyDescent="0.3">
      <c r="G49" s="120">
        <v>43274</v>
      </c>
      <c r="H49" t="s">
        <v>395</v>
      </c>
      <c r="I49">
        <f>IF(ISERROR(VLOOKUP(G49,Core!$BG$20:$BV$1000,16,0)),0,VLOOKUP(G49,Core!$BG$20:$BV$1000,16,0))</f>
        <v>0</v>
      </c>
    </row>
    <row r="50" spans="7:9" x14ac:dyDescent="0.3">
      <c r="G50" s="120">
        <v>43275</v>
      </c>
      <c r="H50" t="s">
        <v>396</v>
      </c>
      <c r="I50">
        <f>IF(ISERROR(VLOOKUP(G50,Core!$BG$20:$BV$1000,16,0)),0,VLOOKUP(G50,Core!$BG$20:$BV$1000,16,0))</f>
        <v>0</v>
      </c>
    </row>
    <row r="51" spans="7:9" x14ac:dyDescent="0.3">
      <c r="G51" s="120">
        <v>43276</v>
      </c>
      <c r="H51" t="s">
        <v>390</v>
      </c>
      <c r="I51">
        <f>IF(ISERROR(VLOOKUP(G51,Core!$BG$20:$BV$1000,16,0)),0,VLOOKUP(G51,Core!$BG$20:$BV$1000,16,0))</f>
        <v>0</v>
      </c>
    </row>
    <row r="52" spans="7:9" x14ac:dyDescent="0.3">
      <c r="G52" s="120">
        <v>43277</v>
      </c>
      <c r="H52" t="s">
        <v>391</v>
      </c>
      <c r="I52">
        <f>IF(ISERROR(VLOOKUP(G52,Core!$BG$20:$BV$1000,16,0)),0,VLOOKUP(G52,Core!$BG$20:$BV$1000,16,0))</f>
        <v>0</v>
      </c>
    </row>
    <row r="53" spans="7:9" x14ac:dyDescent="0.3">
      <c r="G53" s="120">
        <v>43278</v>
      </c>
      <c r="H53" t="s">
        <v>392</v>
      </c>
      <c r="I53">
        <f>IF(ISERROR(VLOOKUP(G53,Core!$BG$20:$BV$1000,16,0)),0,VLOOKUP(G53,Core!$BG$20:$BV$1000,16,0))</f>
        <v>0</v>
      </c>
    </row>
    <row r="54" spans="7:9" x14ac:dyDescent="0.3">
      <c r="G54" s="120">
        <v>43279</v>
      </c>
      <c r="H54" t="s">
        <v>393</v>
      </c>
      <c r="I54">
        <f>IF(ISERROR(VLOOKUP(G54,Core!$BG$20:$BV$1000,16,0)),0,VLOOKUP(G54,Core!$BG$20:$BV$1000,16,0))</f>
        <v>0</v>
      </c>
    </row>
    <row r="55" spans="7:9" x14ac:dyDescent="0.3">
      <c r="G55" s="120">
        <v>43280</v>
      </c>
      <c r="H55" t="s">
        <v>394</v>
      </c>
      <c r="I55">
        <f>IF(ISERROR(VLOOKUP(G55,Core!$BG$20:$BV$1000,16,0)),0,VLOOKUP(G55,Core!$BG$20:$BV$1000,16,0))</f>
        <v>0</v>
      </c>
    </row>
    <row r="56" spans="7:9" x14ac:dyDescent="0.3">
      <c r="G56" s="120">
        <v>43281</v>
      </c>
      <c r="H56" t="s">
        <v>395</v>
      </c>
      <c r="I56">
        <f>IF(ISERROR(VLOOKUP(G56,Core!$BG$20:$BV$1000,16,0)),0,VLOOKUP(G56,Core!$BG$20:$BV$1000,16,0))</f>
        <v>0</v>
      </c>
    </row>
    <row r="57" spans="7:9" x14ac:dyDescent="0.3">
      <c r="G57" s="120">
        <v>43282</v>
      </c>
      <c r="H57" t="s">
        <v>396</v>
      </c>
      <c r="I57">
        <f>IF(ISERROR(VLOOKUP(G57,Core!$BG$20:$BV$1000,16,0)),0,VLOOKUP(G57,Core!$BG$20:$BV$1000,16,0))</f>
        <v>0</v>
      </c>
    </row>
    <row r="58" spans="7:9" x14ac:dyDescent="0.3">
      <c r="G58" s="120">
        <v>43283</v>
      </c>
      <c r="H58" t="s">
        <v>390</v>
      </c>
      <c r="I58">
        <f>IF(ISERROR(VLOOKUP(G58,Core!$BG$20:$BV$1000,16,0)),0,VLOOKUP(G58,Core!$BG$20:$BV$1000,16,0))</f>
        <v>0</v>
      </c>
    </row>
    <row r="59" spans="7:9" x14ac:dyDescent="0.3">
      <c r="G59" s="120">
        <v>43284</v>
      </c>
      <c r="H59" t="s">
        <v>391</v>
      </c>
      <c r="I59">
        <f>IF(ISERROR(VLOOKUP(G59,Core!$BG$20:$BV$1000,16,0)),0,VLOOKUP(G59,Core!$BG$20:$BV$1000,16,0))</f>
        <v>0</v>
      </c>
    </row>
    <row r="60" spans="7:9" x14ac:dyDescent="0.3">
      <c r="G60" s="120">
        <v>43285</v>
      </c>
      <c r="H60" t="s">
        <v>392</v>
      </c>
      <c r="I60">
        <f>IF(ISERROR(VLOOKUP(G60,Core!$BG$20:$BV$1000,16,0)),0,VLOOKUP(G60,Core!$BG$20:$BV$1000,16,0))</f>
        <v>0</v>
      </c>
    </row>
    <row r="61" spans="7:9" x14ac:dyDescent="0.3">
      <c r="G61" s="120">
        <v>43286</v>
      </c>
      <c r="H61" t="s">
        <v>393</v>
      </c>
      <c r="I61">
        <f>IF(ISERROR(VLOOKUP(G61,Core!$BG$20:$BV$1000,16,0)),0,VLOOKUP(G61,Core!$BG$20:$BV$1000,16,0))</f>
        <v>0</v>
      </c>
    </row>
    <row r="62" spans="7:9" x14ac:dyDescent="0.3">
      <c r="G62" s="120">
        <v>43287</v>
      </c>
      <c r="H62" t="s">
        <v>394</v>
      </c>
      <c r="I62">
        <f>IF(ISERROR(VLOOKUP(G62,Core!$BG$20:$BV$1000,16,0)),0,VLOOKUP(G62,Core!$BG$20:$BV$1000,16,0))</f>
        <v>0</v>
      </c>
    </row>
    <row r="63" spans="7:9" x14ac:dyDescent="0.3">
      <c r="G63" s="120">
        <v>43288</v>
      </c>
      <c r="H63" t="s">
        <v>395</v>
      </c>
      <c r="I63">
        <f>IF(ISERROR(VLOOKUP(G63,Core!$BG$20:$BV$1000,16,0)),0,VLOOKUP(G63,Core!$BG$20:$BV$1000,16,0))</f>
        <v>0</v>
      </c>
    </row>
    <row r="64" spans="7:9" x14ac:dyDescent="0.3">
      <c r="G64" s="120">
        <v>43289</v>
      </c>
      <c r="H64" t="s">
        <v>396</v>
      </c>
      <c r="I64">
        <f>IF(ISERROR(VLOOKUP(G64,Core!$BG$20:$BV$1000,16,0)),0,VLOOKUP(G64,Core!$BG$20:$BV$1000,16,0))</f>
        <v>0</v>
      </c>
    </row>
    <row r="65" spans="7:9" x14ac:dyDescent="0.3">
      <c r="G65" s="120">
        <v>43290</v>
      </c>
      <c r="H65" t="s">
        <v>390</v>
      </c>
      <c r="I65">
        <f>IF(ISERROR(VLOOKUP(G65,Core!$BG$20:$BV$1000,16,0)),0,VLOOKUP(G65,Core!$BG$20:$BV$1000,16,0))</f>
        <v>0</v>
      </c>
    </row>
    <row r="66" spans="7:9" x14ac:dyDescent="0.3">
      <c r="G66" s="120">
        <v>43291</v>
      </c>
      <c r="H66" t="s">
        <v>391</v>
      </c>
      <c r="I66">
        <f>IF(ISERROR(VLOOKUP(G66,Core!$BG$20:$BV$1000,16,0)),0,VLOOKUP(G66,Core!$BG$20:$BV$1000,16,0))</f>
        <v>0</v>
      </c>
    </row>
    <row r="67" spans="7:9" x14ac:dyDescent="0.3">
      <c r="G67" s="120">
        <v>43292</v>
      </c>
      <c r="H67" t="s">
        <v>392</v>
      </c>
      <c r="I67">
        <f>IF(ISERROR(VLOOKUP(G67,Core!$BG$20:$BV$1000,16,0)),0,VLOOKUP(G67,Core!$BG$20:$BV$1000,16,0))</f>
        <v>0</v>
      </c>
    </row>
    <row r="68" spans="7:9" x14ac:dyDescent="0.3">
      <c r="G68" s="120">
        <v>43293</v>
      </c>
      <c r="H68" t="s">
        <v>393</v>
      </c>
      <c r="I68">
        <f>IF(ISERROR(VLOOKUP(G68,Core!$BG$20:$BV$1000,16,0)),0,VLOOKUP(G68,Core!$BG$20:$BV$1000,16,0))</f>
        <v>0</v>
      </c>
    </row>
    <row r="69" spans="7:9" x14ac:dyDescent="0.3">
      <c r="G69" s="120">
        <v>43294</v>
      </c>
      <c r="H69" t="s">
        <v>394</v>
      </c>
      <c r="I69">
        <f>IF(ISERROR(VLOOKUP(G69,Core!$BG$20:$BV$1000,16,0)),0,VLOOKUP(G69,Core!$BG$20:$BV$1000,16,0))</f>
        <v>0</v>
      </c>
    </row>
    <row r="70" spans="7:9" x14ac:dyDescent="0.3">
      <c r="G70" s="120">
        <v>43295</v>
      </c>
      <c r="H70" t="s">
        <v>395</v>
      </c>
      <c r="I70">
        <f>IF(ISERROR(VLOOKUP(G70,Core!$BG$20:$BV$1000,16,0)),0,VLOOKUP(G70,Core!$BG$20:$BV$1000,16,0))</f>
        <v>0</v>
      </c>
    </row>
    <row r="71" spans="7:9" x14ac:dyDescent="0.3">
      <c r="G71" s="120">
        <v>43296</v>
      </c>
      <c r="H71" t="s">
        <v>396</v>
      </c>
      <c r="I71">
        <f>IF(ISERROR(VLOOKUP(G71,Core!$BG$20:$BV$1000,16,0)),0,VLOOKUP(G71,Core!$BG$20:$BV$1000,16,0))</f>
        <v>0</v>
      </c>
    </row>
    <row r="72" spans="7:9" x14ac:dyDescent="0.3">
      <c r="G72" s="120">
        <v>43297</v>
      </c>
      <c r="H72" t="s">
        <v>390</v>
      </c>
      <c r="I72">
        <f>IF(ISERROR(VLOOKUP(G72,Core!$BG$20:$BV$1000,16,0)),0,VLOOKUP(G72,Core!$BG$20:$BV$1000,16,0))</f>
        <v>0</v>
      </c>
    </row>
    <row r="73" spans="7:9" x14ac:dyDescent="0.3">
      <c r="G73" s="120">
        <v>43298</v>
      </c>
      <c r="H73" t="s">
        <v>391</v>
      </c>
      <c r="I73">
        <f>IF(ISERROR(VLOOKUP(G73,Core!$BG$20:$BV$1000,16,0)),0,VLOOKUP(G73,Core!$BG$20:$BV$1000,16,0))</f>
        <v>0</v>
      </c>
    </row>
    <row r="74" spans="7:9" x14ac:dyDescent="0.3">
      <c r="G74" s="120">
        <v>43299</v>
      </c>
      <c r="H74" t="s">
        <v>392</v>
      </c>
      <c r="I74">
        <f>IF(ISERROR(VLOOKUP(G74,Core!$BG$20:$BV$1000,16,0)),0,VLOOKUP(G74,Core!$BG$20:$BV$1000,16,0))</f>
        <v>0</v>
      </c>
    </row>
    <row r="75" spans="7:9" x14ac:dyDescent="0.3">
      <c r="G75" s="120">
        <v>43300</v>
      </c>
      <c r="H75" t="s">
        <v>393</v>
      </c>
      <c r="I75">
        <f>IF(ISERROR(VLOOKUP(G75,Core!$BG$20:$BV$1000,16,0)),0,VLOOKUP(G75,Core!$BG$20:$BV$1000,16,0))</f>
        <v>0</v>
      </c>
    </row>
    <row r="76" spans="7:9" x14ac:dyDescent="0.3">
      <c r="G76" s="120">
        <v>43301</v>
      </c>
      <c r="H76" t="s">
        <v>394</v>
      </c>
      <c r="I76">
        <f>IF(ISERROR(VLOOKUP(G76,Core!$BG$20:$BV$1000,16,0)),0,VLOOKUP(G76,Core!$BG$20:$BV$1000,16,0))</f>
        <v>0</v>
      </c>
    </row>
    <row r="77" spans="7:9" x14ac:dyDescent="0.3">
      <c r="G77" s="120">
        <v>43302</v>
      </c>
      <c r="H77" t="s">
        <v>395</v>
      </c>
      <c r="I77">
        <f>IF(ISERROR(VLOOKUP(G77,Core!$BG$20:$BV$1000,16,0)),0,VLOOKUP(G77,Core!$BG$20:$BV$1000,16,0))</f>
        <v>0</v>
      </c>
    </row>
    <row r="78" spans="7:9" x14ac:dyDescent="0.3">
      <c r="G78" s="120">
        <v>43303</v>
      </c>
      <c r="H78" t="s">
        <v>396</v>
      </c>
      <c r="I78">
        <f>IF(ISERROR(VLOOKUP(G78,Core!$BG$20:$BV$1000,16,0)),0,VLOOKUP(G78,Core!$BG$20:$BV$1000,16,0))</f>
        <v>0</v>
      </c>
    </row>
    <row r="79" spans="7:9" x14ac:dyDescent="0.3">
      <c r="G79" s="120">
        <v>43304</v>
      </c>
      <c r="H79" t="s">
        <v>390</v>
      </c>
      <c r="I79">
        <f>IF(ISERROR(VLOOKUP(G79,Core!$BG$20:$BV$1000,16,0)),0,VLOOKUP(G79,Core!$BG$20:$BV$1000,16,0))</f>
        <v>0</v>
      </c>
    </row>
    <row r="80" spans="7:9" x14ac:dyDescent="0.3">
      <c r="G80" s="120">
        <v>43305</v>
      </c>
      <c r="H80" t="s">
        <v>391</v>
      </c>
      <c r="I80">
        <f>IF(ISERROR(VLOOKUP(G80,Core!$BG$20:$BV$1000,16,0)),0,VLOOKUP(G80,Core!$BG$20:$BV$1000,16,0))</f>
        <v>0</v>
      </c>
    </row>
    <row r="81" spans="7:9" x14ac:dyDescent="0.3">
      <c r="G81" s="120">
        <v>43306</v>
      </c>
      <c r="H81" t="s">
        <v>392</v>
      </c>
      <c r="I81">
        <f>IF(ISERROR(VLOOKUP(G81,Core!$BG$20:$BV$1000,16,0)),0,VLOOKUP(G81,Core!$BG$20:$BV$1000,16,0))</f>
        <v>0</v>
      </c>
    </row>
    <row r="82" spans="7:9" x14ac:dyDescent="0.3">
      <c r="G82" s="120">
        <v>43307</v>
      </c>
      <c r="H82" t="s">
        <v>393</v>
      </c>
      <c r="I82">
        <f>IF(ISERROR(VLOOKUP(G82,Core!$BG$20:$BV$1000,16,0)),0,VLOOKUP(G82,Core!$BG$20:$BV$1000,16,0))</f>
        <v>0</v>
      </c>
    </row>
    <row r="83" spans="7:9" x14ac:dyDescent="0.3">
      <c r="G83" s="120">
        <v>43308</v>
      </c>
      <c r="H83" t="s">
        <v>394</v>
      </c>
      <c r="I83">
        <f>IF(ISERROR(VLOOKUP(G83,Core!$BG$20:$BV$1000,16,0)),0,VLOOKUP(G83,Core!$BG$20:$BV$1000,16,0))</f>
        <v>0</v>
      </c>
    </row>
    <row r="84" spans="7:9" x14ac:dyDescent="0.3">
      <c r="G84" s="120">
        <v>43309</v>
      </c>
      <c r="H84" t="s">
        <v>395</v>
      </c>
      <c r="I84">
        <f>IF(ISERROR(VLOOKUP(G84,Core!$BG$20:$BV$1000,16,0)),0,VLOOKUP(G84,Core!$BG$20:$BV$1000,16,0))</f>
        <v>0</v>
      </c>
    </row>
    <row r="85" spans="7:9" x14ac:dyDescent="0.3">
      <c r="G85" s="120">
        <v>43310</v>
      </c>
      <c r="H85" t="s">
        <v>396</v>
      </c>
      <c r="I85">
        <f>IF(ISERROR(VLOOKUP(G85,Core!$BG$20:$BV$1000,16,0)),0,VLOOKUP(G85,Core!$BG$20:$BV$1000,16,0))</f>
        <v>0</v>
      </c>
    </row>
    <row r="86" spans="7:9" x14ac:dyDescent="0.3">
      <c r="G86" s="120">
        <v>43311</v>
      </c>
      <c r="H86" t="s">
        <v>390</v>
      </c>
      <c r="I86">
        <f>IF(ISERROR(VLOOKUP(G86,Core!$BG$20:$BV$1000,16,0)),0,VLOOKUP(G86,Core!$BG$20:$BV$1000,16,0))</f>
        <v>0</v>
      </c>
    </row>
    <row r="87" spans="7:9" x14ac:dyDescent="0.3">
      <c r="G87" s="120">
        <v>43312</v>
      </c>
      <c r="H87" t="s">
        <v>391</v>
      </c>
      <c r="I87">
        <f>IF(ISERROR(VLOOKUP(G87,Core!$BG$20:$BV$1000,16,0)),0,VLOOKUP(G87,Core!$BG$20:$BV$1000,16,0))</f>
        <v>0</v>
      </c>
    </row>
    <row r="88" spans="7:9" x14ac:dyDescent="0.3">
      <c r="G88" s="120">
        <v>43313</v>
      </c>
      <c r="H88" t="s">
        <v>392</v>
      </c>
      <c r="I88">
        <f>IF(ISERROR(VLOOKUP(G88,Core!$BG$20:$BV$1000,16,0)),0,VLOOKUP(G88,Core!$BG$20:$BV$1000,16,0))</f>
        <v>0</v>
      </c>
    </row>
    <row r="89" spans="7:9" x14ac:dyDescent="0.3">
      <c r="G89" s="120">
        <v>43314</v>
      </c>
      <c r="H89" t="s">
        <v>393</v>
      </c>
      <c r="I89">
        <f>IF(ISERROR(VLOOKUP(G89,Core!$BG$20:$BV$1000,16,0)),0,VLOOKUP(G89,Core!$BG$20:$BV$1000,16,0))</f>
        <v>0</v>
      </c>
    </row>
    <row r="90" spans="7:9" x14ac:dyDescent="0.3">
      <c r="G90" s="120">
        <v>43315</v>
      </c>
      <c r="H90" t="s">
        <v>394</v>
      </c>
      <c r="I90">
        <f>IF(ISERROR(VLOOKUP(G90,Core!$BG$20:$BV$1000,16,0)),0,VLOOKUP(G90,Core!$BG$20:$BV$1000,16,0))</f>
        <v>0</v>
      </c>
    </row>
    <row r="91" spans="7:9" x14ac:dyDescent="0.3">
      <c r="G91" s="120">
        <v>43316</v>
      </c>
      <c r="H91" t="s">
        <v>395</v>
      </c>
      <c r="I91">
        <f>IF(ISERROR(VLOOKUP(G91,Core!$BG$20:$BV$1000,16,0)),0,VLOOKUP(G91,Core!$BG$20:$BV$1000,16,0))</f>
        <v>0</v>
      </c>
    </row>
    <row r="92" spans="7:9" x14ac:dyDescent="0.3">
      <c r="G92" s="120">
        <v>43317</v>
      </c>
      <c r="H92" t="s">
        <v>396</v>
      </c>
      <c r="I92">
        <f>IF(ISERROR(VLOOKUP(G92,Core!$BG$20:$BV$1000,16,0)),0,VLOOKUP(G92,Core!$BG$20:$BV$1000,16,0))</f>
        <v>0</v>
      </c>
    </row>
    <row r="93" spans="7:9" x14ac:dyDescent="0.3">
      <c r="G93" s="120">
        <v>43318</v>
      </c>
      <c r="H93" t="s">
        <v>390</v>
      </c>
      <c r="I93">
        <f>IF(ISERROR(VLOOKUP(G93,Core!$BG$20:$BV$1000,16,0)),0,VLOOKUP(G93,Core!$BG$20:$BV$1000,16,0))</f>
        <v>0</v>
      </c>
    </row>
    <row r="94" spans="7:9" x14ac:dyDescent="0.3">
      <c r="G94" s="120">
        <v>43319</v>
      </c>
      <c r="H94" t="s">
        <v>391</v>
      </c>
      <c r="I94">
        <f>IF(ISERROR(VLOOKUP(G94,Core!$BG$20:$BV$1000,16,0)),0,VLOOKUP(G94,Core!$BG$20:$BV$1000,16,0))</f>
        <v>0</v>
      </c>
    </row>
    <row r="95" spans="7:9" x14ac:dyDescent="0.3">
      <c r="G95" s="120">
        <v>43320</v>
      </c>
      <c r="H95" t="s">
        <v>392</v>
      </c>
      <c r="I95">
        <f>IF(ISERROR(VLOOKUP(G95,Core!$BG$20:$BV$1000,16,0)),0,VLOOKUP(G95,Core!$BG$20:$BV$1000,16,0))</f>
        <v>0</v>
      </c>
    </row>
    <row r="96" spans="7:9" x14ac:dyDescent="0.3">
      <c r="G96" s="120">
        <v>43321</v>
      </c>
      <c r="H96" t="s">
        <v>393</v>
      </c>
      <c r="I96">
        <f>IF(ISERROR(VLOOKUP(G96,Core!$BG$20:$BV$1000,16,0)),0,VLOOKUP(G96,Core!$BG$20:$BV$1000,16,0))</f>
        <v>0</v>
      </c>
    </row>
    <row r="97" spans="7:9" x14ac:dyDescent="0.3">
      <c r="G97" s="120">
        <v>43322</v>
      </c>
      <c r="H97" t="s">
        <v>394</v>
      </c>
      <c r="I97">
        <f>IF(ISERROR(VLOOKUP(G97,Core!$BG$20:$BV$1000,16,0)),0,VLOOKUP(G97,Core!$BG$20:$BV$1000,16,0))</f>
        <v>0</v>
      </c>
    </row>
    <row r="98" spans="7:9" x14ac:dyDescent="0.3">
      <c r="G98" s="120">
        <v>43323</v>
      </c>
      <c r="H98" t="s">
        <v>395</v>
      </c>
      <c r="I98">
        <f>IF(ISERROR(VLOOKUP(G98,Core!$BG$20:$BV$1000,16,0)),0,VLOOKUP(G98,Core!$BG$20:$BV$1000,16,0))</f>
        <v>0</v>
      </c>
    </row>
    <row r="99" spans="7:9" x14ac:dyDescent="0.3">
      <c r="G99" s="120">
        <v>43324</v>
      </c>
      <c r="H99" t="s">
        <v>396</v>
      </c>
      <c r="I99">
        <f>IF(ISERROR(VLOOKUP(G99,Core!$BG$20:$BV$1000,16,0)),0,VLOOKUP(G99,Core!$BG$20:$BV$1000,16,0))</f>
        <v>0</v>
      </c>
    </row>
    <row r="100" spans="7:9" x14ac:dyDescent="0.3">
      <c r="G100" s="120">
        <v>43325</v>
      </c>
      <c r="H100" t="s">
        <v>390</v>
      </c>
      <c r="I100">
        <f>IF(ISERROR(VLOOKUP(G100,Core!$BG$20:$BV$1000,16,0)),0,VLOOKUP(G100,Core!$BG$20:$BV$1000,16,0))</f>
        <v>0</v>
      </c>
    </row>
    <row r="101" spans="7:9" x14ac:dyDescent="0.3">
      <c r="G101" s="120">
        <v>43326</v>
      </c>
      <c r="H101" t="s">
        <v>391</v>
      </c>
      <c r="I101">
        <f>IF(ISERROR(VLOOKUP(G101,Core!$BG$20:$BV$1000,16,0)),0,VLOOKUP(G101,Core!$BG$20:$BV$1000,16,0))</f>
        <v>0</v>
      </c>
    </row>
    <row r="102" spans="7:9" x14ac:dyDescent="0.3">
      <c r="G102" s="120">
        <v>43327</v>
      </c>
      <c r="H102" t="s">
        <v>392</v>
      </c>
      <c r="I102">
        <f>IF(ISERROR(VLOOKUP(G102,Core!$BG$20:$BV$1000,16,0)),0,VLOOKUP(G102,Core!$BG$20:$BV$1000,16,0))</f>
        <v>0</v>
      </c>
    </row>
    <row r="103" spans="7:9" x14ac:dyDescent="0.3">
      <c r="G103" s="120">
        <v>43328</v>
      </c>
      <c r="H103" t="s">
        <v>393</v>
      </c>
      <c r="I103">
        <f>IF(ISERROR(VLOOKUP(G103,Core!$BG$20:$BV$1000,16,0)),0,VLOOKUP(G103,Core!$BG$20:$BV$1000,16,0))</f>
        <v>0</v>
      </c>
    </row>
    <row r="104" spans="7:9" x14ac:dyDescent="0.3">
      <c r="G104" s="120">
        <v>43329</v>
      </c>
      <c r="H104" t="s">
        <v>394</v>
      </c>
      <c r="I104">
        <f>IF(ISERROR(VLOOKUP(G104,Core!$BG$20:$BV$1000,16,0)),0,VLOOKUP(G104,Core!$BG$20:$BV$1000,16,0))</f>
        <v>0</v>
      </c>
    </row>
    <row r="105" spans="7:9" x14ac:dyDescent="0.3">
      <c r="G105" s="120">
        <v>43330</v>
      </c>
      <c r="H105" t="s">
        <v>395</v>
      </c>
      <c r="I105">
        <f>IF(ISERROR(VLOOKUP(G105,Core!$BG$20:$BV$1000,16,0)),0,VLOOKUP(G105,Core!$BG$20:$BV$1000,16,0))</f>
        <v>0</v>
      </c>
    </row>
    <row r="106" spans="7:9" x14ac:dyDescent="0.3">
      <c r="G106" s="120">
        <v>43331</v>
      </c>
      <c r="H106" t="s">
        <v>396</v>
      </c>
      <c r="I106">
        <f>IF(ISERROR(VLOOKUP(G106,Core!$BG$20:$BV$1000,16,0)),0,VLOOKUP(G106,Core!$BG$20:$BV$1000,16,0))</f>
        <v>0</v>
      </c>
    </row>
    <row r="107" spans="7:9" x14ac:dyDescent="0.3">
      <c r="G107" s="120">
        <v>43332</v>
      </c>
      <c r="H107" t="s">
        <v>390</v>
      </c>
      <c r="I107">
        <f>IF(ISERROR(VLOOKUP(G107,Core!$BG$20:$BV$1000,16,0)),0,VLOOKUP(G107,Core!$BG$20:$BV$1000,16,0))</f>
        <v>0</v>
      </c>
    </row>
    <row r="108" spans="7:9" x14ac:dyDescent="0.3">
      <c r="G108" s="120">
        <v>43333</v>
      </c>
      <c r="H108" t="s">
        <v>391</v>
      </c>
      <c r="I108">
        <f>IF(ISERROR(VLOOKUP(G108,Core!$BG$20:$BV$1000,16,0)),0,VLOOKUP(G108,Core!$BG$20:$BV$1000,16,0))</f>
        <v>0</v>
      </c>
    </row>
    <row r="109" spans="7:9" x14ac:dyDescent="0.3">
      <c r="G109" s="120">
        <v>43334</v>
      </c>
      <c r="H109" t="s">
        <v>392</v>
      </c>
      <c r="I109">
        <f>IF(ISERROR(VLOOKUP(G109,Core!$BG$20:$BV$1000,16,0)),0,VLOOKUP(G109,Core!$BG$20:$BV$1000,16,0))</f>
        <v>0</v>
      </c>
    </row>
    <row r="110" spans="7:9" x14ac:dyDescent="0.3">
      <c r="G110" s="120">
        <v>43335</v>
      </c>
      <c r="H110" t="s">
        <v>393</v>
      </c>
      <c r="I110">
        <f>IF(ISERROR(VLOOKUP(G110,Core!$BG$20:$BV$1000,16,0)),0,VLOOKUP(G110,Core!$BG$20:$BV$1000,16,0))</f>
        <v>0</v>
      </c>
    </row>
    <row r="111" spans="7:9" x14ac:dyDescent="0.3">
      <c r="G111" s="120">
        <v>43336</v>
      </c>
      <c r="H111" t="s">
        <v>394</v>
      </c>
      <c r="I111">
        <f>IF(ISERROR(VLOOKUP(G111,Core!$BG$20:$BV$1000,16,0)),0,VLOOKUP(G111,Core!$BG$20:$BV$1000,16,0))</f>
        <v>0</v>
      </c>
    </row>
    <row r="112" spans="7:9" x14ac:dyDescent="0.3">
      <c r="G112" s="120">
        <v>43337</v>
      </c>
      <c r="H112" t="s">
        <v>395</v>
      </c>
      <c r="I112">
        <f>IF(ISERROR(VLOOKUP(G112,Core!$BG$20:$BV$1000,16,0)),0,VLOOKUP(G112,Core!$BG$20:$BV$1000,16,0))</f>
        <v>0</v>
      </c>
    </row>
    <row r="113" spans="7:9" x14ac:dyDescent="0.3">
      <c r="G113" s="120">
        <v>43338</v>
      </c>
      <c r="H113" t="s">
        <v>396</v>
      </c>
      <c r="I113">
        <f>IF(ISERROR(VLOOKUP(G113,Core!$BG$20:$BV$1000,16,0)),0,VLOOKUP(G113,Core!$BG$20:$BV$1000,16,0))</f>
        <v>0</v>
      </c>
    </row>
    <row r="114" spans="7:9" x14ac:dyDescent="0.3">
      <c r="G114" s="120">
        <v>43339</v>
      </c>
      <c r="H114" t="s">
        <v>390</v>
      </c>
      <c r="I114">
        <f>IF(ISERROR(VLOOKUP(G114,Core!$BG$20:$BV$1000,16,0)),0,VLOOKUP(G114,Core!$BG$20:$BV$1000,16,0))</f>
        <v>0</v>
      </c>
    </row>
    <row r="115" spans="7:9" x14ac:dyDescent="0.3">
      <c r="G115" s="120">
        <v>43340</v>
      </c>
      <c r="H115" t="s">
        <v>391</v>
      </c>
      <c r="I115">
        <f>IF(ISERROR(VLOOKUP(G115,Core!$BG$20:$BV$1000,16,0)),0,VLOOKUP(G115,Core!$BG$20:$BV$1000,16,0))</f>
        <v>0</v>
      </c>
    </row>
    <row r="116" spans="7:9" x14ac:dyDescent="0.3">
      <c r="G116" s="120">
        <v>43341</v>
      </c>
      <c r="H116" t="s">
        <v>392</v>
      </c>
      <c r="I116">
        <f>IF(ISERROR(VLOOKUP(G116,Core!$BG$20:$BV$1000,16,0)),0,VLOOKUP(G116,Core!$BG$20:$BV$1000,16,0))</f>
        <v>0</v>
      </c>
    </row>
    <row r="117" spans="7:9" x14ac:dyDescent="0.3">
      <c r="G117" s="120">
        <v>43342</v>
      </c>
      <c r="H117" t="s">
        <v>393</v>
      </c>
      <c r="I117">
        <f>IF(ISERROR(VLOOKUP(G117,Core!$BG$20:$BV$1000,16,0)),0,VLOOKUP(G117,Core!$BG$20:$BV$1000,16,0))</f>
        <v>0</v>
      </c>
    </row>
    <row r="118" spans="7:9" x14ac:dyDescent="0.3">
      <c r="G118" s="120">
        <v>43343</v>
      </c>
      <c r="H118" t="s">
        <v>394</v>
      </c>
      <c r="I118">
        <f>IF(ISERROR(VLOOKUP(G118,Core!$BG$20:$BV$1000,16,0)),0,VLOOKUP(G118,Core!$BG$20:$BV$1000,16,0))</f>
        <v>0</v>
      </c>
    </row>
    <row r="119" spans="7:9" x14ac:dyDescent="0.3">
      <c r="G119" s="120">
        <v>43344</v>
      </c>
      <c r="H119" t="s">
        <v>395</v>
      </c>
      <c r="I119">
        <f>IF(ISERROR(VLOOKUP(G119,Core!$BG$20:$BV$1000,16,0)),0,VLOOKUP(G119,Core!$BG$20:$BV$1000,16,0))</f>
        <v>0</v>
      </c>
    </row>
    <row r="120" spans="7:9" x14ac:dyDescent="0.3">
      <c r="G120" s="120">
        <v>43345</v>
      </c>
      <c r="H120" t="s">
        <v>396</v>
      </c>
      <c r="I120">
        <f>IF(ISERROR(VLOOKUP(G120,Core!$BG$20:$BV$1000,16,0)),0,VLOOKUP(G120,Core!$BG$20:$BV$1000,16,0))</f>
        <v>0</v>
      </c>
    </row>
    <row r="121" spans="7:9" x14ac:dyDescent="0.3">
      <c r="G121" s="120">
        <v>43346</v>
      </c>
      <c r="H121" t="s">
        <v>390</v>
      </c>
      <c r="I121">
        <f>IF(ISERROR(VLOOKUP(G121,Core!$BG$20:$BV$1000,16,0)),0,VLOOKUP(G121,Core!$BG$20:$BV$1000,16,0))</f>
        <v>0</v>
      </c>
    </row>
    <row r="122" spans="7:9" x14ac:dyDescent="0.3">
      <c r="G122" s="120">
        <v>43347</v>
      </c>
      <c r="H122" t="s">
        <v>391</v>
      </c>
      <c r="I122">
        <f>IF(ISERROR(VLOOKUP(G122,Core!$BG$20:$BV$1000,16,0)),0,VLOOKUP(G122,Core!$BG$20:$BV$1000,16,0))</f>
        <v>0</v>
      </c>
    </row>
    <row r="123" spans="7:9" x14ac:dyDescent="0.3">
      <c r="G123" s="120">
        <v>43348</v>
      </c>
      <c r="H123" t="s">
        <v>392</v>
      </c>
      <c r="I123">
        <f>IF(ISERROR(VLOOKUP(G123,Core!$BG$20:$BV$1000,16,0)),0,VLOOKUP(G123,Core!$BG$20:$BV$1000,16,0))</f>
        <v>0</v>
      </c>
    </row>
    <row r="124" spans="7:9" x14ac:dyDescent="0.3">
      <c r="G124" s="120">
        <v>43349</v>
      </c>
      <c r="H124" t="s">
        <v>393</v>
      </c>
      <c r="I124">
        <f>IF(ISERROR(VLOOKUP(G124,Core!$BG$20:$BV$1000,16,0)),0,VLOOKUP(G124,Core!$BG$20:$BV$1000,16,0))</f>
        <v>0</v>
      </c>
    </row>
    <row r="125" spans="7:9" x14ac:dyDescent="0.3">
      <c r="G125" s="120">
        <v>43350</v>
      </c>
      <c r="H125" t="s">
        <v>394</v>
      </c>
      <c r="I125">
        <f>IF(ISERROR(VLOOKUP(G125,Core!$BG$20:$BV$1000,16,0)),0,VLOOKUP(G125,Core!$BG$20:$BV$1000,16,0))</f>
        <v>0</v>
      </c>
    </row>
    <row r="126" spans="7:9" x14ac:dyDescent="0.3">
      <c r="G126" s="120">
        <v>43351</v>
      </c>
      <c r="H126" t="s">
        <v>395</v>
      </c>
      <c r="I126">
        <f>IF(ISERROR(VLOOKUP(G126,Core!$BG$20:$BV$1000,16,0)),0,VLOOKUP(G126,Core!$BG$20:$BV$1000,16,0))</f>
        <v>0</v>
      </c>
    </row>
    <row r="127" spans="7:9" x14ac:dyDescent="0.3">
      <c r="G127" s="120">
        <v>43352</v>
      </c>
      <c r="H127" t="s">
        <v>396</v>
      </c>
      <c r="I127">
        <f>IF(ISERROR(VLOOKUP(G127,Core!$BG$20:$BV$1000,16,0)),0,VLOOKUP(G127,Core!$BG$20:$BV$1000,16,0))</f>
        <v>0</v>
      </c>
    </row>
    <row r="128" spans="7:9" x14ac:dyDescent="0.3">
      <c r="G128" s="120">
        <v>43353</v>
      </c>
      <c r="H128" t="s">
        <v>390</v>
      </c>
      <c r="I128">
        <f>IF(ISERROR(VLOOKUP(G128,Core!$BG$20:$BV$1000,16,0)),0,VLOOKUP(G128,Core!$BG$20:$BV$1000,16,0))</f>
        <v>0</v>
      </c>
    </row>
    <row r="129" spans="7:9" x14ac:dyDescent="0.3">
      <c r="G129" s="120">
        <v>43354</v>
      </c>
      <c r="H129" t="s">
        <v>391</v>
      </c>
      <c r="I129">
        <f>IF(ISERROR(VLOOKUP(G129,Core!$BG$20:$BV$1000,16,0)),0,VLOOKUP(G129,Core!$BG$20:$BV$1000,16,0))</f>
        <v>0</v>
      </c>
    </row>
    <row r="130" spans="7:9" x14ac:dyDescent="0.3">
      <c r="G130" s="120">
        <v>43355</v>
      </c>
      <c r="H130" t="s">
        <v>392</v>
      </c>
      <c r="I130">
        <f>IF(ISERROR(VLOOKUP(G130,Core!$BG$20:$BV$1000,16,0)),0,VLOOKUP(G130,Core!$BG$20:$BV$1000,16,0))</f>
        <v>0</v>
      </c>
    </row>
    <row r="131" spans="7:9" x14ac:dyDescent="0.3">
      <c r="G131" s="120">
        <v>43356</v>
      </c>
      <c r="H131" t="s">
        <v>393</v>
      </c>
      <c r="I131">
        <f>IF(ISERROR(VLOOKUP(G131,Core!$BG$20:$BV$1000,16,0)),0,VLOOKUP(G131,Core!$BG$20:$BV$1000,16,0))</f>
        <v>0</v>
      </c>
    </row>
    <row r="132" spans="7:9" x14ac:dyDescent="0.3">
      <c r="G132" s="120">
        <v>43357</v>
      </c>
      <c r="H132" t="s">
        <v>394</v>
      </c>
      <c r="I132">
        <f>IF(ISERROR(VLOOKUP(G132,Core!$BG$20:$BV$1000,16,0)),0,VLOOKUP(G132,Core!$BG$20:$BV$1000,16,0))</f>
        <v>0</v>
      </c>
    </row>
    <row r="133" spans="7:9" x14ac:dyDescent="0.3">
      <c r="G133" s="120">
        <v>43358</v>
      </c>
      <c r="H133" t="s">
        <v>395</v>
      </c>
      <c r="I133">
        <f>IF(ISERROR(VLOOKUP(G133,Core!$BG$20:$BV$1000,16,0)),0,VLOOKUP(G133,Core!$BG$20:$BV$1000,16,0))</f>
        <v>0</v>
      </c>
    </row>
    <row r="134" spans="7:9" x14ac:dyDescent="0.3">
      <c r="G134" s="120">
        <v>43359</v>
      </c>
      <c r="H134" t="s">
        <v>396</v>
      </c>
      <c r="I134">
        <f>IF(ISERROR(VLOOKUP(G134,Core!$BG$20:$BV$1000,16,0)),0,VLOOKUP(G134,Core!$BG$20:$BV$1000,16,0))</f>
        <v>0</v>
      </c>
    </row>
    <row r="135" spans="7:9" x14ac:dyDescent="0.3">
      <c r="G135" s="120">
        <v>43360</v>
      </c>
      <c r="H135" t="s">
        <v>390</v>
      </c>
      <c r="I135">
        <f>IF(ISERROR(VLOOKUP(G135,Core!$BG$20:$BV$1000,16,0)),0,VLOOKUP(G135,Core!$BG$20:$BV$1000,16,0))</f>
        <v>0</v>
      </c>
    </row>
    <row r="136" spans="7:9" x14ac:dyDescent="0.3">
      <c r="G136" s="120">
        <v>43361</v>
      </c>
      <c r="H136" t="s">
        <v>391</v>
      </c>
      <c r="I136">
        <f>IF(ISERROR(VLOOKUP(G136,Core!$BG$20:$BV$1000,16,0)),0,VLOOKUP(G136,Core!$BG$20:$BV$1000,16,0))</f>
        <v>0</v>
      </c>
    </row>
    <row r="137" spans="7:9" x14ac:dyDescent="0.3">
      <c r="G137" s="120">
        <v>43362</v>
      </c>
      <c r="H137" t="s">
        <v>392</v>
      </c>
      <c r="I137">
        <f>IF(ISERROR(VLOOKUP(G137,Core!$BG$20:$BV$1000,16,0)),0,VLOOKUP(G137,Core!$BG$20:$BV$1000,16,0))</f>
        <v>0</v>
      </c>
    </row>
    <row r="138" spans="7:9" x14ac:dyDescent="0.3">
      <c r="G138" s="120">
        <v>43363</v>
      </c>
      <c r="H138" t="s">
        <v>393</v>
      </c>
      <c r="I138">
        <f>IF(ISERROR(VLOOKUP(G138,Core!$BG$20:$BV$1000,16,0)),0,VLOOKUP(G138,Core!$BG$20:$BV$1000,16,0))</f>
        <v>0</v>
      </c>
    </row>
    <row r="139" spans="7:9" x14ac:dyDescent="0.3">
      <c r="G139" s="120">
        <v>43364</v>
      </c>
      <c r="H139" t="s">
        <v>394</v>
      </c>
      <c r="I139">
        <f>IF(ISERROR(VLOOKUP(G139,Core!$BG$20:$BV$1000,16,0)),0,VLOOKUP(G139,Core!$BG$20:$BV$1000,16,0))</f>
        <v>0</v>
      </c>
    </row>
    <row r="140" spans="7:9" x14ac:dyDescent="0.3">
      <c r="G140" s="120">
        <v>43365</v>
      </c>
      <c r="H140" t="s">
        <v>395</v>
      </c>
      <c r="I140">
        <f>IF(ISERROR(VLOOKUP(G140,Core!$BG$20:$BV$1000,16,0)),0,VLOOKUP(G140,Core!$BG$20:$BV$1000,16,0))</f>
        <v>0</v>
      </c>
    </row>
    <row r="141" spans="7:9" x14ac:dyDescent="0.3">
      <c r="G141" s="120">
        <v>43366</v>
      </c>
      <c r="H141" t="s">
        <v>396</v>
      </c>
      <c r="I141">
        <f>IF(ISERROR(VLOOKUP(G141,Core!$BG$20:$BV$1000,16,0)),0,VLOOKUP(G141,Core!$BG$20:$BV$1000,16,0))</f>
        <v>0</v>
      </c>
    </row>
    <row r="142" spans="7:9" x14ac:dyDescent="0.3">
      <c r="G142" s="120">
        <v>43367</v>
      </c>
      <c r="H142" t="s">
        <v>390</v>
      </c>
      <c r="I142">
        <f>IF(ISERROR(VLOOKUP(G142,Core!$BG$20:$BV$1000,16,0)),0,VLOOKUP(G142,Core!$BG$20:$BV$1000,16,0))</f>
        <v>0</v>
      </c>
    </row>
    <row r="143" spans="7:9" x14ac:dyDescent="0.3">
      <c r="G143" s="120">
        <v>43368</v>
      </c>
      <c r="H143" t="s">
        <v>391</v>
      </c>
      <c r="I143">
        <f>IF(ISERROR(VLOOKUP(G143,Core!$BG$20:$BV$1000,16,0)),0,VLOOKUP(G143,Core!$BG$20:$BV$1000,16,0))</f>
        <v>0</v>
      </c>
    </row>
    <row r="144" spans="7:9" x14ac:dyDescent="0.3">
      <c r="G144" s="120">
        <v>43369</v>
      </c>
      <c r="H144" t="s">
        <v>392</v>
      </c>
      <c r="I144">
        <f>IF(ISERROR(VLOOKUP(G144,Core!$BG$20:$BV$1000,16,0)),0,VLOOKUP(G144,Core!$BG$20:$BV$1000,16,0))</f>
        <v>0</v>
      </c>
    </row>
    <row r="145" spans="7:9" x14ac:dyDescent="0.3">
      <c r="G145" s="120">
        <v>43370</v>
      </c>
      <c r="H145" t="s">
        <v>393</v>
      </c>
      <c r="I145">
        <f>IF(ISERROR(VLOOKUP(G145,Core!$BG$20:$BV$1000,16,0)),0,VLOOKUP(G145,Core!$BG$20:$BV$1000,16,0))</f>
        <v>0</v>
      </c>
    </row>
    <row r="146" spans="7:9" x14ac:dyDescent="0.3">
      <c r="G146" s="120">
        <v>43371</v>
      </c>
      <c r="H146" t="s">
        <v>394</v>
      </c>
      <c r="I146">
        <f>IF(ISERROR(VLOOKUP(G146,Core!$BG$20:$BV$1000,16,0)),0,VLOOKUP(G146,Core!$BG$20:$BV$1000,16,0))</f>
        <v>0</v>
      </c>
    </row>
    <row r="147" spans="7:9" x14ac:dyDescent="0.3">
      <c r="G147" s="120">
        <v>43372</v>
      </c>
      <c r="H147" t="s">
        <v>395</v>
      </c>
      <c r="I147">
        <f>IF(ISERROR(VLOOKUP(G147,Core!$BG$20:$BV$1000,16,0)),0,VLOOKUP(G147,Core!$BG$20:$BV$1000,16,0))</f>
        <v>0</v>
      </c>
    </row>
    <row r="148" spans="7:9" x14ac:dyDescent="0.3">
      <c r="G148" s="120">
        <v>43373</v>
      </c>
      <c r="H148" t="s">
        <v>396</v>
      </c>
      <c r="I148">
        <f>IF(ISERROR(VLOOKUP(G148,Core!$BG$20:$BV$1000,16,0)),0,VLOOKUP(G148,Core!$BG$20:$BV$1000,16,0))</f>
        <v>0</v>
      </c>
    </row>
    <row r="149" spans="7:9" x14ac:dyDescent="0.3">
      <c r="G149" s="120">
        <v>43374</v>
      </c>
      <c r="H149" t="s">
        <v>390</v>
      </c>
      <c r="I149">
        <f>IF(ISERROR(VLOOKUP(G149,Core!$BG$20:$BV$1000,16,0)),0,VLOOKUP(G149,Core!$BG$20:$BV$1000,16,0))</f>
        <v>0</v>
      </c>
    </row>
    <row r="150" spans="7:9" x14ac:dyDescent="0.3">
      <c r="G150" s="120">
        <v>43375</v>
      </c>
      <c r="H150" t="s">
        <v>391</v>
      </c>
      <c r="I150">
        <f>IF(ISERROR(VLOOKUP(G150,Core!$BG$20:$BV$1000,16,0)),0,VLOOKUP(G150,Core!$BG$20:$BV$1000,16,0))</f>
        <v>0</v>
      </c>
    </row>
    <row r="151" spans="7:9" x14ac:dyDescent="0.3">
      <c r="G151" s="120">
        <v>43376</v>
      </c>
      <c r="H151" t="s">
        <v>392</v>
      </c>
      <c r="I151">
        <f>IF(ISERROR(VLOOKUP(G151,Core!$BG$20:$BV$1000,16,0)),0,VLOOKUP(G151,Core!$BG$20:$BV$1000,16,0))</f>
        <v>0</v>
      </c>
    </row>
    <row r="152" spans="7:9" x14ac:dyDescent="0.3">
      <c r="G152" s="120">
        <v>43377</v>
      </c>
      <c r="H152" t="s">
        <v>393</v>
      </c>
      <c r="I152">
        <f>IF(ISERROR(VLOOKUP(G152,Core!$BG$20:$BV$1000,16,0)),0,VLOOKUP(G152,Core!$BG$20:$BV$1000,16,0))</f>
        <v>0</v>
      </c>
    </row>
    <row r="153" spans="7:9" x14ac:dyDescent="0.3">
      <c r="G153" s="120">
        <v>43378</v>
      </c>
      <c r="H153" t="s">
        <v>394</v>
      </c>
      <c r="I153">
        <f>IF(ISERROR(VLOOKUP(G153,Core!$BG$20:$BV$1000,16,0)),0,VLOOKUP(G153,Core!$BG$20:$BV$1000,16,0))</f>
        <v>0</v>
      </c>
    </row>
    <row r="154" spans="7:9" x14ac:dyDescent="0.3">
      <c r="G154" s="120">
        <v>43379</v>
      </c>
      <c r="H154" t="s">
        <v>395</v>
      </c>
      <c r="I154">
        <f>IF(ISERROR(VLOOKUP(G154,Core!$BG$20:$BV$1000,16,0)),0,VLOOKUP(G154,Core!$BG$20:$BV$1000,16,0))</f>
        <v>0</v>
      </c>
    </row>
    <row r="155" spans="7:9" x14ac:dyDescent="0.3">
      <c r="G155" s="120">
        <v>43380</v>
      </c>
      <c r="H155" t="s">
        <v>396</v>
      </c>
      <c r="I155">
        <f>IF(ISERROR(VLOOKUP(G155,Core!$BG$20:$BV$1000,16,0)),0,VLOOKUP(G155,Core!$BG$20:$BV$1000,16,0))</f>
        <v>0</v>
      </c>
    </row>
    <row r="156" spans="7:9" x14ac:dyDescent="0.3">
      <c r="G156" s="120">
        <v>43381</v>
      </c>
      <c r="H156" t="s">
        <v>390</v>
      </c>
      <c r="I156">
        <f>IF(ISERROR(VLOOKUP(G156,Core!$BG$20:$BV$1000,16,0)),0,VLOOKUP(G156,Core!$BG$20:$BV$1000,16,0))</f>
        <v>0</v>
      </c>
    </row>
    <row r="157" spans="7:9" x14ac:dyDescent="0.3">
      <c r="G157" s="120">
        <v>43382</v>
      </c>
      <c r="H157" t="s">
        <v>391</v>
      </c>
      <c r="I157">
        <f>IF(ISERROR(VLOOKUP(G157,Core!$BG$20:$BV$1000,16,0)),0,VLOOKUP(G157,Core!$BG$20:$BV$1000,16,0))</f>
        <v>0</v>
      </c>
    </row>
    <row r="158" spans="7:9" x14ac:dyDescent="0.3">
      <c r="G158" s="120">
        <v>43383</v>
      </c>
      <c r="H158" t="s">
        <v>392</v>
      </c>
      <c r="I158">
        <f>IF(ISERROR(VLOOKUP(G158,Core!$BG$20:$BV$1000,16,0)),0,VLOOKUP(G158,Core!$BG$20:$BV$1000,16,0))</f>
        <v>0</v>
      </c>
    </row>
    <row r="159" spans="7:9" x14ac:dyDescent="0.3">
      <c r="G159" s="120">
        <v>43384</v>
      </c>
      <c r="H159" t="s">
        <v>393</v>
      </c>
      <c r="I159">
        <f>IF(ISERROR(VLOOKUP(G159,Core!$BG$20:$BV$1000,16,0)),0,VLOOKUP(G159,Core!$BG$20:$BV$1000,16,0))</f>
        <v>0</v>
      </c>
    </row>
    <row r="160" spans="7:9" x14ac:dyDescent="0.3">
      <c r="G160" s="120">
        <v>43385</v>
      </c>
      <c r="H160" t="s">
        <v>394</v>
      </c>
      <c r="I160">
        <f>IF(ISERROR(VLOOKUP(G160,Core!$BG$20:$BV$1000,16,0)),0,VLOOKUP(G160,Core!$BG$20:$BV$1000,16,0))</f>
        <v>0</v>
      </c>
    </row>
    <row r="161" spans="7:9" x14ac:dyDescent="0.3">
      <c r="G161" s="120">
        <v>43386</v>
      </c>
      <c r="H161" t="s">
        <v>395</v>
      </c>
      <c r="I161">
        <f>IF(ISERROR(VLOOKUP(G161,Core!$BG$20:$BV$1000,16,0)),0,VLOOKUP(G161,Core!$BG$20:$BV$1000,16,0))</f>
        <v>0</v>
      </c>
    </row>
    <row r="162" spans="7:9" x14ac:dyDescent="0.3">
      <c r="G162" s="120">
        <v>43387</v>
      </c>
      <c r="H162" t="s">
        <v>396</v>
      </c>
      <c r="I162">
        <f>IF(ISERROR(VLOOKUP(G162,Core!$BG$20:$BV$1000,16,0)),0,VLOOKUP(G162,Core!$BG$20:$BV$1000,16,0))</f>
        <v>0</v>
      </c>
    </row>
    <row r="163" spans="7:9" x14ac:dyDescent="0.3">
      <c r="G163" s="120">
        <v>43388</v>
      </c>
      <c r="H163" t="s">
        <v>390</v>
      </c>
      <c r="I163">
        <f>IF(ISERROR(VLOOKUP(G163,Core!$BG$20:$BV$1000,16,0)),0,VLOOKUP(G163,Core!$BG$20:$BV$1000,16,0))</f>
        <v>0</v>
      </c>
    </row>
    <row r="164" spans="7:9" x14ac:dyDescent="0.3">
      <c r="G164" s="120">
        <v>43389</v>
      </c>
      <c r="H164" t="s">
        <v>391</v>
      </c>
      <c r="I164">
        <f>IF(ISERROR(VLOOKUP(G164,Core!$BG$20:$BV$1000,16,0)),0,VLOOKUP(G164,Core!$BG$20:$BV$1000,16,0))</f>
        <v>0</v>
      </c>
    </row>
    <row r="165" spans="7:9" x14ac:dyDescent="0.3">
      <c r="G165" s="120">
        <v>43390</v>
      </c>
      <c r="H165" t="s">
        <v>392</v>
      </c>
      <c r="I165">
        <f>IF(ISERROR(VLOOKUP(G165,Core!$BG$20:$BV$1000,16,0)),0,VLOOKUP(G165,Core!$BG$20:$BV$1000,16,0))</f>
        <v>0</v>
      </c>
    </row>
    <row r="166" spans="7:9" x14ac:dyDescent="0.3">
      <c r="G166" s="120">
        <v>43391</v>
      </c>
      <c r="H166" t="s">
        <v>393</v>
      </c>
      <c r="I166">
        <f>IF(ISERROR(VLOOKUP(G166,Core!$BG$20:$BV$1000,16,0)),0,VLOOKUP(G166,Core!$BG$20:$BV$1000,16,0))</f>
        <v>0</v>
      </c>
    </row>
    <row r="167" spans="7:9" x14ac:dyDescent="0.3">
      <c r="G167" s="120">
        <v>43392</v>
      </c>
      <c r="H167" t="s">
        <v>394</v>
      </c>
      <c r="I167">
        <f>IF(ISERROR(VLOOKUP(G167,Core!$BG$20:$BV$1000,16,0)),0,VLOOKUP(G167,Core!$BG$20:$BV$1000,16,0))</f>
        <v>0</v>
      </c>
    </row>
    <row r="168" spans="7:9" x14ac:dyDescent="0.3">
      <c r="G168" s="120">
        <v>43393</v>
      </c>
      <c r="H168" t="s">
        <v>395</v>
      </c>
      <c r="I168">
        <f>IF(ISERROR(VLOOKUP(G168,Core!$BG$20:$BV$1000,16,0)),0,VLOOKUP(G168,Core!$BG$20:$BV$1000,16,0))</f>
        <v>0</v>
      </c>
    </row>
    <row r="169" spans="7:9" x14ac:dyDescent="0.3">
      <c r="G169" s="120">
        <v>43394</v>
      </c>
      <c r="H169" t="s">
        <v>396</v>
      </c>
      <c r="I169">
        <f>IF(ISERROR(VLOOKUP(G169,Core!$BG$20:$BV$1000,16,0)),0,VLOOKUP(G169,Core!$BG$20:$BV$1000,16,0))</f>
        <v>0</v>
      </c>
    </row>
    <row r="170" spans="7:9" x14ac:dyDescent="0.3">
      <c r="G170" s="120">
        <v>43395</v>
      </c>
      <c r="H170" t="s">
        <v>390</v>
      </c>
      <c r="I170">
        <f>IF(ISERROR(VLOOKUP(G170,Core!$BG$20:$BV$1000,16,0)),0,VLOOKUP(G170,Core!$BG$20:$BV$1000,16,0))</f>
        <v>0</v>
      </c>
    </row>
    <row r="171" spans="7:9" x14ac:dyDescent="0.3">
      <c r="G171" s="120">
        <v>43396</v>
      </c>
      <c r="H171" t="s">
        <v>391</v>
      </c>
      <c r="I171">
        <f>IF(ISERROR(VLOOKUP(G171,Core!$BG$20:$BV$1000,16,0)),0,VLOOKUP(G171,Core!$BG$20:$BV$1000,16,0))</f>
        <v>0</v>
      </c>
    </row>
    <row r="172" spans="7:9" x14ac:dyDescent="0.3">
      <c r="G172" s="120">
        <v>43397</v>
      </c>
      <c r="H172" t="s">
        <v>392</v>
      </c>
      <c r="I172">
        <f>IF(ISERROR(VLOOKUP(G172,Core!$BG$20:$BV$1000,16,0)),0,VLOOKUP(G172,Core!$BG$20:$BV$1000,16,0))</f>
        <v>0</v>
      </c>
    </row>
    <row r="173" spans="7:9" x14ac:dyDescent="0.3">
      <c r="G173" s="120">
        <v>43398</v>
      </c>
      <c r="H173" t="s">
        <v>393</v>
      </c>
      <c r="I173">
        <f>IF(ISERROR(VLOOKUP(G173,Core!$BG$20:$BV$1000,16,0)),0,VLOOKUP(G173,Core!$BG$20:$BV$1000,16,0))</f>
        <v>0</v>
      </c>
    </row>
    <row r="174" spans="7:9" x14ac:dyDescent="0.3">
      <c r="G174" s="120">
        <v>43399</v>
      </c>
      <c r="H174" t="s">
        <v>394</v>
      </c>
      <c r="I174">
        <f>IF(ISERROR(VLOOKUP(G174,Core!$BG$20:$BV$1000,16,0)),0,VLOOKUP(G174,Core!$BG$20:$BV$1000,16,0))</f>
        <v>0</v>
      </c>
    </row>
    <row r="175" spans="7:9" x14ac:dyDescent="0.3">
      <c r="G175" s="120">
        <v>43400</v>
      </c>
      <c r="H175" t="s">
        <v>395</v>
      </c>
      <c r="I175">
        <f>IF(ISERROR(VLOOKUP(G175,Core!$BG$20:$BV$1000,16,0)),0,VLOOKUP(G175,Core!$BG$20:$BV$1000,16,0))</f>
        <v>0</v>
      </c>
    </row>
    <row r="176" spans="7:9" x14ac:dyDescent="0.3">
      <c r="G176" s="120">
        <v>43401</v>
      </c>
      <c r="H176" t="s">
        <v>396</v>
      </c>
      <c r="I176">
        <f>IF(ISERROR(VLOOKUP(G176,Core!$BG$20:$BV$1000,16,0)),0,VLOOKUP(G176,Core!$BG$20:$BV$1000,16,0))</f>
        <v>0</v>
      </c>
    </row>
    <row r="177" spans="7:9" x14ac:dyDescent="0.3">
      <c r="G177" s="120">
        <v>43402</v>
      </c>
      <c r="H177" t="s">
        <v>390</v>
      </c>
      <c r="I177">
        <f>IF(ISERROR(VLOOKUP(G177,Core!$BG$20:$BV$1000,16,0)),0,VLOOKUP(G177,Core!$BG$20:$BV$1000,16,0))</f>
        <v>0</v>
      </c>
    </row>
    <row r="178" spans="7:9" x14ac:dyDescent="0.3">
      <c r="G178" s="120">
        <v>43403</v>
      </c>
      <c r="H178" t="s">
        <v>391</v>
      </c>
      <c r="I178">
        <f>IF(ISERROR(VLOOKUP(G178,Core!$BG$20:$BV$1000,16,0)),0,VLOOKUP(G178,Core!$BG$20:$BV$1000,16,0))</f>
        <v>0</v>
      </c>
    </row>
    <row r="179" spans="7:9" x14ac:dyDescent="0.3">
      <c r="G179" s="120">
        <v>43404</v>
      </c>
      <c r="H179" t="s">
        <v>392</v>
      </c>
      <c r="I179">
        <f>IF(ISERROR(VLOOKUP(G179,Core!$BG$20:$BV$1000,16,0)),0,VLOOKUP(G179,Core!$BG$20:$BV$1000,16,0))</f>
        <v>0</v>
      </c>
    </row>
    <row r="180" spans="7:9" x14ac:dyDescent="0.3">
      <c r="G180" s="120">
        <v>43405</v>
      </c>
      <c r="H180" t="s">
        <v>393</v>
      </c>
      <c r="I180">
        <f>IF(ISERROR(VLOOKUP(G180,Core!$BG$20:$BV$1000,16,0)),0,VLOOKUP(G180,Core!$BG$20:$BV$1000,16,0))</f>
        <v>0</v>
      </c>
    </row>
    <row r="181" spans="7:9" x14ac:dyDescent="0.3">
      <c r="G181" s="120">
        <v>43406</v>
      </c>
      <c r="H181" t="s">
        <v>394</v>
      </c>
      <c r="I181">
        <f>IF(ISERROR(VLOOKUP(G181,Core!$BG$20:$BV$1000,16,0)),0,VLOOKUP(G181,Core!$BG$20:$BV$1000,16,0))</f>
        <v>0</v>
      </c>
    </row>
    <row r="182" spans="7:9" x14ac:dyDescent="0.3">
      <c r="G182" s="120">
        <v>43407</v>
      </c>
      <c r="H182" t="s">
        <v>395</v>
      </c>
      <c r="I182">
        <f>IF(ISERROR(VLOOKUP(G182,Core!$BG$20:$BV$1000,16,0)),0,VLOOKUP(G182,Core!$BG$20:$BV$1000,16,0))</f>
        <v>0</v>
      </c>
    </row>
    <row r="183" spans="7:9" x14ac:dyDescent="0.3">
      <c r="G183" s="120">
        <v>43408</v>
      </c>
      <c r="H183" t="s">
        <v>396</v>
      </c>
      <c r="I183">
        <f>IF(ISERROR(VLOOKUP(G183,Core!$BG$20:$BV$1000,16,0)),0,VLOOKUP(G183,Core!$BG$20:$BV$1000,16,0))</f>
        <v>0</v>
      </c>
    </row>
    <row r="184" spans="7:9" x14ac:dyDescent="0.3">
      <c r="G184" s="120">
        <v>43409</v>
      </c>
      <c r="H184" t="s">
        <v>390</v>
      </c>
      <c r="I184">
        <f>IF(ISERROR(VLOOKUP(G184,Core!$BG$20:$BV$1000,16,0)),0,VLOOKUP(G184,Core!$BG$20:$BV$1000,16,0))</f>
        <v>0</v>
      </c>
    </row>
    <row r="185" spans="7:9" x14ac:dyDescent="0.3">
      <c r="G185" s="120">
        <v>43410</v>
      </c>
      <c r="H185" t="s">
        <v>391</v>
      </c>
      <c r="I185">
        <f>IF(ISERROR(VLOOKUP(G185,Core!$BG$20:$BV$1000,16,0)),0,VLOOKUP(G185,Core!$BG$20:$BV$1000,16,0))</f>
        <v>0</v>
      </c>
    </row>
    <row r="186" spans="7:9" x14ac:dyDescent="0.3">
      <c r="G186" s="120">
        <v>43411</v>
      </c>
      <c r="H186" t="s">
        <v>392</v>
      </c>
      <c r="I186">
        <f>IF(ISERROR(VLOOKUP(G186,Core!$BG$20:$BV$1000,16,0)),0,VLOOKUP(G186,Core!$BG$20:$BV$1000,16,0))</f>
        <v>0</v>
      </c>
    </row>
    <row r="187" spans="7:9" x14ac:dyDescent="0.3">
      <c r="G187" s="120">
        <v>43412</v>
      </c>
      <c r="H187" t="s">
        <v>393</v>
      </c>
      <c r="I187">
        <f>IF(ISERROR(VLOOKUP(G187,Core!$BG$20:$BV$1000,16,0)),0,VLOOKUP(G187,Core!$BG$20:$BV$1000,16,0))</f>
        <v>0</v>
      </c>
    </row>
    <row r="188" spans="7:9" x14ac:dyDescent="0.3">
      <c r="G188" s="120">
        <v>43413</v>
      </c>
      <c r="H188" t="s">
        <v>394</v>
      </c>
      <c r="I188">
        <f>IF(ISERROR(VLOOKUP(G188,Core!$BG$20:$BV$1000,16,0)),0,VLOOKUP(G188,Core!$BG$20:$BV$1000,16,0))</f>
        <v>0</v>
      </c>
    </row>
    <row r="189" spans="7:9" x14ac:dyDescent="0.3">
      <c r="G189" s="120">
        <v>43414</v>
      </c>
      <c r="H189" t="s">
        <v>395</v>
      </c>
      <c r="I189">
        <f>IF(ISERROR(VLOOKUP(G189,Core!$BG$20:$BV$1000,16,0)),0,VLOOKUP(G189,Core!$BG$20:$BV$1000,16,0))</f>
        <v>0</v>
      </c>
    </row>
    <row r="190" spans="7:9" x14ac:dyDescent="0.3">
      <c r="G190" s="120">
        <v>43415</v>
      </c>
      <c r="H190" t="s">
        <v>396</v>
      </c>
      <c r="I190">
        <f>IF(ISERROR(VLOOKUP(G190,Core!$BG$20:$BV$1000,16,0)),0,VLOOKUP(G190,Core!$BG$20:$BV$1000,16,0))</f>
        <v>0</v>
      </c>
    </row>
    <row r="191" spans="7:9" x14ac:dyDescent="0.3">
      <c r="G191" s="120">
        <v>43416</v>
      </c>
      <c r="H191" t="s">
        <v>390</v>
      </c>
      <c r="I191">
        <f>IF(ISERROR(VLOOKUP(G191,Core!$BG$20:$BV$1000,16,0)),0,VLOOKUP(G191,Core!$BG$20:$BV$1000,16,0))</f>
        <v>0</v>
      </c>
    </row>
    <row r="192" spans="7:9" x14ac:dyDescent="0.3">
      <c r="G192" s="120">
        <v>43417</v>
      </c>
      <c r="H192" t="s">
        <v>391</v>
      </c>
      <c r="I192">
        <f>IF(ISERROR(VLOOKUP(G192,Core!$BG$20:$BV$1000,16,0)),0,VLOOKUP(G192,Core!$BG$20:$BV$1000,16,0))</f>
        <v>0</v>
      </c>
    </row>
    <row r="193" spans="7:9" x14ac:dyDescent="0.3">
      <c r="G193" s="120">
        <v>43418</v>
      </c>
      <c r="H193" t="s">
        <v>392</v>
      </c>
      <c r="I193">
        <f>IF(ISERROR(VLOOKUP(G193,Core!$BG$20:$BV$1000,16,0)),0,VLOOKUP(G193,Core!$BG$20:$BV$1000,16,0))</f>
        <v>0</v>
      </c>
    </row>
    <row r="194" spans="7:9" x14ac:dyDescent="0.3">
      <c r="G194" s="120">
        <v>43419</v>
      </c>
      <c r="H194" t="s">
        <v>393</v>
      </c>
      <c r="I194">
        <f>IF(ISERROR(VLOOKUP(G194,Core!$BG$20:$BV$1000,16,0)),0,VLOOKUP(G194,Core!$BG$20:$BV$1000,16,0))</f>
        <v>0</v>
      </c>
    </row>
    <row r="195" spans="7:9" x14ac:dyDescent="0.3">
      <c r="G195" s="120">
        <v>43420</v>
      </c>
      <c r="H195" t="s">
        <v>394</v>
      </c>
      <c r="I195">
        <f>IF(ISERROR(VLOOKUP(G195,Core!$BG$20:$BV$1000,16,0)),0,VLOOKUP(G195,Core!$BG$20:$BV$1000,16,0))</f>
        <v>0</v>
      </c>
    </row>
    <row r="196" spans="7:9" x14ac:dyDescent="0.3">
      <c r="G196" s="120">
        <v>43421</v>
      </c>
      <c r="H196" t="s">
        <v>395</v>
      </c>
      <c r="I196">
        <f>IF(ISERROR(VLOOKUP(G196,Core!$BG$20:$BV$1000,16,0)),0,VLOOKUP(G196,Core!$BG$20:$BV$1000,16,0))</f>
        <v>0</v>
      </c>
    </row>
    <row r="197" spans="7:9" x14ac:dyDescent="0.3">
      <c r="G197" s="120">
        <v>43422</v>
      </c>
      <c r="H197" t="s">
        <v>396</v>
      </c>
      <c r="I197">
        <f>IF(ISERROR(VLOOKUP(G197,Core!$BG$20:$BV$1000,16,0)),0,VLOOKUP(G197,Core!$BG$20:$BV$1000,16,0))</f>
        <v>0</v>
      </c>
    </row>
    <row r="198" spans="7:9" x14ac:dyDescent="0.3">
      <c r="G198" s="120">
        <v>43423</v>
      </c>
      <c r="H198" t="s">
        <v>390</v>
      </c>
      <c r="I198">
        <f>IF(ISERROR(VLOOKUP(G198,Core!$BG$20:$BV$1000,16,0)),0,VLOOKUP(G198,Core!$BG$20:$BV$1000,16,0))</f>
        <v>0</v>
      </c>
    </row>
    <row r="199" spans="7:9" x14ac:dyDescent="0.3">
      <c r="G199" s="120">
        <v>43424</v>
      </c>
      <c r="H199" t="s">
        <v>391</v>
      </c>
      <c r="I199">
        <f>IF(ISERROR(VLOOKUP(G199,Core!$BG$20:$BV$1000,16,0)),0,VLOOKUP(G199,Core!$BG$20:$BV$1000,16,0))</f>
        <v>0</v>
      </c>
    </row>
    <row r="200" spans="7:9" x14ac:dyDescent="0.3">
      <c r="G200" s="120">
        <v>43425</v>
      </c>
      <c r="H200" t="s">
        <v>392</v>
      </c>
      <c r="I200">
        <f>IF(ISERROR(VLOOKUP(G200,Core!$BG$20:$BV$1000,16,0)),0,VLOOKUP(G200,Core!$BG$20:$BV$1000,16,0))</f>
        <v>0</v>
      </c>
    </row>
    <row r="201" spans="7:9" x14ac:dyDescent="0.3">
      <c r="G201" s="120">
        <v>43426</v>
      </c>
      <c r="H201" t="s">
        <v>393</v>
      </c>
      <c r="I201">
        <f>IF(ISERROR(VLOOKUP(G201,Core!$BG$20:$BV$1000,16,0)),0,VLOOKUP(G201,Core!$BG$20:$BV$1000,16,0))</f>
        <v>0</v>
      </c>
    </row>
    <row r="202" spans="7:9" x14ac:dyDescent="0.3">
      <c r="G202" s="120">
        <v>43427</v>
      </c>
      <c r="H202" t="s">
        <v>394</v>
      </c>
      <c r="I202">
        <f>IF(ISERROR(VLOOKUP(G202,Core!$BG$20:$BV$1000,16,0)),0,VLOOKUP(G202,Core!$BG$20:$BV$1000,16,0))</f>
        <v>0</v>
      </c>
    </row>
    <row r="203" spans="7:9" x14ac:dyDescent="0.3">
      <c r="G203" s="120">
        <v>43428</v>
      </c>
      <c r="H203" t="s">
        <v>395</v>
      </c>
      <c r="I203">
        <f>IF(ISERROR(VLOOKUP(G203,Core!$BG$20:$BV$1000,16,0)),0,VLOOKUP(G203,Core!$BG$20:$BV$1000,16,0))</f>
        <v>0</v>
      </c>
    </row>
    <row r="204" spans="7:9" x14ac:dyDescent="0.3">
      <c r="G204" s="120">
        <v>43429</v>
      </c>
      <c r="H204" t="s">
        <v>396</v>
      </c>
      <c r="I204">
        <f>IF(ISERROR(VLOOKUP(G204,Core!$BG$20:$BV$1000,16,0)),0,VLOOKUP(G204,Core!$BG$20:$BV$1000,16,0))</f>
        <v>0</v>
      </c>
    </row>
    <row r="205" spans="7:9" x14ac:dyDescent="0.3">
      <c r="G205" s="120">
        <v>43430</v>
      </c>
      <c r="H205" t="s">
        <v>390</v>
      </c>
      <c r="I205">
        <f>IF(ISERROR(VLOOKUP(G205,Core!$BG$20:$BV$1000,16,0)),0,VLOOKUP(G205,Core!$BG$20:$BV$1000,16,0))</f>
        <v>0</v>
      </c>
    </row>
    <row r="206" spans="7:9" x14ac:dyDescent="0.3">
      <c r="G206" s="120">
        <v>43431</v>
      </c>
      <c r="H206" t="s">
        <v>391</v>
      </c>
      <c r="I206">
        <f>IF(ISERROR(VLOOKUP(G206,Core!$BG$20:$BV$1000,16,0)),0,VLOOKUP(G206,Core!$BG$20:$BV$1000,16,0))</f>
        <v>0</v>
      </c>
    </row>
    <row r="207" spans="7:9" x14ac:dyDescent="0.3">
      <c r="G207" s="120">
        <v>43432</v>
      </c>
      <c r="H207" t="s">
        <v>392</v>
      </c>
      <c r="I207">
        <f>IF(ISERROR(VLOOKUP(G207,Core!$BG$20:$BV$1000,16,0)),0,VLOOKUP(G207,Core!$BG$20:$BV$1000,16,0))</f>
        <v>0</v>
      </c>
    </row>
    <row r="208" spans="7:9" x14ac:dyDescent="0.3">
      <c r="G208" s="120">
        <v>43433</v>
      </c>
      <c r="H208" t="s">
        <v>393</v>
      </c>
      <c r="I208">
        <f>IF(ISERROR(VLOOKUP(G208,Core!$BG$20:$BV$1000,16,0)),0,VLOOKUP(G208,Core!$BG$20:$BV$1000,16,0))</f>
        <v>0</v>
      </c>
    </row>
    <row r="209" spans="7:9" x14ac:dyDescent="0.3">
      <c r="G209" s="120">
        <v>43434</v>
      </c>
      <c r="H209" t="s">
        <v>394</v>
      </c>
      <c r="I209">
        <f>IF(ISERROR(VLOOKUP(G209,Core!$BG$20:$BV$1000,16,0)),0,VLOOKUP(G209,Core!$BG$20:$BV$1000,16,0))</f>
        <v>0</v>
      </c>
    </row>
    <row r="210" spans="7:9" x14ac:dyDescent="0.3">
      <c r="G210" s="120">
        <v>43435</v>
      </c>
      <c r="H210" t="s">
        <v>395</v>
      </c>
      <c r="I210">
        <f>IF(ISERROR(VLOOKUP(G210,Core!$BG$20:$BV$1000,16,0)),0,VLOOKUP(G210,Core!$BG$20:$BV$1000,16,0))</f>
        <v>0</v>
      </c>
    </row>
    <row r="211" spans="7:9" x14ac:dyDescent="0.3">
      <c r="G211" s="120">
        <v>43436</v>
      </c>
      <c r="H211" t="s">
        <v>396</v>
      </c>
      <c r="I211">
        <f>IF(ISERROR(VLOOKUP(G211,Core!$BG$20:$BV$1000,16,0)),0,VLOOKUP(G211,Core!$BG$20:$BV$1000,16,0))</f>
        <v>0</v>
      </c>
    </row>
    <row r="212" spans="7:9" x14ac:dyDescent="0.3">
      <c r="G212" s="120">
        <v>43437</v>
      </c>
      <c r="H212" t="s">
        <v>390</v>
      </c>
      <c r="I212">
        <f>IF(ISERROR(VLOOKUP(G212,Core!$BG$20:$BV$1000,16,0)),0,VLOOKUP(G212,Core!$BG$20:$BV$1000,16,0))</f>
        <v>0</v>
      </c>
    </row>
    <row r="213" spans="7:9" x14ac:dyDescent="0.3">
      <c r="G213" s="120">
        <v>43438</v>
      </c>
      <c r="H213" t="s">
        <v>391</v>
      </c>
      <c r="I213">
        <f>IF(ISERROR(VLOOKUP(G213,Core!$BG$20:$BV$1000,16,0)),0,VLOOKUP(G213,Core!$BG$20:$BV$1000,16,0))</f>
        <v>0</v>
      </c>
    </row>
    <row r="214" spans="7:9" x14ac:dyDescent="0.3">
      <c r="G214" s="120">
        <v>43439</v>
      </c>
      <c r="H214" t="s">
        <v>392</v>
      </c>
      <c r="I214">
        <f>IF(ISERROR(VLOOKUP(G214,Core!$BG$20:$BV$1000,16,0)),0,VLOOKUP(G214,Core!$BG$20:$BV$1000,16,0))</f>
        <v>0</v>
      </c>
    </row>
    <row r="215" spans="7:9" x14ac:dyDescent="0.3">
      <c r="G215" s="120">
        <v>43440</v>
      </c>
      <c r="H215" t="s">
        <v>393</v>
      </c>
      <c r="I215">
        <f>IF(ISERROR(VLOOKUP(G215,Core!$BG$20:$BV$1000,16,0)),0,VLOOKUP(G215,Core!$BG$20:$BV$1000,16,0))</f>
        <v>0</v>
      </c>
    </row>
    <row r="216" spans="7:9" x14ac:dyDescent="0.3">
      <c r="G216" s="120">
        <v>43441</v>
      </c>
      <c r="H216" t="s">
        <v>394</v>
      </c>
      <c r="I216">
        <f>IF(ISERROR(VLOOKUP(G216,Core!$BG$20:$BV$1000,16,0)),0,VLOOKUP(G216,Core!$BG$20:$BV$1000,16,0))</f>
        <v>0</v>
      </c>
    </row>
    <row r="217" spans="7:9" x14ac:dyDescent="0.3">
      <c r="G217" s="120">
        <v>43442</v>
      </c>
      <c r="H217" t="s">
        <v>395</v>
      </c>
      <c r="I217">
        <f>IF(ISERROR(VLOOKUP(G217,Core!$BG$20:$BV$1000,16,0)),0,VLOOKUP(G217,Core!$BG$20:$BV$1000,16,0))</f>
        <v>0</v>
      </c>
    </row>
    <row r="218" spans="7:9" x14ac:dyDescent="0.3">
      <c r="G218" s="120">
        <v>43443</v>
      </c>
      <c r="H218" t="s">
        <v>396</v>
      </c>
      <c r="I218">
        <f>IF(ISERROR(VLOOKUP(G218,Core!$BG$20:$BV$1000,16,0)),0,VLOOKUP(G218,Core!$BG$20:$BV$1000,16,0))</f>
        <v>0</v>
      </c>
    </row>
    <row r="219" spans="7:9" x14ac:dyDescent="0.3">
      <c r="G219" s="120">
        <v>43444</v>
      </c>
      <c r="H219" t="s">
        <v>390</v>
      </c>
      <c r="I219">
        <f>IF(ISERROR(VLOOKUP(G219,Core!$BG$20:$BV$1000,16,0)),0,VLOOKUP(G219,Core!$BG$20:$BV$1000,16,0))</f>
        <v>0</v>
      </c>
    </row>
    <row r="220" spans="7:9" x14ac:dyDescent="0.3">
      <c r="G220" s="120">
        <v>43445</v>
      </c>
      <c r="H220" t="s">
        <v>391</v>
      </c>
      <c r="I220">
        <f>IF(ISERROR(VLOOKUP(G220,Core!$BG$20:$BV$1000,16,0)),0,VLOOKUP(G220,Core!$BG$20:$BV$1000,16,0))</f>
        <v>0</v>
      </c>
    </row>
    <row r="221" spans="7:9" x14ac:dyDescent="0.3">
      <c r="G221" s="120">
        <v>43446</v>
      </c>
      <c r="H221" t="s">
        <v>392</v>
      </c>
      <c r="I221">
        <f>IF(ISERROR(VLOOKUP(G221,Core!$BG$20:$BV$1000,16,0)),0,VLOOKUP(G221,Core!$BG$20:$BV$1000,16,0))</f>
        <v>0</v>
      </c>
    </row>
    <row r="222" spans="7:9" x14ac:dyDescent="0.3">
      <c r="G222" s="120">
        <v>43447</v>
      </c>
      <c r="H222" t="s">
        <v>393</v>
      </c>
      <c r="I222">
        <f>IF(ISERROR(VLOOKUP(G222,Core!$BG$20:$BV$1000,16,0)),0,VLOOKUP(G222,Core!$BG$20:$BV$1000,16,0))</f>
        <v>0</v>
      </c>
    </row>
    <row r="223" spans="7:9" x14ac:dyDescent="0.3">
      <c r="G223" s="120">
        <v>43448</v>
      </c>
      <c r="H223" t="s">
        <v>394</v>
      </c>
      <c r="I223">
        <f>IF(ISERROR(VLOOKUP(G223,Core!$BG$20:$BV$1000,16,0)),0,VLOOKUP(G223,Core!$BG$20:$BV$1000,16,0))</f>
        <v>0</v>
      </c>
    </row>
    <row r="224" spans="7:9" x14ac:dyDescent="0.3">
      <c r="G224" s="120">
        <v>43449</v>
      </c>
      <c r="H224" t="s">
        <v>395</v>
      </c>
      <c r="I224">
        <f>IF(ISERROR(VLOOKUP(G224,Core!$BG$20:$BV$1000,16,0)),0,VLOOKUP(G224,Core!$BG$20:$BV$1000,16,0))</f>
        <v>0</v>
      </c>
    </row>
    <row r="225" spans="7:9" x14ac:dyDescent="0.3">
      <c r="G225" s="120">
        <v>43450</v>
      </c>
      <c r="H225" t="s">
        <v>396</v>
      </c>
      <c r="I225">
        <f>IF(ISERROR(VLOOKUP(G225,Core!$BG$20:$BV$1000,16,0)),0,VLOOKUP(G225,Core!$BG$20:$BV$1000,16,0))</f>
        <v>0</v>
      </c>
    </row>
    <row r="226" spans="7:9" x14ac:dyDescent="0.3">
      <c r="G226" s="120">
        <v>43451</v>
      </c>
      <c r="H226" t="s">
        <v>390</v>
      </c>
      <c r="I226">
        <f>IF(ISERROR(VLOOKUP(G226,Core!$BG$20:$BV$1000,16,0)),0,VLOOKUP(G226,Core!$BG$20:$BV$1000,16,0))</f>
        <v>0</v>
      </c>
    </row>
    <row r="227" spans="7:9" x14ac:dyDescent="0.3">
      <c r="G227" s="120">
        <v>43452</v>
      </c>
      <c r="H227" t="s">
        <v>391</v>
      </c>
      <c r="I227">
        <f>IF(ISERROR(VLOOKUP(G227,Core!$BG$20:$BV$1000,16,0)),0,VLOOKUP(G227,Core!$BG$20:$BV$1000,16,0))</f>
        <v>0</v>
      </c>
    </row>
    <row r="228" spans="7:9" x14ac:dyDescent="0.3">
      <c r="G228" s="120">
        <v>43453</v>
      </c>
      <c r="H228" t="s">
        <v>392</v>
      </c>
      <c r="I228">
        <f>IF(ISERROR(VLOOKUP(G228,Core!$BG$20:$BV$1000,16,0)),0,VLOOKUP(G228,Core!$BG$20:$BV$1000,16,0))</f>
        <v>0</v>
      </c>
    </row>
    <row r="229" spans="7:9" x14ac:dyDescent="0.3">
      <c r="G229" s="120">
        <v>43454</v>
      </c>
      <c r="H229" t="s">
        <v>393</v>
      </c>
      <c r="I229">
        <f>IF(ISERROR(VLOOKUP(G229,Core!$BG$20:$BV$1000,16,0)),0,VLOOKUP(G229,Core!$BG$20:$BV$1000,16,0))</f>
        <v>0</v>
      </c>
    </row>
    <row r="230" spans="7:9" x14ac:dyDescent="0.3">
      <c r="G230" s="120">
        <v>43455</v>
      </c>
      <c r="H230" t="s">
        <v>394</v>
      </c>
      <c r="I230">
        <f>IF(ISERROR(VLOOKUP(G230,Core!$BG$20:$BV$1000,16,0)),0,VLOOKUP(G230,Core!$BG$20:$BV$1000,16,0))</f>
        <v>0</v>
      </c>
    </row>
    <row r="231" spans="7:9" x14ac:dyDescent="0.3">
      <c r="G231" s="120">
        <v>43456</v>
      </c>
      <c r="H231" t="s">
        <v>395</v>
      </c>
      <c r="I231">
        <f>IF(ISERROR(VLOOKUP(G231,Core!$BG$20:$BV$1000,16,0)),0,VLOOKUP(G231,Core!$BG$20:$BV$1000,16,0))</f>
        <v>0</v>
      </c>
    </row>
    <row r="232" spans="7:9" x14ac:dyDescent="0.3">
      <c r="G232" s="120">
        <v>43457</v>
      </c>
      <c r="H232" t="s">
        <v>396</v>
      </c>
      <c r="I232">
        <f>IF(ISERROR(VLOOKUP(G232,Core!$BG$20:$BV$1000,16,0)),0,VLOOKUP(G232,Core!$BG$20:$BV$1000,16,0))</f>
        <v>0</v>
      </c>
    </row>
    <row r="233" spans="7:9" x14ac:dyDescent="0.3">
      <c r="G233" s="120">
        <v>43458</v>
      </c>
      <c r="H233" t="s">
        <v>390</v>
      </c>
      <c r="I233">
        <f>IF(ISERROR(VLOOKUP(G233,Core!$BG$20:$BV$1000,16,0)),0,VLOOKUP(G233,Core!$BG$20:$BV$1000,16,0))</f>
        <v>0</v>
      </c>
    </row>
    <row r="234" spans="7:9" x14ac:dyDescent="0.3">
      <c r="G234" s="120">
        <v>43459</v>
      </c>
      <c r="H234" t="s">
        <v>391</v>
      </c>
      <c r="I234">
        <f>IF(ISERROR(VLOOKUP(G234,Core!$BG$20:$BV$1000,16,0)),0,VLOOKUP(G234,Core!$BG$20:$BV$1000,16,0))</f>
        <v>0</v>
      </c>
    </row>
    <row r="235" spans="7:9" x14ac:dyDescent="0.3">
      <c r="G235" s="120">
        <v>43460</v>
      </c>
      <c r="H235" t="s">
        <v>392</v>
      </c>
      <c r="I235">
        <f>IF(ISERROR(VLOOKUP(G235,Core!$BG$20:$BV$1000,16,0)),0,VLOOKUP(G235,Core!$BG$20:$BV$1000,16,0))</f>
        <v>0</v>
      </c>
    </row>
    <row r="236" spans="7:9" x14ac:dyDescent="0.3">
      <c r="G236" s="120">
        <v>43461</v>
      </c>
      <c r="H236" t="s">
        <v>393</v>
      </c>
      <c r="I236">
        <f>IF(ISERROR(VLOOKUP(G236,Core!$BG$20:$BV$1000,16,0)),0,VLOOKUP(G236,Core!$BG$20:$BV$1000,16,0))</f>
        <v>0</v>
      </c>
    </row>
    <row r="237" spans="7:9" x14ac:dyDescent="0.3">
      <c r="G237" s="120">
        <v>43462</v>
      </c>
      <c r="H237" t="s">
        <v>394</v>
      </c>
      <c r="I237">
        <f>IF(ISERROR(VLOOKUP(G237,Core!$BG$20:$BV$1000,16,0)),0,VLOOKUP(G237,Core!$BG$20:$BV$1000,16,0))</f>
        <v>0</v>
      </c>
    </row>
    <row r="238" spans="7:9" x14ac:dyDescent="0.3">
      <c r="G238" s="120">
        <v>43463</v>
      </c>
      <c r="H238" t="s">
        <v>395</v>
      </c>
      <c r="I238">
        <f>IF(ISERROR(VLOOKUP(G238,Core!$BG$20:$BV$1000,16,0)),0,VLOOKUP(G238,Core!$BG$20:$BV$1000,16,0))</f>
        <v>0</v>
      </c>
    </row>
    <row r="239" spans="7:9" x14ac:dyDescent="0.3">
      <c r="G239" s="120">
        <v>43464</v>
      </c>
      <c r="H239" t="s">
        <v>396</v>
      </c>
      <c r="I239">
        <f>IF(ISERROR(VLOOKUP(G239,Core!$BG$20:$BV$1000,16,0)),0,VLOOKUP(G239,Core!$BG$20:$BV$1000,16,0))</f>
        <v>0</v>
      </c>
    </row>
    <row r="240" spans="7:9" x14ac:dyDescent="0.3">
      <c r="G240" s="120">
        <v>43465</v>
      </c>
      <c r="H240" t="s">
        <v>390</v>
      </c>
      <c r="I240">
        <f>IF(ISERROR(VLOOKUP(G240,Core!$BG$20:$BV$1000,16,0)),0,VLOOKUP(G240,Core!$BG$20:$BV$1000,16,0))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Core</vt:lpstr>
      <vt:lpstr>Fuelio</vt:lpstr>
      <vt:lpstr>Referencias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Caldeira</dc:creator>
  <cp:lastModifiedBy>Ronaldo C. Azeredo Silva</cp:lastModifiedBy>
  <dcterms:created xsi:type="dcterms:W3CDTF">2018-05-18T06:58:21Z</dcterms:created>
  <dcterms:modified xsi:type="dcterms:W3CDTF">2023-06-15T23:06:20Z</dcterms:modified>
</cp:coreProperties>
</file>